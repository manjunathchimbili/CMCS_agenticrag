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showInkAnnotation="0" codeName="ThisWorkbook"/>
  <mc:AlternateContent xmlns:mc="http://schemas.openxmlformats.org/markup-compatibility/2006">
    <mc:Choice Requires="x15">
      <x15ac:absPath xmlns:x15ac="http://schemas.microsoft.com/office/spreadsheetml/2010/11/ac" url="https://indexanalytics-my.sharepoint.com/personal/mchimbili_index-analytics_com/Documents/Documents/Review Management- AI Initiative-selected/"/>
    </mc:Choice>
  </mc:AlternateContent>
  <xr:revisionPtr revIDLastSave="155" documentId="8_{23871990-52E7-487C-A940-56A9F54993AD}" xr6:coauthVersionLast="47" xr6:coauthVersionMax="47" xr10:uidLastSave="{807CEE66-8B97-46DC-9F2A-870019C15C07}"/>
  <bookViews>
    <workbookView xWindow="1560" yWindow="1560" windowWidth="21600" windowHeight="12645" tabRatio="953" firstSheet="2" activeTab="4" xr2:uid="{E0C37CEE-66B2-47C4-AC25-7CA91599F7DE}"/>
  </bookViews>
  <sheets>
    <sheet name="Table of Contents" sheetId="2" r:id="rId1"/>
    <sheet name="Instructions" sheetId="3" r:id="rId2"/>
    <sheet name="Cover Sheet" sheetId="1" r:id="rId3"/>
    <sheet name="A. Completeness" sheetId="31" r:id="rId4"/>
    <sheet name="B. Enrollment &amp; Disenrollment" sheetId="16" r:id="rId5"/>
    <sheet name="C. Beneficiary Notification" sheetId="20" r:id="rId6"/>
    <sheet name="D. Payment" sheetId="22" r:id="rId7"/>
    <sheet name="E. Providers &amp; Network" sheetId="21" r:id="rId8"/>
    <sheet name="F. Coverage" sheetId="23" r:id="rId9"/>
    <sheet name="G. Quality and UM" sheetId="24" r:id="rId10"/>
    <sheet name="H. Grievances and Appeals" sheetId="25" r:id="rId11"/>
    <sheet name="I. Program Integrity" sheetId="26" r:id="rId12"/>
    <sheet name="J. General Terms and Conditions" sheetId="27" r:id="rId13"/>
    <sheet name="K. Health Information Systems" sheetId="28" r:id="rId14"/>
    <sheet name="Summary" sheetId="36" r:id="rId15"/>
    <sheet name="Glossary" sheetId="33" r:id="rId16"/>
  </sheets>
  <definedNames>
    <definedName name="_xlnm._FilterDatabase" localSheetId="3" hidden="1">'A. Completeness'!$A$1:$BB$47</definedName>
    <definedName name="_xlnm._FilterDatabase" localSheetId="4" hidden="1">'B. Enrollment &amp; Disenrollment'!$AL$1:$AL$143</definedName>
    <definedName name="_xlnm._FilterDatabase" localSheetId="5" hidden="1">'C. Beneficiary Notification'!$AN$1:$AN$148</definedName>
    <definedName name="_xlnm._FilterDatabase" localSheetId="2" hidden="1">'Cover Sheet'!$F$1:$O$48</definedName>
    <definedName name="_xlnm._FilterDatabase" localSheetId="6" hidden="1">'D. Payment'!$AO$1:$AO$401</definedName>
    <definedName name="_xlnm._FilterDatabase" localSheetId="7" hidden="1">'E. Providers &amp; Network'!$A$1:$AN$294</definedName>
    <definedName name="_xlnm._FilterDatabase" localSheetId="8" hidden="1">'F. Coverage'!$A$1:$AV$456</definedName>
    <definedName name="_xlnm._FilterDatabase" localSheetId="9" hidden="1">'G. Quality and UM'!$A$1:$AV$108</definedName>
    <definedName name="_xlnm._FilterDatabase" localSheetId="10" hidden="1">'H. Grievances and Appeals'!$A$1:$AS$123</definedName>
    <definedName name="_xlnm._FilterDatabase" localSheetId="11" hidden="1">'I. Program Integrity'!$A$1:$BA$267</definedName>
    <definedName name="_xlnm._FilterDatabase" localSheetId="12" hidden="1">'J. General Terms and Conditions'!$AG$1:$AG$453</definedName>
    <definedName name="_xlnm._FilterDatabase" localSheetId="13" hidden="1">'K. Health Information Systems'!$AN$1:$AN$150</definedName>
    <definedName name="Alist">'A. Completeness'!$K$2:$K$4</definedName>
    <definedName name="Blist">'A. Completeness'!$K$3:$K$4</definedName>
    <definedName name="CHIP">'Cover Sheet'!$J$2:$J$7</definedName>
    <definedName name="Clist" workbookParameter="1">'A. Completeness'!$K$1</definedName>
    <definedName name="Ilist" localSheetId="3">'A. Completeness'!$L$2:$L$3</definedName>
    <definedName name="Ilist" localSheetId="5">'C. Beneficiary Notification'!$L$2:$L$3</definedName>
    <definedName name="Ilist" localSheetId="6">'D. Payment'!$L$2:$L$3</definedName>
    <definedName name="Ilist" localSheetId="7">'E. Providers &amp; Network'!$L$2:$L$3</definedName>
    <definedName name="Ilist" localSheetId="8">'F. Coverage'!$L$2:$L$3</definedName>
    <definedName name="Ilist" localSheetId="9">'G. Quality and UM'!$L$2:$L$3</definedName>
    <definedName name="Ilist" localSheetId="10">'H. Grievances and Appeals'!$L$2:$L$3</definedName>
    <definedName name="Ilist" localSheetId="11">'I. Program Integrity'!$L$2:$L$3</definedName>
    <definedName name="Ilist" localSheetId="12">'J. General Terms and Conditions'!$L$2:$L$3</definedName>
    <definedName name="Ilist" localSheetId="13">'K. Health Information Systems'!$L$2:$L$3</definedName>
    <definedName name="Ilist">'B. Enrollment &amp; Disenrollment'!$L$2:$L$3</definedName>
    <definedName name="Medicaid">'Cover Sheet'!$J$2:$J$7</definedName>
    <definedName name="MMC">'Cover Sheet'!$J$2:$J$8</definedName>
    <definedName name="MUNN">'A. Completeness'!$J$1:$J$4</definedName>
    <definedName name="OLE_LINK1" localSheetId="1">Instructions!$B$6</definedName>
    <definedName name="_xlnm.Print_Area" localSheetId="3">'A. Completeness'!$A$1:$H$47</definedName>
    <definedName name="_xlnm.Print_Area" localSheetId="4">'B. Enrollment &amp; Disenrollment'!$A$1:$H$45</definedName>
    <definedName name="_xlnm.Print_Area" localSheetId="5">'C. Beneficiary Notification'!$A$1:$H$148</definedName>
    <definedName name="_xlnm.Print_Area" localSheetId="6">'D. Payment'!$A$1:$H$93</definedName>
    <definedName name="_xlnm.Print_Area" localSheetId="7">'E. Providers &amp; Network'!$A$1:$H$76</definedName>
    <definedName name="_xlnm.Print_Area" localSheetId="8">'F. Coverage'!$A$1:$H$133</definedName>
    <definedName name="_xlnm.Print_Area" localSheetId="9">'G. Quality and UM'!$A$1:$H$84</definedName>
    <definedName name="_xlnm.Print_Area" localSheetId="15">Glossary!$A$1:$F$123</definedName>
    <definedName name="_xlnm.Print_Area" localSheetId="10">'H. Grievances and Appeals'!$A$1:$H$107</definedName>
    <definedName name="_xlnm.Print_Area" localSheetId="11">'I. Program Integrity'!$A$1:$H$55</definedName>
    <definedName name="_xlnm.Print_Area" localSheetId="1">Instructions!$A$1:$B$40</definedName>
    <definedName name="_xlnm.Print_Area" localSheetId="12">'J. General Terms and Conditions'!$A$1:$H$153</definedName>
    <definedName name="_xlnm.Print_Area" localSheetId="13">'K. Health Information Systems'!$A$1:$H$27</definedName>
    <definedName name="_xlnm.Print_Titles" localSheetId="3">'A. Completeness'!$1:$7</definedName>
    <definedName name="_xlnm.Print_Titles" localSheetId="4">'B. Enrollment &amp; Disenrollment'!$1:$7</definedName>
    <definedName name="_xlnm.Print_Titles" localSheetId="5">'C. Beneficiary Notification'!$1:$7</definedName>
    <definedName name="_xlnm.Print_Titles" localSheetId="6">'D. Payment'!$1:$7</definedName>
    <definedName name="_xlnm.Print_Titles" localSheetId="7">'E. Providers &amp; Network'!$1:$7</definedName>
    <definedName name="_xlnm.Print_Titles" localSheetId="8">'F. Coverage'!$1:$7</definedName>
    <definedName name="_xlnm.Print_Titles" localSheetId="9">'G. Quality and UM'!$1:$7</definedName>
    <definedName name="_xlnm.Print_Titles" localSheetId="15">Glossary!$1:$1</definedName>
    <definedName name="_xlnm.Print_Titles" localSheetId="10">'H. Grievances and Appeals'!$1:$7</definedName>
    <definedName name="_xlnm.Print_Titles" localSheetId="11">'I. Program Integrity'!$1:$7</definedName>
    <definedName name="_xlnm.Print_Titles" localSheetId="1">Instructions!$1:$1</definedName>
    <definedName name="_xlnm.Print_Titles" localSheetId="12">'J. General Terms and Conditions'!$1:$7</definedName>
    <definedName name="_xlnm.Print_Titles" localSheetId="13">'K. Health Information Systems'!$1:$7</definedName>
    <definedName name="Rlist" localSheetId="3">'A. Completeness'!$M$2:$M$3</definedName>
    <definedName name="Rlist" localSheetId="5">'C. Beneficiary Notification'!$M$2:$M$3</definedName>
    <definedName name="Rlist" localSheetId="6">'D. Payment'!$M$2:$M$3</definedName>
    <definedName name="Rlist" localSheetId="7">'E. Providers &amp; Network'!$M$2:$M$3</definedName>
    <definedName name="Rlist" localSheetId="8">'F. Coverage'!$M$2:$M$3</definedName>
    <definedName name="Rlist" localSheetId="9">'G. Quality and UM'!$M$2:$M$3</definedName>
    <definedName name="Rlist" localSheetId="10">'H. Grievances and Appeals'!$M$2:$M$3</definedName>
    <definedName name="Rlist" localSheetId="11">'I. Program Integrity'!$M$2:$M$3</definedName>
    <definedName name="Rlist" localSheetId="12">'J. General Terms and Conditions'!$M$2:$M$3</definedName>
    <definedName name="Rlist" localSheetId="13">'K. Health Information Systems'!$M$2:$M$3</definedName>
    <definedName name="Rlist">'B. Enrollment &amp; Disenrollment'!$M$2:$M$3</definedName>
    <definedName name="YNNN">'A. Completeness'!$L$1:$L$4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7" i="31" l="1"/>
  <c r="AY51" i="23"/>
  <c r="M4" i="1"/>
  <c r="M2" i="1"/>
  <c r="R9" i="22"/>
  <c r="BF28" i="31"/>
  <c r="BF23" i="31"/>
  <c r="BF19" i="31"/>
  <c r="BF17" i="31"/>
  <c r="BF14" i="31"/>
  <c r="BE17" i="26"/>
  <c r="AU37" i="26"/>
  <c r="AM37" i="26"/>
  <c r="AL37" i="26"/>
  <c r="AF37" i="26"/>
  <c r="AU28" i="26"/>
  <c r="AM28" i="26"/>
  <c r="AL28" i="26"/>
  <c r="AF28" i="26"/>
  <c r="AU17" i="26"/>
  <c r="AM17" i="26"/>
  <c r="AL17" i="26"/>
  <c r="AF17" i="26"/>
  <c r="AP49" i="23"/>
  <c r="AH49" i="23"/>
  <c r="AG49" i="23" s="1"/>
  <c r="AF49" i="23"/>
  <c r="AU50" i="22"/>
  <c r="AM50" i="22"/>
  <c r="AF50" i="22"/>
  <c r="R50" i="22"/>
  <c r="AL50" i="22" s="1"/>
  <c r="AM69" i="20"/>
  <c r="W69" i="20"/>
  <c r="AV22" i="31"/>
  <c r="AN22" i="31"/>
  <c r="R22" i="31"/>
  <c r="AV18" i="31"/>
  <c r="AN18" i="31"/>
  <c r="R18" i="31"/>
  <c r="AV13" i="31"/>
  <c r="AN13" i="31"/>
  <c r="AM13" i="31"/>
  <c r="AY61" i="21"/>
  <c r="AP61" i="21"/>
  <c r="AF61" i="21"/>
  <c r="AH61" i="21"/>
  <c r="AG61" i="21" s="1"/>
  <c r="BE38" i="26"/>
  <c r="BE37" i="26" s="1"/>
  <c r="BE29" i="26"/>
  <c r="BE28" i="26" s="1"/>
  <c r="AY54" i="24"/>
  <c r="AV52" i="20"/>
  <c r="AV70" i="20"/>
  <c r="AV69" i="20" s="1"/>
  <c r="AY60" i="21"/>
  <c r="AY59" i="21"/>
  <c r="AY58" i="21"/>
  <c r="AY57" i="21"/>
  <c r="AY50" i="23"/>
  <c r="AY49" i="23" s="1"/>
  <c r="BF51" i="22"/>
  <c r="BF50" i="22" s="1"/>
  <c r="Y2" i="28"/>
  <c r="Z2" i="28" s="1"/>
  <c r="AB2" i="28"/>
  <c r="AC2" i="28" s="1"/>
  <c r="X9" i="28"/>
  <c r="AD9" i="28"/>
  <c r="Y9" i="28" s="1"/>
  <c r="X10" i="28"/>
  <c r="AD10" i="28"/>
  <c r="Y10" i="28" s="1"/>
  <c r="X11" i="28"/>
  <c r="AD11" i="28"/>
  <c r="Y11" i="28" s="1"/>
  <c r="X12" i="28"/>
  <c r="AD12" i="28"/>
  <c r="Y12" i="28" s="1"/>
  <c r="X13" i="28"/>
  <c r="AD13" i="28"/>
  <c r="Y13" i="28" s="1"/>
  <c r="X14" i="28"/>
  <c r="AD14" i="28"/>
  <c r="Y14" i="28" s="1"/>
  <c r="X15" i="28"/>
  <c r="Y15" i="28"/>
  <c r="AD15" i="28"/>
  <c r="X16" i="28"/>
  <c r="AD16" i="28"/>
  <c r="Y16" i="28" s="1"/>
  <c r="X17" i="28"/>
  <c r="AC17" i="28"/>
  <c r="AD17" i="28"/>
  <c r="X18" i="28"/>
  <c r="AC18" i="28"/>
  <c r="AD18" i="28"/>
  <c r="X19" i="28"/>
  <c r="AD19" i="28"/>
  <c r="Y19" i="28" s="1"/>
  <c r="X20" i="28"/>
  <c r="AD20" i="28"/>
  <c r="Y20" i="28" s="1"/>
  <c r="X21" i="28"/>
  <c r="AD21" i="28"/>
  <c r="Y21" i="28" s="1"/>
  <c r="X22" i="28"/>
  <c r="AD22" i="28"/>
  <c r="Y22" i="28" s="1"/>
  <c r="W9" i="25"/>
  <c r="W10" i="25"/>
  <c r="W11" i="25"/>
  <c r="W12" i="25"/>
  <c r="W13" i="25"/>
  <c r="W14" i="25"/>
  <c r="W15" i="25"/>
  <c r="W16" i="25"/>
  <c r="W17" i="25"/>
  <c r="W18" i="25"/>
  <c r="W19" i="25"/>
  <c r="W21" i="25"/>
  <c r="W22" i="25"/>
  <c r="W23" i="25"/>
  <c r="W24" i="25"/>
  <c r="W25" i="25"/>
  <c r="W26" i="25"/>
  <c r="W28" i="25"/>
  <c r="W29" i="25"/>
  <c r="W30" i="25"/>
  <c r="W31" i="25"/>
  <c r="W32" i="25"/>
  <c r="W33" i="25"/>
  <c r="W34" i="25"/>
  <c r="W35" i="25"/>
  <c r="W36" i="25"/>
  <c r="W37" i="25"/>
  <c r="W38" i="25"/>
  <c r="W40" i="25"/>
  <c r="W41" i="25"/>
  <c r="W42" i="25"/>
  <c r="W44" i="25"/>
  <c r="W45" i="25"/>
  <c r="W46" i="25"/>
  <c r="W48" i="25"/>
  <c r="W49" i="25"/>
  <c r="W50" i="25"/>
  <c r="W51" i="25"/>
  <c r="W52" i="25"/>
  <c r="W53" i="25"/>
  <c r="W54" i="25"/>
  <c r="W55" i="25"/>
  <c r="W56" i="25"/>
  <c r="W57" i="25"/>
  <c r="W59" i="25"/>
  <c r="W60" i="25"/>
  <c r="W61" i="25"/>
  <c r="W62" i="25"/>
  <c r="W63" i="25"/>
  <c r="W64" i="25"/>
  <c r="W65" i="25"/>
  <c r="W66" i="25"/>
  <c r="W67" i="25"/>
  <c r="W68" i="25"/>
  <c r="W70" i="25"/>
  <c r="W71" i="25"/>
  <c r="W73" i="25"/>
  <c r="W74" i="25"/>
  <c r="W75" i="25"/>
  <c r="W76" i="25"/>
  <c r="W77" i="25"/>
  <c r="W78" i="25"/>
  <c r="W80" i="25"/>
  <c r="W81" i="25"/>
  <c r="W82" i="25"/>
  <c r="W83" i="25"/>
  <c r="W84" i="25"/>
  <c r="W85" i="25"/>
  <c r="W86" i="25"/>
  <c r="W87" i="25"/>
  <c r="W88" i="25"/>
  <c r="W90" i="25"/>
  <c r="W91" i="25"/>
  <c r="W92" i="25"/>
  <c r="W93" i="25"/>
  <c r="W94" i="25"/>
  <c r="W95" i="25"/>
  <c r="W96" i="25"/>
  <c r="W97" i="25"/>
  <c r="Z17" i="28" l="1"/>
  <c r="AG37" i="26"/>
  <c r="AG50" i="22"/>
  <c r="AB18" i="28"/>
  <c r="AA18" i="28" s="1"/>
  <c r="Z18" i="28"/>
  <c r="AB17" i="28"/>
  <c r="AA17" i="28" s="1"/>
  <c r="BF18" i="31"/>
  <c r="BF22" i="31"/>
  <c r="BF16" i="31"/>
  <c r="BF13" i="31"/>
  <c r="AG28" i="26"/>
  <c r="AG17" i="26"/>
  <c r="AM22" i="31"/>
  <c r="AM18" i="31"/>
  <c r="AA2" i="28"/>
  <c r="Y17" i="28" l="1"/>
  <c r="Y18" i="28"/>
  <c r="AP60" i="21"/>
  <c r="AH60" i="21"/>
  <c r="AG60" i="21" s="1"/>
  <c r="AF60" i="21"/>
  <c r="AP59" i="21"/>
  <c r="AH59" i="21"/>
  <c r="AG59" i="21" s="1"/>
  <c r="AF59" i="21"/>
  <c r="AP58" i="21"/>
  <c r="AH58" i="21"/>
  <c r="AG58" i="21" s="1"/>
  <c r="AF58" i="21"/>
  <c r="AP57" i="21"/>
  <c r="AH57" i="21"/>
  <c r="AG57" i="21" s="1"/>
  <c r="AF57" i="21"/>
  <c r="W52" i="20"/>
  <c r="AN28" i="31"/>
  <c r="AA2" i="16" l="1"/>
  <c r="AA16" i="16" s="1"/>
  <c r="AI2" i="28"/>
  <c r="AH2" i="28"/>
  <c r="AB2" i="27"/>
  <c r="AA2" i="27"/>
  <c r="AB2" i="26"/>
  <c r="AB37" i="26" s="1"/>
  <c r="AA2" i="26"/>
  <c r="AB2" i="25"/>
  <c r="AA2" i="25"/>
  <c r="AA31" i="25" s="1"/>
  <c r="AB2" i="24"/>
  <c r="AA2" i="24"/>
  <c r="AB2" i="23"/>
  <c r="AB49" i="23" s="1"/>
  <c r="AA2" i="23"/>
  <c r="AB2" i="21"/>
  <c r="AB61" i="21" s="1"/>
  <c r="AA2" i="21"/>
  <c r="AA61" i="21" s="1"/>
  <c r="AB2" i="22"/>
  <c r="AA2" i="22"/>
  <c r="AB2" i="20"/>
  <c r="AB69" i="20" s="1"/>
  <c r="AA2" i="20"/>
  <c r="AA69" i="20" s="1"/>
  <c r="AB2" i="31"/>
  <c r="AA2" i="31"/>
  <c r="AB2" i="16"/>
  <c r="AL2" i="28"/>
  <c r="AL12" i="28" s="1"/>
  <c r="AK2" i="28"/>
  <c r="AJ2" i="28"/>
  <c r="AG2" i="28"/>
  <c r="AG13" i="28" s="1"/>
  <c r="AE2" i="27"/>
  <c r="AD2" i="27"/>
  <c r="AC2" i="27"/>
  <c r="Z2" i="27"/>
  <c r="Z58" i="27" s="1"/>
  <c r="AE2" i="26"/>
  <c r="AE37" i="26" s="1"/>
  <c r="AD2" i="26"/>
  <c r="AD37" i="26" s="1"/>
  <c r="AC2" i="26"/>
  <c r="AC37" i="26" s="1"/>
  <c r="Z2" i="26"/>
  <c r="Z37" i="26" s="1"/>
  <c r="AE2" i="25"/>
  <c r="AD2" i="25"/>
  <c r="AC2" i="25"/>
  <c r="Z2" i="25"/>
  <c r="AE2" i="24"/>
  <c r="AD2" i="24"/>
  <c r="AC2" i="24"/>
  <c r="AC46" i="24" s="1"/>
  <c r="Z2" i="24"/>
  <c r="AE2" i="23"/>
  <c r="AE49" i="23" s="1"/>
  <c r="AD2" i="23"/>
  <c r="AC2" i="23"/>
  <c r="Z2" i="23"/>
  <c r="Z49" i="23" s="1"/>
  <c r="AE2" i="21"/>
  <c r="AE61" i="21" s="1"/>
  <c r="AD2" i="21"/>
  <c r="AD61" i="21" s="1"/>
  <c r="AC2" i="21"/>
  <c r="AC61" i="21" s="1"/>
  <c r="Z2" i="21"/>
  <c r="Z61" i="21" s="1"/>
  <c r="AE2" i="22"/>
  <c r="AD2" i="22"/>
  <c r="AC2" i="22"/>
  <c r="AC50" i="22" s="1"/>
  <c r="Z2" i="22"/>
  <c r="Z50" i="22" s="1"/>
  <c r="AE2" i="20"/>
  <c r="AE69" i="20" s="1"/>
  <c r="AD2" i="20"/>
  <c r="AD69" i="20" s="1"/>
  <c r="AC2" i="20"/>
  <c r="AC69" i="20" s="1"/>
  <c r="Z2" i="20"/>
  <c r="AE2" i="16"/>
  <c r="AE14" i="16" s="1"/>
  <c r="AD2" i="16"/>
  <c r="AD18" i="16" s="1"/>
  <c r="AC2" i="16"/>
  <c r="Z2" i="16"/>
  <c r="Z15" i="16" s="1"/>
  <c r="W9" i="31"/>
  <c r="AE10" i="22" l="1"/>
  <c r="AE50" i="22"/>
  <c r="AD75" i="22"/>
  <c r="AD50" i="22"/>
  <c r="AD43" i="23"/>
  <c r="AD49" i="23"/>
  <c r="AC28" i="23"/>
  <c r="AC49" i="23"/>
  <c r="AB18" i="31"/>
  <c r="AB22" i="31"/>
  <c r="AB51" i="22"/>
  <c r="AB50" i="22"/>
  <c r="AA29" i="22"/>
  <c r="AA50" i="22"/>
  <c r="AA81" i="23"/>
  <c r="AA49" i="23"/>
  <c r="AA18" i="31"/>
  <c r="AA22" i="31"/>
  <c r="AA28" i="26"/>
  <c r="AA37" i="26"/>
  <c r="Y37" i="26" s="1"/>
  <c r="X37" i="26" s="1"/>
  <c r="U37" i="26" s="1"/>
  <c r="Y61" i="21"/>
  <c r="X61" i="21" s="1"/>
  <c r="U61" i="21" s="1"/>
  <c r="Z52" i="20"/>
  <c r="Z69" i="20"/>
  <c r="Y69" i="20" s="1"/>
  <c r="X69" i="20" s="1"/>
  <c r="U69" i="20" s="1"/>
  <c r="Z17" i="26"/>
  <c r="Z28" i="26"/>
  <c r="AC17" i="26"/>
  <c r="AC28" i="26"/>
  <c r="AD17" i="26"/>
  <c r="AD28" i="26"/>
  <c r="AE17" i="26"/>
  <c r="AE28" i="26"/>
  <c r="AB17" i="26"/>
  <c r="AB28" i="26"/>
  <c r="AA11" i="26"/>
  <c r="AA17" i="26"/>
  <c r="AB13" i="31"/>
  <c r="AB16" i="31"/>
  <c r="AA13" i="31"/>
  <c r="AA16" i="31"/>
  <c r="AA28" i="31"/>
  <c r="AA17" i="31"/>
  <c r="AB28" i="31"/>
  <c r="AB17" i="31"/>
  <c r="AC13" i="16"/>
  <c r="AC9" i="16"/>
  <c r="AE58" i="21"/>
  <c r="AE59" i="21"/>
  <c r="AE60" i="21"/>
  <c r="AE57" i="21"/>
  <c r="AE135" i="20"/>
  <c r="AE52" i="20"/>
  <c r="AD33" i="21"/>
  <c r="AD59" i="21"/>
  <c r="AD58" i="21"/>
  <c r="AD60" i="21"/>
  <c r="AD57" i="21"/>
  <c r="AD24" i="20"/>
  <c r="AD52" i="20"/>
  <c r="AC116" i="20"/>
  <c r="AC52" i="20"/>
  <c r="AC42" i="21"/>
  <c r="AC60" i="21"/>
  <c r="AC58" i="21"/>
  <c r="AC59" i="21"/>
  <c r="AC57" i="21"/>
  <c r="AB27" i="21"/>
  <c r="AB59" i="21"/>
  <c r="AB57" i="21"/>
  <c r="AB58" i="21"/>
  <c r="AB60" i="21"/>
  <c r="AB43" i="20"/>
  <c r="AB52" i="20"/>
  <c r="AA55" i="21"/>
  <c r="AA57" i="21"/>
  <c r="AA60" i="21"/>
  <c r="AA58" i="21"/>
  <c r="AA59" i="21"/>
  <c r="AA36" i="20"/>
  <c r="AA52" i="20"/>
  <c r="Z59" i="21"/>
  <c r="Z57" i="21"/>
  <c r="Z58" i="21"/>
  <c r="Z60" i="21"/>
  <c r="AD105" i="20"/>
  <c r="AE32" i="16"/>
  <c r="AE17" i="20"/>
  <c r="AE130" i="20"/>
  <c r="AD17" i="20"/>
  <c r="AD16" i="21"/>
  <c r="AD131" i="20"/>
  <c r="AD28" i="20"/>
  <c r="AD123" i="20"/>
  <c r="AD118" i="20"/>
  <c r="AD84" i="20"/>
  <c r="AB34" i="22"/>
  <c r="AB25" i="22"/>
  <c r="AA133" i="20"/>
  <c r="AA93" i="20"/>
  <c r="AA48" i="20"/>
  <c r="AA124" i="20"/>
  <c r="AA108" i="20"/>
  <c r="AA22" i="20"/>
  <c r="AD13" i="20"/>
  <c r="AA130" i="20"/>
  <c r="AD117" i="20"/>
  <c r="AD99" i="20"/>
  <c r="AA84" i="20"/>
  <c r="AA73" i="22"/>
  <c r="AD12" i="21"/>
  <c r="AA14" i="20"/>
  <c r="AA102" i="20"/>
  <c r="AD21" i="20"/>
  <c r="AA13" i="20"/>
  <c r="AA128" i="20"/>
  <c r="AA117" i="20"/>
  <c r="AD98" i="20"/>
  <c r="AA82" i="20"/>
  <c r="AB69" i="22"/>
  <c r="AA40" i="21"/>
  <c r="AA23" i="20"/>
  <c r="AA21" i="20"/>
  <c r="AA10" i="20"/>
  <c r="AE126" i="20"/>
  <c r="AE114" i="20"/>
  <c r="AA98" i="20"/>
  <c r="AD73" i="20"/>
  <c r="AB59" i="22"/>
  <c r="AA51" i="21"/>
  <c r="AA20" i="20"/>
  <c r="AA126" i="20"/>
  <c r="AD111" i="20"/>
  <c r="AA96" i="20"/>
  <c r="AA71" i="20"/>
  <c r="AA37" i="22"/>
  <c r="AD30" i="16"/>
  <c r="AA91" i="20"/>
  <c r="AA41" i="20"/>
  <c r="AA16" i="20"/>
  <c r="AA131" i="20"/>
  <c r="AA121" i="20"/>
  <c r="AA105" i="20"/>
  <c r="AA90" i="20"/>
  <c r="AA31" i="20"/>
  <c r="AA11" i="22"/>
  <c r="AB77" i="24"/>
  <c r="AB61" i="24"/>
  <c r="AB69" i="24"/>
  <c r="AB42" i="24"/>
  <c r="AB47" i="24"/>
  <c r="AB55" i="24"/>
  <c r="AB37" i="24"/>
  <c r="AB26" i="24"/>
  <c r="AB13" i="24"/>
  <c r="AB74" i="24"/>
  <c r="AB64" i="24"/>
  <c r="AB72" i="24"/>
  <c r="AB45" i="24"/>
  <c r="AB50" i="24"/>
  <c r="AB35" i="24"/>
  <c r="AB29" i="24"/>
  <c r="AB16" i="24"/>
  <c r="AB76" i="24"/>
  <c r="AB62" i="24"/>
  <c r="AB70" i="24"/>
  <c r="AB43" i="24"/>
  <c r="AB48" i="24"/>
  <c r="AB39" i="24"/>
  <c r="AB27" i="24"/>
  <c r="AB14" i="24"/>
  <c r="AB65" i="24"/>
  <c r="AB59" i="24"/>
  <c r="AB46" i="24"/>
  <c r="AB51" i="24"/>
  <c r="AB36" i="24"/>
  <c r="AB33" i="24"/>
  <c r="AB30" i="24"/>
  <c r="AB17" i="24"/>
  <c r="AB67" i="24"/>
  <c r="AB53" i="24"/>
  <c r="AB24" i="24"/>
  <c r="AB19" i="24"/>
  <c r="AB9" i="24"/>
  <c r="AB68" i="24"/>
  <c r="AB54" i="24"/>
  <c r="AB25" i="24"/>
  <c r="AB20" i="24"/>
  <c r="AB75" i="24"/>
  <c r="AB63" i="24"/>
  <c r="AB44" i="24"/>
  <c r="AB49" i="24"/>
  <c r="AB15" i="24"/>
  <c r="AB57" i="24"/>
  <c r="AB31" i="24"/>
  <c r="AB40" i="24"/>
  <c r="AB22" i="24"/>
  <c r="AB60" i="24"/>
  <c r="AB41" i="24"/>
  <c r="AB12" i="24"/>
  <c r="AB11" i="24"/>
  <c r="AB71" i="24"/>
  <c r="AB34" i="24"/>
  <c r="AB28" i="24"/>
  <c r="AB52" i="24"/>
  <c r="AB23" i="24"/>
  <c r="AB66" i="24"/>
  <c r="AB127" i="20"/>
  <c r="AB92" i="20"/>
  <c r="AD56" i="22"/>
  <c r="AB16" i="16"/>
  <c r="AB25" i="16"/>
  <c r="AB29" i="16"/>
  <c r="AB11" i="16"/>
  <c r="AD26" i="20"/>
  <c r="AD43" i="20"/>
  <c r="AD50" i="20"/>
  <c r="AD63" i="20"/>
  <c r="AD86" i="20"/>
  <c r="AD92" i="20"/>
  <c r="AD97" i="20"/>
  <c r="AD104" i="20"/>
  <c r="AD109" i="20"/>
  <c r="AD114" i="20"/>
  <c r="AD116" i="20"/>
  <c r="AD31" i="20"/>
  <c r="AD36" i="20"/>
  <c r="AD41" i="20"/>
  <c r="AD48" i="20"/>
  <c r="AD56" i="20"/>
  <c r="AD71" i="20"/>
  <c r="AD77" i="20"/>
  <c r="AD29" i="20"/>
  <c r="AD34" i="20"/>
  <c r="AD46" i="20"/>
  <c r="AD54" i="20"/>
  <c r="AD59" i="20"/>
  <c r="AD61" i="20"/>
  <c r="AD67" i="20"/>
  <c r="AD75" i="20"/>
  <c r="AD95" i="20"/>
  <c r="AD100" i="20"/>
  <c r="AD107" i="20"/>
  <c r="AD112" i="20"/>
  <c r="AD126" i="20"/>
  <c r="AD133" i="20"/>
  <c r="AD10" i="20"/>
  <c r="AD15" i="20"/>
  <c r="AD20" i="20"/>
  <c r="AD22" i="20"/>
  <c r="AD9" i="20"/>
  <c r="AD39" i="20"/>
  <c r="AD27" i="20"/>
  <c r="AD32" i="20"/>
  <c r="AD37" i="20"/>
  <c r="AD42" i="20"/>
  <c r="AD44" i="20"/>
  <c r="AD49" i="20"/>
  <c r="AD51" i="20"/>
  <c r="AD57" i="20"/>
  <c r="AD64" i="20"/>
  <c r="AD72" i="20"/>
  <c r="AD79" i="20"/>
  <c r="AD85" i="20"/>
  <c r="AD115" i="20"/>
  <c r="AD122" i="20"/>
  <c r="AD129" i="20"/>
  <c r="AD18" i="20"/>
  <c r="AD30" i="20"/>
  <c r="AD55" i="20"/>
  <c r="AD62" i="20"/>
  <c r="AD70" i="20"/>
  <c r="AD91" i="20"/>
  <c r="AD96" i="20"/>
  <c r="AD103" i="20"/>
  <c r="AD108" i="20"/>
  <c r="AD113" i="20"/>
  <c r="AD35" i="20"/>
  <c r="AD40" i="20"/>
  <c r="AD47" i="20"/>
  <c r="AD76" i="20"/>
  <c r="AD83" i="20"/>
  <c r="AD88" i="20"/>
  <c r="AD94" i="20"/>
  <c r="AD101" i="20"/>
  <c r="AD106" i="20"/>
  <c r="AD120" i="20"/>
  <c r="AD127" i="20"/>
  <c r="AD135" i="20"/>
  <c r="Z66" i="21"/>
  <c r="Z42" i="21"/>
  <c r="AB89" i="23"/>
  <c r="AB81" i="23"/>
  <c r="AB79" i="23"/>
  <c r="AB70" i="23"/>
  <c r="AB65" i="23"/>
  <c r="AB57" i="23"/>
  <c r="AB101" i="23"/>
  <c r="AB93" i="23"/>
  <c r="AB84" i="23"/>
  <c r="AB73" i="23"/>
  <c r="AB59" i="23"/>
  <c r="AB44" i="23"/>
  <c r="AB104" i="23"/>
  <c r="AB96" i="23"/>
  <c r="AB86" i="23"/>
  <c r="AB76" i="23"/>
  <c r="AB63" i="23"/>
  <c r="AB53" i="23"/>
  <c r="AB47" i="23"/>
  <c r="AB35" i="23"/>
  <c r="AB30" i="23"/>
  <c r="AB17" i="23"/>
  <c r="AB22" i="23"/>
  <c r="AB99" i="23"/>
  <c r="AB90" i="23"/>
  <c r="AB82" i="23"/>
  <c r="AB71" i="23"/>
  <c r="AB66" i="23"/>
  <c r="AB55" i="23"/>
  <c r="AB42" i="23"/>
  <c r="AB51" i="23"/>
  <c r="AB12" i="23"/>
  <c r="AB25" i="23"/>
  <c r="AB102" i="23"/>
  <c r="AB85" i="23"/>
  <c r="AB74" i="23"/>
  <c r="AB68" i="23"/>
  <c r="AB94" i="23"/>
  <c r="AB92" i="23"/>
  <c r="AB80" i="23"/>
  <c r="AB77" i="23"/>
  <c r="AB64" i="23"/>
  <c r="AB58" i="23"/>
  <c r="AB40" i="23"/>
  <c r="AB48" i="23"/>
  <c r="AB36" i="23"/>
  <c r="AB100" i="23"/>
  <c r="AB98" i="23"/>
  <c r="AB88" i="23"/>
  <c r="AB83" i="23"/>
  <c r="AB72" i="23"/>
  <c r="AB61" i="23"/>
  <c r="AB54" i="23"/>
  <c r="AB43" i="23"/>
  <c r="AB13" i="23"/>
  <c r="AB26" i="23"/>
  <c r="AB39" i="23"/>
  <c r="AB32" i="23"/>
  <c r="AB45" i="23"/>
  <c r="AB21" i="23"/>
  <c r="AB9" i="23"/>
  <c r="AB103" i="23"/>
  <c r="AB46" i="23"/>
  <c r="AB75" i="23"/>
  <c r="AB18" i="23"/>
  <c r="AB37" i="23"/>
  <c r="AB10" i="23"/>
  <c r="AB14" i="23"/>
  <c r="AB62" i="23"/>
  <c r="AB41" i="23"/>
  <c r="AB15" i="23"/>
  <c r="AB19" i="23"/>
  <c r="AB23" i="23"/>
  <c r="AB27" i="23"/>
  <c r="AB50" i="23"/>
  <c r="AB34" i="23"/>
  <c r="AB11" i="23"/>
  <c r="AB28" i="23"/>
  <c r="AD74" i="24"/>
  <c r="AD66" i="24"/>
  <c r="AD52" i="24"/>
  <c r="AD23" i="24"/>
  <c r="AD31" i="24"/>
  <c r="AD18" i="24"/>
  <c r="AD61" i="24"/>
  <c r="AD69" i="24"/>
  <c r="AD42" i="24"/>
  <c r="AD47" i="24"/>
  <c r="AD55" i="24"/>
  <c r="AD37" i="24"/>
  <c r="AD26" i="24"/>
  <c r="AD22" i="24"/>
  <c r="AD13" i="24"/>
  <c r="AD67" i="24"/>
  <c r="AD59" i="24"/>
  <c r="AD40" i="24"/>
  <c r="AD53" i="24"/>
  <c r="AD33" i="24"/>
  <c r="AD24" i="24"/>
  <c r="AD19" i="24"/>
  <c r="AD62" i="24"/>
  <c r="AD70" i="24"/>
  <c r="AD43" i="24"/>
  <c r="AD48" i="24"/>
  <c r="AD27" i="24"/>
  <c r="AD14" i="24"/>
  <c r="AD76" i="24"/>
  <c r="AD72" i="24"/>
  <c r="AD35" i="24"/>
  <c r="AD29" i="24"/>
  <c r="AD75" i="24"/>
  <c r="AD36" i="24"/>
  <c r="AD30" i="24"/>
  <c r="AD68" i="24"/>
  <c r="AD57" i="24"/>
  <c r="AD54" i="24"/>
  <c r="AD25" i="24"/>
  <c r="AD20" i="24"/>
  <c r="AD63" i="24"/>
  <c r="AD44" i="24"/>
  <c r="AD49" i="24"/>
  <c r="AD15" i="24"/>
  <c r="AD64" i="24"/>
  <c r="AD45" i="24"/>
  <c r="AD50" i="24"/>
  <c r="AD39" i="24"/>
  <c r="AD16" i="24"/>
  <c r="AD11" i="24"/>
  <c r="AD65" i="24"/>
  <c r="AD51" i="24"/>
  <c r="AD17" i="24"/>
  <c r="AD60" i="24"/>
  <c r="AD41" i="24"/>
  <c r="AD46" i="24"/>
  <c r="AD12" i="24"/>
  <c r="AD9" i="24"/>
  <c r="AD34" i="24"/>
  <c r="AD77" i="24"/>
  <c r="AD28" i="24"/>
  <c r="Z24" i="26"/>
  <c r="Z27" i="26"/>
  <c r="AB35" i="27"/>
  <c r="AB48" i="27"/>
  <c r="AB27" i="27"/>
  <c r="AB22" i="27"/>
  <c r="AB10" i="27"/>
  <c r="AB59" i="27"/>
  <c r="AB36" i="27"/>
  <c r="AB41" i="27"/>
  <c r="AB49" i="27"/>
  <c r="AB26" i="27"/>
  <c r="AB21" i="27"/>
  <c r="AB11" i="27"/>
  <c r="AB56" i="27"/>
  <c r="AB39" i="27"/>
  <c r="AB44" i="27"/>
  <c r="AB33" i="27"/>
  <c r="AB23" i="27"/>
  <c r="AB14" i="27"/>
  <c r="AB52" i="27"/>
  <c r="AB47" i="27"/>
  <c r="AB29" i="27"/>
  <c r="AB17" i="27"/>
  <c r="AB58" i="27"/>
  <c r="AB37" i="27"/>
  <c r="AB42" i="27"/>
  <c r="AB50" i="27"/>
  <c r="AB25" i="27"/>
  <c r="AB20" i="27"/>
  <c r="AB12" i="27"/>
  <c r="AB55" i="27"/>
  <c r="AB40" i="27"/>
  <c r="AB45" i="27"/>
  <c r="AB32" i="27"/>
  <c r="AB15" i="27"/>
  <c r="AB46" i="27"/>
  <c r="AB38" i="27"/>
  <c r="AB24" i="27"/>
  <c r="AB13" i="27"/>
  <c r="AB57" i="27"/>
  <c r="AB34" i="27"/>
  <c r="AB9" i="27"/>
  <c r="AB43" i="27"/>
  <c r="AB54" i="27"/>
  <c r="AB30" i="27"/>
  <c r="AB18" i="27"/>
  <c r="AK12" i="28"/>
  <c r="AK20" i="28"/>
  <c r="AK13" i="28"/>
  <c r="AK21" i="28"/>
  <c r="AK16" i="28"/>
  <c r="AK11" i="28"/>
  <c r="AK19" i="28"/>
  <c r="AK14" i="28"/>
  <c r="AK22" i="28"/>
  <c r="AK17" i="28"/>
  <c r="AK9" i="28"/>
  <c r="AK10" i="28"/>
  <c r="AK15" i="28"/>
  <c r="AK18" i="28"/>
  <c r="AD26" i="16"/>
  <c r="AC24" i="20"/>
  <c r="AB17" i="20"/>
  <c r="AC135" i="20"/>
  <c r="AB123" i="20"/>
  <c r="AD110" i="20"/>
  <c r="AB104" i="20"/>
  <c r="AD65" i="20"/>
  <c r="AD45" i="20"/>
  <c r="AB26" i="20"/>
  <c r="AA54" i="22"/>
  <c r="AD31" i="22"/>
  <c r="AD51" i="23"/>
  <c r="AE29" i="20"/>
  <c r="AE38" i="20"/>
  <c r="AE80" i="20"/>
  <c r="AE118" i="20"/>
  <c r="AE26" i="20"/>
  <c r="AE50" i="20"/>
  <c r="AE63" i="20"/>
  <c r="AE90" i="20"/>
  <c r="AE102" i="20"/>
  <c r="AE34" i="20"/>
  <c r="AE46" i="20"/>
  <c r="AE59" i="20"/>
  <c r="AE75" i="20"/>
  <c r="AE98" i="20"/>
  <c r="AE110" i="20"/>
  <c r="AE13" i="20"/>
  <c r="AE42" i="20"/>
  <c r="AE85" i="20"/>
  <c r="AE122" i="20"/>
  <c r="AE30" i="20"/>
  <c r="AE55" i="20"/>
  <c r="AE70" i="20"/>
  <c r="AE21" i="20"/>
  <c r="AA53" i="21"/>
  <c r="AA38" i="21"/>
  <c r="AA43" i="21"/>
  <c r="AA34" i="21"/>
  <c r="AA24" i="21"/>
  <c r="AA17" i="21"/>
  <c r="AA66" i="21"/>
  <c r="AA48" i="21"/>
  <c r="AA41" i="21"/>
  <c r="AA32" i="21"/>
  <c r="AA27" i="21"/>
  <c r="AA12" i="21"/>
  <c r="AA49" i="21"/>
  <c r="AA37" i="21"/>
  <c r="AA28" i="21"/>
  <c r="AA13" i="21"/>
  <c r="AA21" i="21"/>
  <c r="AA45" i="21"/>
  <c r="AA35" i="21"/>
  <c r="AA19" i="21"/>
  <c r="AA10" i="21"/>
  <c r="AA14" i="21"/>
  <c r="AA68" i="21"/>
  <c r="AA63" i="21"/>
  <c r="AA47" i="21"/>
  <c r="AA42" i="21"/>
  <c r="AA25" i="21"/>
  <c r="AA29" i="21"/>
  <c r="AA15" i="21"/>
  <c r="AA9" i="21"/>
  <c r="AA64" i="21"/>
  <c r="AA30" i="21"/>
  <c r="AA11" i="21"/>
  <c r="AA56" i="21"/>
  <c r="AA39" i="21"/>
  <c r="AA33" i="21"/>
  <c r="AA22" i="21"/>
  <c r="AA26" i="21"/>
  <c r="AA16" i="21"/>
  <c r="AA65" i="21"/>
  <c r="AA50" i="21"/>
  <c r="AC81" i="23"/>
  <c r="AC93" i="23"/>
  <c r="AC85" i="23"/>
  <c r="AE62" i="24"/>
  <c r="AE11" i="24"/>
  <c r="AE33" i="24"/>
  <c r="AE77" i="24"/>
  <c r="AA22" i="26"/>
  <c r="AA27" i="26"/>
  <c r="AA19" i="26"/>
  <c r="AA23" i="26"/>
  <c r="AA29" i="26"/>
  <c r="AA26" i="26"/>
  <c r="AA32" i="26"/>
  <c r="AA13" i="26"/>
  <c r="AA21" i="26"/>
  <c r="AA16" i="26"/>
  <c r="AA40" i="26"/>
  <c r="AA24" i="26"/>
  <c r="AA30" i="26"/>
  <c r="AA9" i="26"/>
  <c r="AA36" i="26"/>
  <c r="AA35" i="26"/>
  <c r="AA33" i="26"/>
  <c r="AA14" i="26"/>
  <c r="AA25" i="26"/>
  <c r="AA12" i="26"/>
  <c r="AA15" i="26"/>
  <c r="AA31" i="26"/>
  <c r="AA38" i="26"/>
  <c r="AC36" i="27"/>
  <c r="AC40" i="27"/>
  <c r="Z24" i="16"/>
  <c r="AB24" i="20"/>
  <c r="AB20" i="20"/>
  <c r="AD16" i="20"/>
  <c r="AD12" i="20"/>
  <c r="AA135" i="20"/>
  <c r="AD130" i="20"/>
  <c r="AB126" i="20"/>
  <c r="AB122" i="20"/>
  <c r="AA110" i="20"/>
  <c r="AA103" i="20"/>
  <c r="AB97" i="20"/>
  <c r="AD90" i="20"/>
  <c r="AD82" i="20"/>
  <c r="AB63" i="20"/>
  <c r="AB21" i="21"/>
  <c r="AB65" i="21"/>
  <c r="AD9" i="22"/>
  <c r="AD10" i="22"/>
  <c r="AD25" i="22"/>
  <c r="AD34" i="22"/>
  <c r="AD42" i="22"/>
  <c r="AD51" i="22"/>
  <c r="AD59" i="22"/>
  <c r="AD69" i="22"/>
  <c r="AD11" i="22"/>
  <c r="AD16" i="22"/>
  <c r="AD19" i="22"/>
  <c r="AD29" i="22"/>
  <c r="AD37" i="22"/>
  <c r="AD45" i="22"/>
  <c r="AD54" i="22"/>
  <c r="AD62" i="22"/>
  <c r="AD73" i="22"/>
  <c r="AD12" i="22"/>
  <c r="AD23" i="22"/>
  <c r="AD32" i="22"/>
  <c r="AD40" i="22"/>
  <c r="AD48" i="22"/>
  <c r="AD57" i="22"/>
  <c r="AD66" i="22"/>
  <c r="AD76" i="22"/>
  <c r="AD17" i="22"/>
  <c r="AD26" i="22"/>
  <c r="AD35" i="22"/>
  <c r="AD43" i="22"/>
  <c r="AD52" i="22"/>
  <c r="AD60" i="22"/>
  <c r="AD71" i="22"/>
  <c r="AD14" i="22"/>
  <c r="AD21" i="22"/>
  <c r="AD30" i="22"/>
  <c r="AD38" i="22"/>
  <c r="AD46" i="22"/>
  <c r="AD55" i="22"/>
  <c r="AD64" i="22"/>
  <c r="AD74" i="22"/>
  <c r="AD24" i="22"/>
  <c r="AD33" i="22"/>
  <c r="AD41" i="22"/>
  <c r="AD49" i="22"/>
  <c r="AD58" i="22"/>
  <c r="AD68" i="22"/>
  <c r="AD78" i="22"/>
  <c r="AD18" i="22"/>
  <c r="AD28" i="22"/>
  <c r="AD36" i="22"/>
  <c r="AD44" i="22"/>
  <c r="AD53" i="22"/>
  <c r="AD61" i="22"/>
  <c r="AD72" i="22"/>
  <c r="AA61" i="23"/>
  <c r="AB36" i="26"/>
  <c r="AB33" i="26"/>
  <c r="AB14" i="26"/>
  <c r="AB38" i="26"/>
  <c r="AB15" i="26"/>
  <c r="AB23" i="26"/>
  <c r="AB29" i="26"/>
  <c r="AB21" i="26"/>
  <c r="AB40" i="26"/>
  <c r="AB26" i="26"/>
  <c r="AB32" i="26"/>
  <c r="AB13" i="26"/>
  <c r="AB9" i="26"/>
  <c r="AB35" i="26"/>
  <c r="AB16" i="26"/>
  <c r="AB24" i="26"/>
  <c r="AB30" i="26"/>
  <c r="AB19" i="26"/>
  <c r="AB22" i="26"/>
  <c r="AB25" i="26"/>
  <c r="AB12" i="26"/>
  <c r="AB27" i="26"/>
  <c r="AB11" i="26"/>
  <c r="AB31" i="26"/>
  <c r="AD23" i="20"/>
  <c r="AB31" i="20"/>
  <c r="AB36" i="20"/>
  <c r="AB41" i="20"/>
  <c r="AB48" i="20"/>
  <c r="AB56" i="20"/>
  <c r="AB71" i="20"/>
  <c r="AB77" i="20"/>
  <c r="AB84" i="20"/>
  <c r="AB90" i="20"/>
  <c r="AB102" i="20"/>
  <c r="AB121" i="20"/>
  <c r="AB29" i="20"/>
  <c r="AB34" i="20"/>
  <c r="AB46" i="20"/>
  <c r="AB54" i="20"/>
  <c r="AB59" i="20"/>
  <c r="AB61" i="20"/>
  <c r="AB67" i="20"/>
  <c r="AB75" i="20"/>
  <c r="AB39" i="20"/>
  <c r="AB44" i="20"/>
  <c r="AB82" i="20"/>
  <c r="AB87" i="20"/>
  <c r="AB93" i="20"/>
  <c r="AB98" i="20"/>
  <c r="AB105" i="20"/>
  <c r="AB110" i="20"/>
  <c r="AB117" i="20"/>
  <c r="AB119" i="20"/>
  <c r="AB124" i="20"/>
  <c r="AB131" i="20"/>
  <c r="AB13" i="20"/>
  <c r="AB27" i="20"/>
  <c r="AB32" i="20"/>
  <c r="AB37" i="20"/>
  <c r="AB42" i="20"/>
  <c r="AB49" i="20"/>
  <c r="AB51" i="20"/>
  <c r="AB57" i="20"/>
  <c r="AB64" i="20"/>
  <c r="AB72" i="20"/>
  <c r="AB30" i="20"/>
  <c r="AB55" i="20"/>
  <c r="AB62" i="20"/>
  <c r="AB70" i="20"/>
  <c r="AB91" i="20"/>
  <c r="AB96" i="20"/>
  <c r="AB101" i="20"/>
  <c r="AB103" i="20"/>
  <c r="AB108" i="20"/>
  <c r="AB113" i="20"/>
  <c r="AB135" i="20"/>
  <c r="AB11" i="20"/>
  <c r="AB16" i="20"/>
  <c r="AB21" i="20"/>
  <c r="AB23" i="20"/>
  <c r="AB35" i="20"/>
  <c r="AB40" i="20"/>
  <c r="AB47" i="20"/>
  <c r="AB76" i="20"/>
  <c r="AB83" i="20"/>
  <c r="AB88" i="20"/>
  <c r="AB94" i="20"/>
  <c r="AB106" i="20"/>
  <c r="AB118" i="20"/>
  <c r="AB120" i="20"/>
  <c r="AB28" i="20"/>
  <c r="AB33" i="20"/>
  <c r="AB38" i="20"/>
  <c r="AB45" i="20"/>
  <c r="AB53" i="20"/>
  <c r="AB58" i="20"/>
  <c r="AB60" i="20"/>
  <c r="AB65" i="20"/>
  <c r="AB73" i="20"/>
  <c r="AB80" i="20"/>
  <c r="AB99" i="20"/>
  <c r="AB111" i="20"/>
  <c r="AB116" i="20"/>
  <c r="AB130" i="20"/>
  <c r="AB14" i="20"/>
  <c r="AB19" i="20"/>
  <c r="AD96" i="25"/>
  <c r="AD83" i="25"/>
  <c r="AD80" i="25"/>
  <c r="AD75" i="25"/>
  <c r="AD97" i="25"/>
  <c r="AD84" i="25"/>
  <c r="AD76" i="25"/>
  <c r="AD67" i="25"/>
  <c r="AD54" i="25"/>
  <c r="AD45" i="25"/>
  <c r="AD36" i="25"/>
  <c r="AD26" i="25"/>
  <c r="AD13" i="25"/>
  <c r="AD92" i="25"/>
  <c r="AD87" i="25"/>
  <c r="AD62" i="25"/>
  <c r="AD49" i="25"/>
  <c r="AD57" i="25"/>
  <c r="AD31" i="25"/>
  <c r="AD16" i="25"/>
  <c r="AD95" i="25"/>
  <c r="AD90" i="25"/>
  <c r="AD82" i="25"/>
  <c r="AD74" i="25"/>
  <c r="AD85" i="25"/>
  <c r="AD77" i="25"/>
  <c r="AD71" i="25"/>
  <c r="AD60" i="25"/>
  <c r="AD68" i="25"/>
  <c r="AD55" i="25"/>
  <c r="AD29" i="25"/>
  <c r="AD37" i="25"/>
  <c r="AD14" i="25"/>
  <c r="AD9" i="25"/>
  <c r="AD93" i="25"/>
  <c r="AD88" i="25"/>
  <c r="AD63" i="25"/>
  <c r="AD59" i="25"/>
  <c r="AD50" i="25"/>
  <c r="AD32" i="25"/>
  <c r="AD22" i="25"/>
  <c r="AD17" i="25"/>
  <c r="AD91" i="25"/>
  <c r="AD78" i="25"/>
  <c r="AD52" i="25"/>
  <c r="AD48" i="25"/>
  <c r="AD41" i="25"/>
  <c r="AD24" i="25"/>
  <c r="AD11" i="25"/>
  <c r="AD73" i="25"/>
  <c r="AD53" i="25"/>
  <c r="AD46" i="25"/>
  <c r="AD42" i="25"/>
  <c r="AD25" i="25"/>
  <c r="AD12" i="25"/>
  <c r="AD86" i="25"/>
  <c r="AD70" i="25"/>
  <c r="AD40" i="25"/>
  <c r="AD38" i="25"/>
  <c r="AD94" i="25"/>
  <c r="AD64" i="25"/>
  <c r="AD33" i="25"/>
  <c r="AD28" i="25"/>
  <c r="AD18" i="25"/>
  <c r="AD65" i="25"/>
  <c r="AD34" i="25"/>
  <c r="AD21" i="25"/>
  <c r="AD19" i="25"/>
  <c r="AD66" i="25"/>
  <c r="AD44" i="25"/>
  <c r="AD35" i="25"/>
  <c r="AD61" i="25"/>
  <c r="AD56" i="25"/>
  <c r="AD30" i="25"/>
  <c r="AD15" i="25"/>
  <c r="AD81" i="25"/>
  <c r="AD23" i="25"/>
  <c r="AD10" i="25"/>
  <c r="AD51" i="25"/>
  <c r="AC102" i="20"/>
  <c r="AC44" i="20"/>
  <c r="AC101" i="20"/>
  <c r="AC118" i="20"/>
  <c r="AC125" i="20"/>
  <c r="AC132" i="20"/>
  <c r="AE92" i="25"/>
  <c r="AE90" i="25"/>
  <c r="AE21" i="25"/>
  <c r="AE71" i="25"/>
  <c r="AE44" i="25"/>
  <c r="AD103" i="23"/>
  <c r="AD75" i="23"/>
  <c r="AD62" i="23"/>
  <c r="AD59" i="23"/>
  <c r="AD96" i="23"/>
  <c r="AD89" i="23"/>
  <c r="AD86" i="23"/>
  <c r="AD81" i="23"/>
  <c r="AD65" i="23"/>
  <c r="AD53" i="23"/>
  <c r="AD41" i="23"/>
  <c r="AD50" i="23"/>
  <c r="AD101" i="23"/>
  <c r="AD84" i="23"/>
  <c r="AD73" i="23"/>
  <c r="AD55" i="23"/>
  <c r="AD44" i="23"/>
  <c r="AD14" i="23"/>
  <c r="AD27" i="23"/>
  <c r="AD104" i="23"/>
  <c r="AD76" i="23"/>
  <c r="AD68" i="23"/>
  <c r="AD63" i="23"/>
  <c r="AD47" i="23"/>
  <c r="AD35" i="23"/>
  <c r="AD34" i="23"/>
  <c r="AD17" i="23"/>
  <c r="AD22" i="23"/>
  <c r="AD99" i="23"/>
  <c r="AD94" i="23"/>
  <c r="AD92" i="23"/>
  <c r="AD90" i="23"/>
  <c r="AD82" i="23"/>
  <c r="AD71" i="23"/>
  <c r="AD66" i="23"/>
  <c r="AD58" i="23"/>
  <c r="AD102" i="23"/>
  <c r="AD98" i="23"/>
  <c r="AD88" i="23"/>
  <c r="AD74" i="23"/>
  <c r="AD61" i="23"/>
  <c r="AD54" i="23"/>
  <c r="AD45" i="23"/>
  <c r="AD80" i="23"/>
  <c r="AD85" i="23"/>
  <c r="AD77" i="23"/>
  <c r="AD64" i="23"/>
  <c r="AD40" i="23"/>
  <c r="AD48" i="23"/>
  <c r="AD39" i="23"/>
  <c r="AD36" i="23"/>
  <c r="AD32" i="23"/>
  <c r="AD10" i="23"/>
  <c r="AD18" i="23"/>
  <c r="AD23" i="23"/>
  <c r="AD28" i="23"/>
  <c r="AD83" i="23"/>
  <c r="AD57" i="23"/>
  <c r="AD12" i="23"/>
  <c r="AD16" i="23"/>
  <c r="AD20" i="23"/>
  <c r="AD24" i="23"/>
  <c r="AD9" i="23"/>
  <c r="AD100" i="23"/>
  <c r="AD79" i="23"/>
  <c r="AD25" i="23"/>
  <c r="AD72" i="23"/>
  <c r="AD30" i="23"/>
  <c r="AD13" i="23"/>
  <c r="AD21" i="23"/>
  <c r="AD46" i="23"/>
  <c r="AD26" i="23"/>
  <c r="AD93" i="23"/>
  <c r="AD70" i="23"/>
  <c r="AD37" i="23"/>
  <c r="AD42" i="23"/>
  <c r="AD15" i="23"/>
  <c r="AD19" i="23"/>
  <c r="AD57" i="27"/>
  <c r="AD45" i="27"/>
  <c r="AD34" i="27"/>
  <c r="AD24" i="27"/>
  <c r="AD15" i="27"/>
  <c r="AD56" i="27"/>
  <c r="AD46" i="27"/>
  <c r="AD33" i="27"/>
  <c r="AD23" i="27"/>
  <c r="AD52" i="27"/>
  <c r="AD36" i="27"/>
  <c r="AD41" i="27"/>
  <c r="AD49" i="27"/>
  <c r="AD29" i="27"/>
  <c r="AD17" i="27"/>
  <c r="AD11" i="27"/>
  <c r="AD58" i="27"/>
  <c r="AD39" i="27"/>
  <c r="AD44" i="27"/>
  <c r="AD25" i="27"/>
  <c r="AD20" i="27"/>
  <c r="AD14" i="27"/>
  <c r="AD55" i="27"/>
  <c r="AD47" i="27"/>
  <c r="AD32" i="27"/>
  <c r="AD37" i="27"/>
  <c r="AD42" i="27"/>
  <c r="AD50" i="27"/>
  <c r="AD27" i="27"/>
  <c r="AD22" i="27"/>
  <c r="AD12" i="27"/>
  <c r="AD35" i="27"/>
  <c r="AD10" i="27"/>
  <c r="AD26" i="27"/>
  <c r="AD48" i="27"/>
  <c r="AD59" i="27"/>
  <c r="AD38" i="27"/>
  <c r="AD13" i="27"/>
  <c r="AD40" i="27"/>
  <c r="AD9" i="27"/>
  <c r="AD21" i="27"/>
  <c r="AD54" i="27"/>
  <c r="AD30" i="27"/>
  <c r="AD18" i="27"/>
  <c r="AD43" i="27"/>
  <c r="AB21" i="16"/>
  <c r="AB133" i="20"/>
  <c r="AD121" i="20"/>
  <c r="AB115" i="20"/>
  <c r="AD102" i="20"/>
  <c r="AD47" i="22"/>
  <c r="AA12" i="22"/>
  <c r="AA16" i="22"/>
  <c r="AA17" i="22"/>
  <c r="AA23" i="22"/>
  <c r="AA32" i="22"/>
  <c r="AA40" i="22"/>
  <c r="AA48" i="22"/>
  <c r="AA57" i="22"/>
  <c r="AA66" i="22"/>
  <c r="AA76" i="22"/>
  <c r="AA26" i="22"/>
  <c r="AA35" i="22"/>
  <c r="AA43" i="22"/>
  <c r="AA52" i="22"/>
  <c r="AA60" i="22"/>
  <c r="AA71" i="22"/>
  <c r="AA21" i="22"/>
  <c r="AA30" i="22"/>
  <c r="AA38" i="22"/>
  <c r="AA46" i="22"/>
  <c r="AA55" i="22"/>
  <c r="AA64" i="22"/>
  <c r="AA74" i="22"/>
  <c r="AA14" i="22"/>
  <c r="AA24" i="22"/>
  <c r="AA33" i="22"/>
  <c r="AA41" i="22"/>
  <c r="AA49" i="22"/>
  <c r="AA58" i="22"/>
  <c r="AA68" i="22"/>
  <c r="AA78" i="22"/>
  <c r="AA9" i="22"/>
  <c r="AA18" i="22"/>
  <c r="AA28" i="22"/>
  <c r="AA36" i="22"/>
  <c r="AA44" i="22"/>
  <c r="AA53" i="22"/>
  <c r="AA61" i="22"/>
  <c r="AA72" i="22"/>
  <c r="AA10" i="22"/>
  <c r="AA15" i="22"/>
  <c r="AA22" i="22"/>
  <c r="AA31" i="22"/>
  <c r="AA39" i="22"/>
  <c r="AA47" i="22"/>
  <c r="AA56" i="22"/>
  <c r="AA65" i="22"/>
  <c r="AA75" i="22"/>
  <c r="AA25" i="22"/>
  <c r="AA34" i="22"/>
  <c r="AA42" i="22"/>
  <c r="AA51" i="22"/>
  <c r="AA59" i="22"/>
  <c r="AA69" i="22"/>
  <c r="AE99" i="23"/>
  <c r="AE86" i="23"/>
  <c r="AE68" i="23"/>
  <c r="AE34" i="23"/>
  <c r="AE92" i="23"/>
  <c r="AE58" i="23"/>
  <c r="AE98" i="23"/>
  <c r="AE39" i="23"/>
  <c r="AE53" i="23"/>
  <c r="AE38" i="16"/>
  <c r="AD19" i="20"/>
  <c r="AB15" i="20"/>
  <c r="AD11" i="20"/>
  <c r="AB129" i="20"/>
  <c r="AD125" i="20"/>
  <c r="AB95" i="20"/>
  <c r="AD87" i="20"/>
  <c r="AD80" i="20"/>
  <c r="AD58" i="20"/>
  <c r="AD38" i="20"/>
  <c r="AD22" i="22"/>
  <c r="AA23" i="21"/>
  <c r="AB24" i="23"/>
  <c r="AB9" i="22"/>
  <c r="AB12" i="22"/>
  <c r="AB14" i="22"/>
  <c r="AB11" i="22"/>
  <c r="AB16" i="22"/>
  <c r="AB19" i="22"/>
  <c r="AB29" i="22"/>
  <c r="AB37" i="22"/>
  <c r="AB45" i="22"/>
  <c r="AB54" i="22"/>
  <c r="AB62" i="22"/>
  <c r="AB73" i="22"/>
  <c r="AB23" i="22"/>
  <c r="AB32" i="22"/>
  <c r="AB40" i="22"/>
  <c r="AB48" i="22"/>
  <c r="AB57" i="22"/>
  <c r="AB66" i="22"/>
  <c r="AB76" i="22"/>
  <c r="AB17" i="22"/>
  <c r="AB26" i="22"/>
  <c r="AB35" i="22"/>
  <c r="AB43" i="22"/>
  <c r="AB52" i="22"/>
  <c r="AB60" i="22"/>
  <c r="AB71" i="22"/>
  <c r="AB21" i="22"/>
  <c r="AB30" i="22"/>
  <c r="AB38" i="22"/>
  <c r="AB46" i="22"/>
  <c r="AB55" i="22"/>
  <c r="AB64" i="22"/>
  <c r="AB74" i="22"/>
  <c r="AB24" i="22"/>
  <c r="AB33" i="22"/>
  <c r="AB41" i="22"/>
  <c r="AB49" i="22"/>
  <c r="AB58" i="22"/>
  <c r="AB68" i="22"/>
  <c r="AB78" i="22"/>
  <c r="AB18" i="22"/>
  <c r="AB28" i="22"/>
  <c r="AB36" i="22"/>
  <c r="AB44" i="22"/>
  <c r="AB53" i="22"/>
  <c r="AB61" i="22"/>
  <c r="AB72" i="22"/>
  <c r="AB10" i="22"/>
  <c r="AB15" i="22"/>
  <c r="AB22" i="22"/>
  <c r="AB31" i="22"/>
  <c r="AB39" i="22"/>
  <c r="AB47" i="22"/>
  <c r="AB56" i="22"/>
  <c r="AB65" i="22"/>
  <c r="AB75" i="22"/>
  <c r="Z77" i="24"/>
  <c r="Z74" i="24"/>
  <c r="Z37" i="24"/>
  <c r="AB91" i="25"/>
  <c r="AB86" i="25"/>
  <c r="AB78" i="25"/>
  <c r="AB92" i="25"/>
  <c r="AB87" i="25"/>
  <c r="AB73" i="25"/>
  <c r="AB62" i="25"/>
  <c r="AB49" i="25"/>
  <c r="AB57" i="25"/>
  <c r="AB31" i="25"/>
  <c r="AB28" i="25"/>
  <c r="AB16" i="25"/>
  <c r="AB95" i="25"/>
  <c r="AB82" i="25"/>
  <c r="AB74" i="25"/>
  <c r="AB65" i="25"/>
  <c r="AB52" i="25"/>
  <c r="AB41" i="25"/>
  <c r="AB34" i="25"/>
  <c r="AB24" i="25"/>
  <c r="AB11" i="25"/>
  <c r="AB19" i="25"/>
  <c r="AB85" i="25"/>
  <c r="AB77" i="25"/>
  <c r="AB93" i="25"/>
  <c r="AB90" i="25"/>
  <c r="AB88" i="25"/>
  <c r="AB63" i="25"/>
  <c r="AB50" i="25"/>
  <c r="AB48" i="25"/>
  <c r="AB32" i="25"/>
  <c r="AB22" i="25"/>
  <c r="AB21" i="25"/>
  <c r="AB17" i="25"/>
  <c r="AB96" i="25"/>
  <c r="AB83" i="25"/>
  <c r="AB75" i="25"/>
  <c r="AB71" i="25"/>
  <c r="AB66" i="25"/>
  <c r="AB53" i="25"/>
  <c r="AB42" i="25"/>
  <c r="AB35" i="25"/>
  <c r="AB25" i="25"/>
  <c r="AB12" i="25"/>
  <c r="AB9" i="25"/>
  <c r="AB68" i="25"/>
  <c r="AB37" i="25"/>
  <c r="AB84" i="25"/>
  <c r="AB59" i="25"/>
  <c r="AB38" i="25"/>
  <c r="AB94" i="25"/>
  <c r="AB64" i="25"/>
  <c r="AB46" i="25"/>
  <c r="AB33" i="25"/>
  <c r="AB18" i="25"/>
  <c r="AB70" i="25"/>
  <c r="AB54" i="25"/>
  <c r="AB40" i="25"/>
  <c r="AB26" i="25"/>
  <c r="AB13" i="25"/>
  <c r="AB80" i="25"/>
  <c r="AB60" i="25"/>
  <c r="AB55" i="25"/>
  <c r="AB45" i="25"/>
  <c r="AB29" i="25"/>
  <c r="AB14" i="25"/>
  <c r="AB97" i="25"/>
  <c r="AB61" i="25"/>
  <c r="AB56" i="25"/>
  <c r="AB30" i="25"/>
  <c r="AB15" i="25"/>
  <c r="AB81" i="25"/>
  <c r="AB51" i="25"/>
  <c r="AB44" i="25"/>
  <c r="AB23" i="25"/>
  <c r="AB10" i="25"/>
  <c r="AB36" i="25"/>
  <c r="AB76" i="25"/>
  <c r="AB67" i="25"/>
  <c r="AD24" i="26"/>
  <c r="AD30" i="26"/>
  <c r="AD11" i="26"/>
  <c r="AD25" i="26"/>
  <c r="AD31" i="26"/>
  <c r="AD21" i="26"/>
  <c r="AD12" i="26"/>
  <c r="AD40" i="26"/>
  <c r="AD38" i="26"/>
  <c r="AD15" i="26"/>
  <c r="AD9" i="26"/>
  <c r="AD35" i="26"/>
  <c r="AD23" i="26"/>
  <c r="AD29" i="26"/>
  <c r="AD26" i="26"/>
  <c r="AD32" i="26"/>
  <c r="AD19" i="26"/>
  <c r="AD13" i="26"/>
  <c r="AD16" i="26"/>
  <c r="AD33" i="26"/>
  <c r="AD22" i="26"/>
  <c r="AD14" i="26"/>
  <c r="AD27" i="26"/>
  <c r="AD36" i="26"/>
  <c r="AB37" i="16"/>
  <c r="AB17" i="16"/>
  <c r="AC22" i="20"/>
  <c r="AA19" i="20"/>
  <c r="AA15" i="20"/>
  <c r="AA11" i="20"/>
  <c r="AD132" i="20"/>
  <c r="AD128" i="20"/>
  <c r="AB125" i="20"/>
  <c r="AD119" i="20"/>
  <c r="AB114" i="20"/>
  <c r="AB107" i="20"/>
  <c r="AA101" i="20"/>
  <c r="AE94" i="20"/>
  <c r="AA87" i="20"/>
  <c r="AB79" i="20"/>
  <c r="AA56" i="20"/>
  <c r="AD65" i="22"/>
  <c r="AB42" i="22"/>
  <c r="AA19" i="22"/>
  <c r="AB20" i="23"/>
  <c r="AB18" i="24"/>
  <c r="Z103" i="23"/>
  <c r="Z98" i="23"/>
  <c r="Z20" i="23"/>
  <c r="AA101" i="23"/>
  <c r="AA84" i="23"/>
  <c r="AA73" i="23"/>
  <c r="AA104" i="23"/>
  <c r="AA79" i="23"/>
  <c r="AA76" i="23"/>
  <c r="AA70" i="23"/>
  <c r="AA63" i="23"/>
  <c r="AA57" i="23"/>
  <c r="AA47" i="23"/>
  <c r="AA35" i="23"/>
  <c r="AA99" i="23"/>
  <c r="AA93" i="23"/>
  <c r="AA90" i="23"/>
  <c r="AA82" i="23"/>
  <c r="AA71" i="23"/>
  <c r="AA66" i="23"/>
  <c r="AA59" i="23"/>
  <c r="AA42" i="23"/>
  <c r="AA51" i="23"/>
  <c r="AA12" i="23"/>
  <c r="AA25" i="23"/>
  <c r="AA102" i="23"/>
  <c r="AA96" i="23"/>
  <c r="AA86" i="23"/>
  <c r="AA85" i="23"/>
  <c r="AA74" i="23"/>
  <c r="AA53" i="23"/>
  <c r="AA45" i="23"/>
  <c r="AA30" i="23"/>
  <c r="AA15" i="23"/>
  <c r="AA20" i="23"/>
  <c r="AA28" i="23"/>
  <c r="AA80" i="23"/>
  <c r="AA77" i="23"/>
  <c r="AA64" i="23"/>
  <c r="AA55" i="23"/>
  <c r="AA100" i="23"/>
  <c r="AA83" i="23"/>
  <c r="AA72" i="23"/>
  <c r="AA68" i="23"/>
  <c r="AA43" i="23"/>
  <c r="AA103" i="23"/>
  <c r="AA94" i="23"/>
  <c r="AA92" i="23"/>
  <c r="AA75" i="23"/>
  <c r="AA62" i="23"/>
  <c r="AA58" i="23"/>
  <c r="AA46" i="23"/>
  <c r="AA16" i="23"/>
  <c r="AA21" i="23"/>
  <c r="AA44" i="23"/>
  <c r="AA54" i="23"/>
  <c r="AA39" i="23"/>
  <c r="AA32" i="23"/>
  <c r="AA13" i="23"/>
  <c r="AA17" i="23"/>
  <c r="AA36" i="23"/>
  <c r="AA18" i="23"/>
  <c r="AA26" i="23"/>
  <c r="AA9" i="23"/>
  <c r="AA98" i="23"/>
  <c r="AA40" i="23"/>
  <c r="AA37" i="23"/>
  <c r="AA10" i="23"/>
  <c r="AA14" i="23"/>
  <c r="AA22" i="23"/>
  <c r="AA41" i="23"/>
  <c r="AA48" i="23"/>
  <c r="AA19" i="23"/>
  <c r="AA23" i="23"/>
  <c r="AA27" i="23"/>
  <c r="AA89" i="23"/>
  <c r="AA50" i="23"/>
  <c r="AA11" i="23"/>
  <c r="AA88" i="23"/>
  <c r="AA65" i="23"/>
  <c r="AA24" i="23"/>
  <c r="AD13" i="16"/>
  <c r="AD22" i="16"/>
  <c r="AD34" i="16"/>
  <c r="AD38" i="16"/>
  <c r="AD14" i="16"/>
  <c r="AB50" i="21"/>
  <c r="AB32" i="21"/>
  <c r="AB29" i="21"/>
  <c r="AB14" i="21"/>
  <c r="AB68" i="21"/>
  <c r="AB56" i="21"/>
  <c r="AB38" i="21"/>
  <c r="AB43" i="21"/>
  <c r="AB34" i="21"/>
  <c r="AB24" i="21"/>
  <c r="AB19" i="21"/>
  <c r="AB17" i="21"/>
  <c r="AB64" i="21"/>
  <c r="AB55" i="21"/>
  <c r="AB39" i="21"/>
  <c r="AB44" i="21"/>
  <c r="AB35" i="21"/>
  <c r="AB25" i="21"/>
  <c r="AB10" i="21"/>
  <c r="AB66" i="21"/>
  <c r="AB51" i="21"/>
  <c r="AB40" i="21"/>
  <c r="AB23" i="21"/>
  <c r="AB13" i="21"/>
  <c r="AB53" i="21"/>
  <c r="AB41" i="21"/>
  <c r="AB28" i="21"/>
  <c r="AB63" i="21"/>
  <c r="AB48" i="21"/>
  <c r="AB47" i="21"/>
  <c r="AB45" i="21"/>
  <c r="AB9" i="21"/>
  <c r="AB49" i="21"/>
  <c r="AB42" i="21"/>
  <c r="AB37" i="21"/>
  <c r="AB15" i="21"/>
  <c r="AB30" i="21"/>
  <c r="AB11" i="21"/>
  <c r="AB33" i="21"/>
  <c r="AB22" i="21"/>
  <c r="AB26" i="21"/>
  <c r="AB12" i="21"/>
  <c r="AB16" i="21"/>
  <c r="AD12" i="16"/>
  <c r="AB12" i="20"/>
  <c r="AB109" i="20"/>
  <c r="AD60" i="20"/>
  <c r="AA45" i="22"/>
  <c r="Z38" i="20"/>
  <c r="Z60" i="20"/>
  <c r="Z50" i="20"/>
  <c r="AD68" i="21"/>
  <c r="AD65" i="21"/>
  <c r="AD56" i="21"/>
  <c r="AD40" i="21"/>
  <c r="AD45" i="21"/>
  <c r="AD26" i="21"/>
  <c r="AD19" i="21"/>
  <c r="AD11" i="21"/>
  <c r="AD50" i="21"/>
  <c r="AD29" i="21"/>
  <c r="AD14" i="21"/>
  <c r="AD63" i="21"/>
  <c r="AD51" i="21"/>
  <c r="AD22" i="21"/>
  <c r="AD30" i="21"/>
  <c r="AD15" i="21"/>
  <c r="AD9" i="21"/>
  <c r="AD53" i="21"/>
  <c r="AD44" i="21"/>
  <c r="AD34" i="21"/>
  <c r="AD27" i="21"/>
  <c r="AD17" i="21"/>
  <c r="AD66" i="21"/>
  <c r="AD47" i="21"/>
  <c r="AD23" i="21"/>
  <c r="AD13" i="21"/>
  <c r="AD41" i="21"/>
  <c r="AD35" i="21"/>
  <c r="AD24" i="21"/>
  <c r="AD28" i="21"/>
  <c r="AD48" i="21"/>
  <c r="AD37" i="21"/>
  <c r="AD10" i="21"/>
  <c r="AD38" i="21"/>
  <c r="AD32" i="21"/>
  <c r="AD25" i="21"/>
  <c r="AD64" i="21"/>
  <c r="AD49" i="21"/>
  <c r="AD42" i="21"/>
  <c r="AD55" i="21"/>
  <c r="AD39" i="21"/>
  <c r="AD43" i="21"/>
  <c r="AD21" i="21"/>
  <c r="AA29" i="20"/>
  <c r="AA34" i="20"/>
  <c r="AA46" i="20"/>
  <c r="AA54" i="20"/>
  <c r="AA59" i="20"/>
  <c r="AA61" i="20"/>
  <c r="AA67" i="20"/>
  <c r="AA75" i="20"/>
  <c r="AA95" i="20"/>
  <c r="AA100" i="20"/>
  <c r="AA107" i="20"/>
  <c r="AA112" i="20"/>
  <c r="AA39" i="20"/>
  <c r="AA44" i="20"/>
  <c r="AA27" i="20"/>
  <c r="AA32" i="20"/>
  <c r="AA37" i="20"/>
  <c r="AA42" i="20"/>
  <c r="AA49" i="20"/>
  <c r="AA51" i="20"/>
  <c r="AA57" i="20"/>
  <c r="AA64" i="20"/>
  <c r="AA72" i="20"/>
  <c r="AA79" i="20"/>
  <c r="AA85" i="20"/>
  <c r="AA115" i="20"/>
  <c r="AA122" i="20"/>
  <c r="AA129" i="20"/>
  <c r="AA18" i="20"/>
  <c r="AA30" i="20"/>
  <c r="AA55" i="20"/>
  <c r="AA62" i="20"/>
  <c r="AA70" i="20"/>
  <c r="AA35" i="20"/>
  <c r="AA40" i="20"/>
  <c r="AA47" i="20"/>
  <c r="AA76" i="20"/>
  <c r="AA83" i="20"/>
  <c r="AA88" i="20"/>
  <c r="AA94" i="20"/>
  <c r="AA106" i="20"/>
  <c r="AA118" i="20"/>
  <c r="AA120" i="20"/>
  <c r="AA125" i="20"/>
  <c r="AA127" i="20"/>
  <c r="AA132" i="20"/>
  <c r="AA9" i="20"/>
  <c r="AA28" i="20"/>
  <c r="AA33" i="20"/>
  <c r="AA38" i="20"/>
  <c r="AA45" i="20"/>
  <c r="AA53" i="20"/>
  <c r="AA58" i="20"/>
  <c r="AA60" i="20"/>
  <c r="AA65" i="20"/>
  <c r="AA73" i="20"/>
  <c r="AA80" i="20"/>
  <c r="AA99" i="20"/>
  <c r="AA111" i="20"/>
  <c r="AA116" i="20"/>
  <c r="AA26" i="20"/>
  <c r="AA43" i="20"/>
  <c r="AA50" i="20"/>
  <c r="AA63" i="20"/>
  <c r="AA86" i="20"/>
  <c r="AA92" i="20"/>
  <c r="AA97" i="20"/>
  <c r="AA104" i="20"/>
  <c r="AA109" i="20"/>
  <c r="AA114" i="20"/>
  <c r="AA123" i="20"/>
  <c r="AA12" i="20"/>
  <c r="AA17" i="20"/>
  <c r="AA24" i="20"/>
  <c r="AE66" i="21"/>
  <c r="AE37" i="21"/>
  <c r="AE9" i="21"/>
  <c r="AE32" i="21"/>
  <c r="AE56" i="21"/>
  <c r="AA64" i="24"/>
  <c r="AA72" i="24"/>
  <c r="AA57" i="24"/>
  <c r="AA45" i="24"/>
  <c r="AA50" i="24"/>
  <c r="AA35" i="24"/>
  <c r="AA29" i="24"/>
  <c r="AA16" i="24"/>
  <c r="AA77" i="24"/>
  <c r="AA67" i="24"/>
  <c r="AA40" i="24"/>
  <c r="AA53" i="24"/>
  <c r="AA24" i="24"/>
  <c r="AA19" i="24"/>
  <c r="AA65" i="24"/>
  <c r="AA46" i="24"/>
  <c r="AA51" i="24"/>
  <c r="AA36" i="24"/>
  <c r="AA30" i="24"/>
  <c r="AA22" i="24"/>
  <c r="AA17" i="24"/>
  <c r="AA76" i="24"/>
  <c r="AA60" i="24"/>
  <c r="AA68" i="24"/>
  <c r="AA41" i="24"/>
  <c r="AA54" i="24"/>
  <c r="AA39" i="24"/>
  <c r="AA25" i="24"/>
  <c r="AA12" i="24"/>
  <c r="AA20" i="24"/>
  <c r="AA62" i="24"/>
  <c r="AA43" i="24"/>
  <c r="AA48" i="24"/>
  <c r="AA14" i="24"/>
  <c r="AA63" i="24"/>
  <c r="AA59" i="24"/>
  <c r="AA44" i="24"/>
  <c r="AA49" i="24"/>
  <c r="AA15" i="24"/>
  <c r="AA9" i="24"/>
  <c r="AA31" i="24"/>
  <c r="AA75" i="24"/>
  <c r="AA69" i="24"/>
  <c r="AA55" i="24"/>
  <c r="AA37" i="24"/>
  <c r="AA26" i="24"/>
  <c r="AA74" i="24"/>
  <c r="AA70" i="24"/>
  <c r="AA27" i="24"/>
  <c r="AA71" i="24"/>
  <c r="AA34" i="24"/>
  <c r="AA33" i="24"/>
  <c r="AA28" i="24"/>
  <c r="AA66" i="24"/>
  <c r="AA52" i="24"/>
  <c r="AA23" i="24"/>
  <c r="AA18" i="24"/>
  <c r="AA11" i="24"/>
  <c r="AA42" i="24"/>
  <c r="AA47" i="24"/>
  <c r="AA61" i="24"/>
  <c r="AA13" i="24"/>
  <c r="AB33" i="16"/>
  <c r="AB13" i="16"/>
  <c r="AB22" i="20"/>
  <c r="AB18" i="20"/>
  <c r="AD14" i="20"/>
  <c r="AB10" i="20"/>
  <c r="AB132" i="20"/>
  <c r="AB128" i="20"/>
  <c r="AD124" i="20"/>
  <c r="AA119" i="20"/>
  <c r="AA113" i="20"/>
  <c r="AE106" i="20"/>
  <c r="AB100" i="20"/>
  <c r="AD93" i="20"/>
  <c r="AB86" i="20"/>
  <c r="AA77" i="20"/>
  <c r="AD53" i="20"/>
  <c r="AD33" i="20"/>
  <c r="AA62" i="22"/>
  <c r="AD39" i="22"/>
  <c r="AD15" i="22"/>
  <c r="AA44" i="21"/>
  <c r="AB16" i="23"/>
  <c r="AD71" i="24"/>
  <c r="AI15" i="28"/>
  <c r="AI9" i="28"/>
  <c r="AI16" i="28"/>
  <c r="AI11" i="28"/>
  <c r="AI19" i="28"/>
  <c r="AI14" i="28"/>
  <c r="AI22" i="28"/>
  <c r="AI17" i="28"/>
  <c r="AI12" i="28"/>
  <c r="AI20" i="28"/>
  <c r="AI10" i="28"/>
  <c r="AI21" i="28"/>
  <c r="AI13" i="28"/>
  <c r="AI18" i="28"/>
  <c r="AB9" i="20"/>
  <c r="AB112" i="20"/>
  <c r="AB85" i="20"/>
  <c r="AB50" i="20"/>
  <c r="AD11" i="23"/>
  <c r="AA34" i="23"/>
  <c r="AA94" i="25"/>
  <c r="AA81" i="25"/>
  <c r="AA71" i="25"/>
  <c r="AA95" i="25"/>
  <c r="AA82" i="25"/>
  <c r="AA74" i="25"/>
  <c r="AA70" i="25"/>
  <c r="AA65" i="25"/>
  <c r="AA52" i="25"/>
  <c r="AA41" i="25"/>
  <c r="AA40" i="25"/>
  <c r="AA34" i="25"/>
  <c r="AA24" i="25"/>
  <c r="AA11" i="25"/>
  <c r="AA19" i="25"/>
  <c r="AA85" i="25"/>
  <c r="AA77" i="25"/>
  <c r="AA73" i="25"/>
  <c r="AA60" i="25"/>
  <c r="AA68" i="25"/>
  <c r="AA55" i="25"/>
  <c r="AA29" i="25"/>
  <c r="AA37" i="25"/>
  <c r="AA28" i="25"/>
  <c r="AA14" i="25"/>
  <c r="AA93" i="25"/>
  <c r="AA88" i="25"/>
  <c r="AA96" i="25"/>
  <c r="AA83" i="25"/>
  <c r="AA75" i="25"/>
  <c r="AA66" i="25"/>
  <c r="AA53" i="25"/>
  <c r="AA45" i="25"/>
  <c r="AA42" i="25"/>
  <c r="AA35" i="25"/>
  <c r="AA25" i="25"/>
  <c r="AA12" i="25"/>
  <c r="AA91" i="25"/>
  <c r="AA90" i="25"/>
  <c r="AA86" i="25"/>
  <c r="AA78" i="25"/>
  <c r="AA61" i="25"/>
  <c r="AA56" i="25"/>
  <c r="AA48" i="25"/>
  <c r="AA30" i="25"/>
  <c r="AA38" i="25"/>
  <c r="AA21" i="25"/>
  <c r="AA15" i="25"/>
  <c r="AA84" i="25"/>
  <c r="AA63" i="25"/>
  <c r="AA32" i="25"/>
  <c r="AA17" i="25"/>
  <c r="AA92" i="25"/>
  <c r="AA64" i="25"/>
  <c r="AA33" i="25"/>
  <c r="AA18" i="25"/>
  <c r="AA59" i="25"/>
  <c r="AA54" i="25"/>
  <c r="AA26" i="25"/>
  <c r="AA13" i="25"/>
  <c r="AA87" i="25"/>
  <c r="AA49" i="25"/>
  <c r="AA46" i="25"/>
  <c r="AA97" i="25"/>
  <c r="AA50" i="25"/>
  <c r="AA22" i="25"/>
  <c r="AA80" i="25"/>
  <c r="AA51" i="25"/>
  <c r="AA23" i="25"/>
  <c r="AA10" i="25"/>
  <c r="AA9" i="25"/>
  <c r="AA76" i="25"/>
  <c r="AA67" i="25"/>
  <c r="AA36" i="25"/>
  <c r="AE12" i="27"/>
  <c r="AE18" i="27"/>
  <c r="AE22" i="27"/>
  <c r="AA44" i="25"/>
  <c r="AA57" i="25"/>
  <c r="AC77" i="25"/>
  <c r="AC45" i="25"/>
  <c r="AE11" i="26"/>
  <c r="AE9" i="26"/>
  <c r="AE21" i="26"/>
  <c r="AH10" i="28"/>
  <c r="AH18" i="28"/>
  <c r="AH11" i="28"/>
  <c r="AH19" i="28"/>
  <c r="AH14" i="28"/>
  <c r="AH22" i="28"/>
  <c r="AH17" i="28"/>
  <c r="AH12" i="28"/>
  <c r="AH20" i="28"/>
  <c r="AH15" i="28"/>
  <c r="AH21" i="28"/>
  <c r="AH13" i="28"/>
  <c r="AH9" i="28"/>
  <c r="AH16" i="28"/>
  <c r="AA16" i="25"/>
  <c r="AA55" i="27"/>
  <c r="AA38" i="27"/>
  <c r="AA43" i="27"/>
  <c r="AA32" i="27"/>
  <c r="AA13" i="27"/>
  <c r="AA54" i="27"/>
  <c r="AA39" i="27"/>
  <c r="AA44" i="27"/>
  <c r="AA30" i="27"/>
  <c r="AA18" i="27"/>
  <c r="AA14" i="27"/>
  <c r="AA9" i="27"/>
  <c r="AA59" i="27"/>
  <c r="AA47" i="27"/>
  <c r="AA26" i="27"/>
  <c r="AA21" i="27"/>
  <c r="AA56" i="27"/>
  <c r="AA37" i="27"/>
  <c r="AA42" i="27"/>
  <c r="AA50" i="27"/>
  <c r="AA33" i="27"/>
  <c r="AA23" i="27"/>
  <c r="AA12" i="27"/>
  <c r="AA52" i="27"/>
  <c r="AA40" i="27"/>
  <c r="AA45" i="27"/>
  <c r="AA29" i="27"/>
  <c r="AA17" i="27"/>
  <c r="AA15" i="27"/>
  <c r="AA58" i="27"/>
  <c r="AA35" i="27"/>
  <c r="AA48" i="27"/>
  <c r="AA25" i="27"/>
  <c r="AA20" i="27"/>
  <c r="AA10" i="27"/>
  <c r="AA46" i="27"/>
  <c r="AA27" i="27"/>
  <c r="AA36" i="27"/>
  <c r="AA11" i="27"/>
  <c r="AA49" i="27"/>
  <c r="AA24" i="27"/>
  <c r="AA22" i="27"/>
  <c r="AA57" i="27"/>
  <c r="AA41" i="27"/>
  <c r="AA34" i="27"/>
  <c r="AA62" i="25"/>
  <c r="Z12" i="23"/>
  <c r="Z81" i="23"/>
  <c r="Z27" i="27"/>
  <c r="Z44" i="27"/>
  <c r="Z93" i="20"/>
  <c r="Z12" i="21"/>
  <c r="Z49" i="21"/>
  <c r="Z39" i="24"/>
  <c r="Z52" i="24"/>
  <c r="Z36" i="26"/>
  <c r="Z125" i="20"/>
  <c r="Z57" i="20"/>
  <c r="Z32" i="23"/>
  <c r="Z10" i="27"/>
  <c r="Z36" i="27"/>
  <c r="Z131" i="20"/>
  <c r="Z99" i="20"/>
  <c r="Z21" i="21"/>
  <c r="Z27" i="21"/>
  <c r="Z56" i="21"/>
  <c r="Z66" i="23"/>
  <c r="Z19" i="24"/>
  <c r="Z44" i="24"/>
  <c r="Z90" i="20"/>
  <c r="Z27" i="20"/>
  <c r="Z24" i="24"/>
  <c r="Z71" i="24"/>
  <c r="Z15" i="26"/>
  <c r="Z55" i="27"/>
  <c r="AG16" i="28"/>
  <c r="Z122" i="20"/>
  <c r="Z54" i="20"/>
  <c r="Z63" i="24"/>
  <c r="Z128" i="20"/>
  <c r="Z96" i="20"/>
  <c r="Z28" i="23"/>
  <c r="Z46" i="23"/>
  <c r="Z73" i="23"/>
  <c r="Z19" i="26"/>
  <c r="AC76" i="24"/>
  <c r="AC74" i="24"/>
  <c r="AC72" i="24"/>
  <c r="AC41" i="24"/>
  <c r="AC43" i="24"/>
  <c r="AC37" i="24"/>
  <c r="AC45" i="24"/>
  <c r="AC47" i="24"/>
  <c r="AC49" i="24"/>
  <c r="AC51" i="24"/>
  <c r="AC23" i="24"/>
  <c r="AC61" i="24"/>
  <c r="AC53" i="24"/>
  <c r="AC55" i="24"/>
  <c r="AC25" i="24"/>
  <c r="AC27" i="24"/>
  <c r="AC29" i="24"/>
  <c r="AC31" i="24"/>
  <c r="AC12" i="24"/>
  <c r="AC14" i="24"/>
  <c r="AC16" i="24"/>
  <c r="AC18" i="24"/>
  <c r="AC63" i="24"/>
  <c r="AC65" i="24"/>
  <c r="AC67" i="24"/>
  <c r="AC69" i="24"/>
  <c r="AC59" i="24"/>
  <c r="AC34" i="24"/>
  <c r="AC36" i="24"/>
  <c r="AC20" i="24"/>
  <c r="AC9" i="24"/>
  <c r="AC77" i="24"/>
  <c r="AC75" i="24"/>
  <c r="AC71" i="24"/>
  <c r="AC40" i="24"/>
  <c r="AC42" i="24"/>
  <c r="AC33" i="24"/>
  <c r="AC60" i="24"/>
  <c r="AC62" i="24"/>
  <c r="AC52" i="24"/>
  <c r="AC54" i="24"/>
  <c r="AC24" i="24"/>
  <c r="AC26" i="24"/>
  <c r="AC28" i="24"/>
  <c r="AC30" i="24"/>
  <c r="AC13" i="24"/>
  <c r="AC15" i="24"/>
  <c r="AC17" i="24"/>
  <c r="AC64" i="24"/>
  <c r="AC66" i="24"/>
  <c r="AC68" i="24"/>
  <c r="AC70" i="24"/>
  <c r="AC57" i="24"/>
  <c r="AC35" i="24"/>
  <c r="AC19" i="24"/>
  <c r="AC11" i="24"/>
  <c r="AC17" i="20"/>
  <c r="AC15" i="20"/>
  <c r="AC129" i="20"/>
  <c r="AC122" i="20"/>
  <c r="AC109" i="20"/>
  <c r="AC107" i="20"/>
  <c r="AC63" i="20"/>
  <c r="AC30" i="23"/>
  <c r="AC59" i="25"/>
  <c r="AC87" i="25"/>
  <c r="AC99" i="23"/>
  <c r="AC101" i="23"/>
  <c r="AC103" i="23"/>
  <c r="AC98" i="23"/>
  <c r="AC80" i="23"/>
  <c r="AC79" i="23"/>
  <c r="AC58" i="23"/>
  <c r="AC55" i="23"/>
  <c r="AC35" i="23"/>
  <c r="AC37" i="23"/>
  <c r="AC32" i="23"/>
  <c r="AC21" i="23"/>
  <c r="AC23" i="23"/>
  <c r="AC25" i="23"/>
  <c r="AC27" i="23"/>
  <c r="AC9" i="23"/>
  <c r="AC94" i="23"/>
  <c r="AC82" i="23"/>
  <c r="AC84" i="23"/>
  <c r="AC72" i="23"/>
  <c r="AC70" i="23"/>
  <c r="AC53" i="23"/>
  <c r="AC92" i="23"/>
  <c r="AC74" i="23"/>
  <c r="AC76" i="23"/>
  <c r="AC41" i="23"/>
  <c r="AC43" i="23"/>
  <c r="AC45" i="23"/>
  <c r="AC10" i="23"/>
  <c r="AC90" i="23"/>
  <c r="AC86" i="23"/>
  <c r="AC62" i="23"/>
  <c r="AC64" i="23"/>
  <c r="AC59" i="23"/>
  <c r="AC47" i="23"/>
  <c r="AC50" i="23"/>
  <c r="AC39" i="23"/>
  <c r="AC12" i="23"/>
  <c r="AC14" i="23"/>
  <c r="AC16" i="23"/>
  <c r="AC18" i="23"/>
  <c r="AC100" i="23"/>
  <c r="AC102" i="23"/>
  <c r="AC104" i="23"/>
  <c r="AC66" i="23"/>
  <c r="AC57" i="23"/>
  <c r="AC54" i="23"/>
  <c r="AC36" i="23"/>
  <c r="AC34" i="23"/>
  <c r="AC20" i="23"/>
  <c r="AC22" i="23"/>
  <c r="AC24" i="23"/>
  <c r="AC26" i="23"/>
  <c r="AC88" i="23"/>
  <c r="AC73" i="23"/>
  <c r="AC75" i="23"/>
  <c r="AC77" i="23"/>
  <c r="AC68" i="23"/>
  <c r="AC40" i="23"/>
  <c r="AC42" i="23"/>
  <c r="AC44" i="23"/>
  <c r="AC11" i="23"/>
  <c r="AC89" i="23"/>
  <c r="AC63" i="23"/>
  <c r="AC65" i="23"/>
  <c r="AC61" i="23"/>
  <c r="AC46" i="23"/>
  <c r="AC48" i="23"/>
  <c r="AC51" i="23"/>
  <c r="AC13" i="23"/>
  <c r="AC15" i="23"/>
  <c r="AC17" i="23"/>
  <c r="AC19" i="23"/>
  <c r="AC35" i="27"/>
  <c r="AC18" i="27"/>
  <c r="AC37" i="27"/>
  <c r="AC39" i="27"/>
  <c r="AC41" i="27"/>
  <c r="AC43" i="27"/>
  <c r="AC34" i="27"/>
  <c r="AC32" i="27"/>
  <c r="AC29" i="27"/>
  <c r="AC9" i="27"/>
  <c r="AC59" i="27"/>
  <c r="AC57" i="27"/>
  <c r="AC55" i="27"/>
  <c r="AC45" i="27"/>
  <c r="AC47" i="27"/>
  <c r="AC49" i="27"/>
  <c r="AC26" i="27"/>
  <c r="AC24" i="27"/>
  <c r="AC10" i="27"/>
  <c r="AC12" i="27"/>
  <c r="AC14" i="27"/>
  <c r="AC52" i="27"/>
  <c r="AC22" i="27"/>
  <c r="AC20" i="27"/>
  <c r="AC17" i="27"/>
  <c r="AC58" i="27"/>
  <c r="AC56" i="27"/>
  <c r="AC44" i="27"/>
  <c r="AC46" i="27"/>
  <c r="AC48" i="27"/>
  <c r="AC50" i="27"/>
  <c r="AC25" i="27"/>
  <c r="AC23" i="27"/>
  <c r="AC11" i="27"/>
  <c r="AC13" i="27"/>
  <c r="AC15" i="27"/>
  <c r="AC54" i="27"/>
  <c r="AC21" i="27"/>
  <c r="AC13" i="20"/>
  <c r="AC11" i="20"/>
  <c r="AC127" i="20"/>
  <c r="AC120" i="20"/>
  <c r="AC105" i="20"/>
  <c r="AC103" i="20"/>
  <c r="AC99" i="20"/>
  <c r="AC54" i="20"/>
  <c r="AC83" i="23"/>
  <c r="AC96" i="23"/>
  <c r="AC39" i="24"/>
  <c r="AC44" i="24"/>
  <c r="AC48" i="25"/>
  <c r="AC38" i="27"/>
  <c r="AC29" i="26"/>
  <c r="AC31" i="26"/>
  <c r="AC33" i="26"/>
  <c r="AC19" i="26"/>
  <c r="AC35" i="26"/>
  <c r="AC13" i="26"/>
  <c r="AC11" i="26"/>
  <c r="AC36" i="26"/>
  <c r="AC23" i="26"/>
  <c r="AC25" i="26"/>
  <c r="AC15" i="26"/>
  <c r="AC27" i="26"/>
  <c r="AC30" i="26"/>
  <c r="AC32" i="26"/>
  <c r="AC21" i="26"/>
  <c r="AC12" i="26"/>
  <c r="AC14" i="26"/>
  <c r="AC38" i="26"/>
  <c r="AC22" i="26"/>
  <c r="AC24" i="26"/>
  <c r="AC26" i="26"/>
  <c r="AC16" i="26"/>
  <c r="AC9" i="26"/>
  <c r="AC20" i="20"/>
  <c r="AC18" i="20"/>
  <c r="AC123" i="20"/>
  <c r="AC114" i="20"/>
  <c r="AC112" i="20"/>
  <c r="AC46" i="20"/>
  <c r="AC27" i="20"/>
  <c r="AC71" i="23"/>
  <c r="AC48" i="24"/>
  <c r="AC75" i="25"/>
  <c r="AC42" i="27"/>
  <c r="AC50" i="21"/>
  <c r="AC39" i="21"/>
  <c r="AC41" i="21"/>
  <c r="AC27" i="21"/>
  <c r="AC29" i="21"/>
  <c r="AC64" i="21"/>
  <c r="AC66" i="21"/>
  <c r="AC56" i="21"/>
  <c r="AC43" i="21"/>
  <c r="AC45" i="21"/>
  <c r="AC10" i="21"/>
  <c r="AC53" i="21"/>
  <c r="AC33" i="21"/>
  <c r="AC35" i="21"/>
  <c r="AC12" i="21"/>
  <c r="AC14" i="21"/>
  <c r="AC16" i="21"/>
  <c r="AC9" i="21"/>
  <c r="AC22" i="21"/>
  <c r="AC24" i="21"/>
  <c r="AC26" i="21"/>
  <c r="AC68" i="21"/>
  <c r="AC63" i="21"/>
  <c r="AC49" i="21"/>
  <c r="AC51" i="21"/>
  <c r="AC38" i="21"/>
  <c r="AC40" i="21"/>
  <c r="AC28" i="21"/>
  <c r="AC30" i="21"/>
  <c r="AC19" i="21"/>
  <c r="AC55" i="21"/>
  <c r="AC34" i="21"/>
  <c r="AC32" i="21"/>
  <c r="AC13" i="21"/>
  <c r="AC15" i="21"/>
  <c r="AC17" i="21"/>
  <c r="AC48" i="21"/>
  <c r="AC47" i="21"/>
  <c r="AC23" i="21"/>
  <c r="AC25" i="21"/>
  <c r="AC21" i="21"/>
  <c r="AC16" i="20"/>
  <c r="AC14" i="20"/>
  <c r="AC130" i="20"/>
  <c r="AC128" i="20"/>
  <c r="AC110" i="20"/>
  <c r="AC108" i="20"/>
  <c r="AC82" i="20"/>
  <c r="AC29" i="20"/>
  <c r="AC44" i="21"/>
  <c r="AC50" i="24"/>
  <c r="AC33" i="27"/>
  <c r="AC92" i="25"/>
  <c r="AC94" i="25"/>
  <c r="AC96" i="25"/>
  <c r="AC90" i="25"/>
  <c r="AC10" i="25"/>
  <c r="AC12" i="25"/>
  <c r="AC14" i="25"/>
  <c r="AC16" i="25"/>
  <c r="AC18" i="25"/>
  <c r="AC82" i="25"/>
  <c r="AC84" i="25"/>
  <c r="AC86" i="25"/>
  <c r="AC88" i="25"/>
  <c r="AC74" i="25"/>
  <c r="AC76" i="25"/>
  <c r="AC78" i="25"/>
  <c r="AC71" i="25"/>
  <c r="AC46" i="25"/>
  <c r="AC60" i="25"/>
  <c r="AC62" i="25"/>
  <c r="AC64" i="25"/>
  <c r="AC66" i="25"/>
  <c r="AC68" i="25"/>
  <c r="AC49" i="25"/>
  <c r="AC51" i="25"/>
  <c r="AC53" i="25"/>
  <c r="AC55" i="25"/>
  <c r="AC57" i="25"/>
  <c r="AC44" i="25"/>
  <c r="AC28" i="25"/>
  <c r="AC42" i="25"/>
  <c r="AC29" i="25"/>
  <c r="AC31" i="25"/>
  <c r="AC33" i="25"/>
  <c r="AC35" i="25"/>
  <c r="AC37" i="25"/>
  <c r="AC23" i="25"/>
  <c r="AC25" i="25"/>
  <c r="AC21" i="25"/>
  <c r="AC91" i="25"/>
  <c r="AC93" i="25"/>
  <c r="AC95" i="25"/>
  <c r="AC97" i="25"/>
  <c r="AC80" i="25"/>
  <c r="AC73" i="25"/>
  <c r="AC11" i="25"/>
  <c r="AC13" i="25"/>
  <c r="AC15" i="25"/>
  <c r="AC17" i="25"/>
  <c r="AC19" i="25"/>
  <c r="AC61" i="25"/>
  <c r="AC63" i="25"/>
  <c r="AC65" i="25"/>
  <c r="AC67" i="25"/>
  <c r="AC50" i="25"/>
  <c r="AC52" i="25"/>
  <c r="AC54" i="25"/>
  <c r="AC56" i="25"/>
  <c r="AC40" i="25"/>
  <c r="AC41" i="25"/>
  <c r="AC30" i="25"/>
  <c r="AC32" i="25"/>
  <c r="AC34" i="25"/>
  <c r="AC36" i="25"/>
  <c r="AC38" i="25"/>
  <c r="AC22" i="25"/>
  <c r="AC24" i="25"/>
  <c r="AC26" i="25"/>
  <c r="AC9" i="25"/>
  <c r="AC12" i="20"/>
  <c r="AC10" i="20"/>
  <c r="AC121" i="20"/>
  <c r="AC119" i="20"/>
  <c r="AC106" i="20"/>
  <c r="AC104" i="20"/>
  <c r="AC94" i="20"/>
  <c r="AC84" i="20"/>
  <c r="AC11" i="21"/>
  <c r="AC37" i="21"/>
  <c r="AC65" i="21"/>
  <c r="AC81" i="25"/>
  <c r="AC30" i="27"/>
  <c r="AC10" i="22"/>
  <c r="AC12" i="22"/>
  <c r="AC15" i="22"/>
  <c r="AC17" i="22"/>
  <c r="AC19" i="22"/>
  <c r="AC22" i="22"/>
  <c r="AC24" i="22"/>
  <c r="AC26" i="22"/>
  <c r="AC29" i="22"/>
  <c r="AC31" i="22"/>
  <c r="AC33" i="22"/>
  <c r="AC35" i="22"/>
  <c r="AC37" i="22"/>
  <c r="AC39" i="22"/>
  <c r="AC41" i="22"/>
  <c r="AC43" i="22"/>
  <c r="AC45" i="22"/>
  <c r="AC47" i="22"/>
  <c r="AC49" i="22"/>
  <c r="AC52" i="22"/>
  <c r="AC54" i="22"/>
  <c r="AC56" i="22"/>
  <c r="AC58" i="22"/>
  <c r="AC60" i="22"/>
  <c r="AC62" i="22"/>
  <c r="AC65" i="22"/>
  <c r="AC68" i="22"/>
  <c r="AC71" i="22"/>
  <c r="AC73" i="22"/>
  <c r="AC75" i="22"/>
  <c r="AC78" i="22"/>
  <c r="AC9" i="22"/>
  <c r="AC11" i="22"/>
  <c r="AC14" i="22"/>
  <c r="AC16" i="22"/>
  <c r="AC18" i="22"/>
  <c r="AC21" i="22"/>
  <c r="AC23" i="22"/>
  <c r="AC25" i="22"/>
  <c r="AC28" i="22"/>
  <c r="AC30" i="22"/>
  <c r="AC32" i="22"/>
  <c r="AC34" i="22"/>
  <c r="AC36" i="22"/>
  <c r="AC38" i="22"/>
  <c r="AC40" i="22"/>
  <c r="AC42" i="22"/>
  <c r="AC44" i="22"/>
  <c r="AC46" i="22"/>
  <c r="AC48" i="22"/>
  <c r="AC51" i="22"/>
  <c r="AC53" i="22"/>
  <c r="AC55" i="22"/>
  <c r="AC57" i="22"/>
  <c r="AC59" i="22"/>
  <c r="AC61" i="22"/>
  <c r="AC64" i="22"/>
  <c r="AC66" i="22"/>
  <c r="AC69" i="22"/>
  <c r="AC72" i="22"/>
  <c r="AC74" i="22"/>
  <c r="AC76" i="22"/>
  <c r="AC23" i="20"/>
  <c r="AC133" i="20"/>
  <c r="AC131" i="20"/>
  <c r="AC126" i="20"/>
  <c r="AC117" i="20"/>
  <c r="AC115" i="20"/>
  <c r="AC83" i="25"/>
  <c r="AC40" i="26"/>
  <c r="AC27" i="27"/>
  <c r="AC39" i="20"/>
  <c r="AC41" i="20"/>
  <c r="AC53" i="20"/>
  <c r="AC77" i="20"/>
  <c r="AC80" i="20"/>
  <c r="AC91" i="20"/>
  <c r="AC28" i="20"/>
  <c r="AC30" i="20"/>
  <c r="AC43" i="20"/>
  <c r="AC45" i="20"/>
  <c r="AC55" i="20"/>
  <c r="AC60" i="20"/>
  <c r="AC62" i="20"/>
  <c r="AC83" i="20"/>
  <c r="AC85" i="20"/>
  <c r="AC93" i="20"/>
  <c r="AC100" i="20"/>
  <c r="AC32" i="20"/>
  <c r="AC34" i="20"/>
  <c r="AC47" i="20"/>
  <c r="AC49" i="20"/>
  <c r="AC64" i="20"/>
  <c r="AC67" i="20"/>
  <c r="AC87" i="20"/>
  <c r="AC95" i="20"/>
  <c r="AC36" i="20"/>
  <c r="AC38" i="20"/>
  <c r="AC57" i="20"/>
  <c r="AC59" i="20"/>
  <c r="AC71" i="20"/>
  <c r="AC73" i="20"/>
  <c r="AC90" i="20"/>
  <c r="AC97" i="20"/>
  <c r="AC40" i="20"/>
  <c r="AC42" i="20"/>
  <c r="AC51" i="20"/>
  <c r="AC76" i="20"/>
  <c r="AC79" i="20"/>
  <c r="AC92" i="20"/>
  <c r="AC31" i="20"/>
  <c r="AC33" i="20"/>
  <c r="AC48" i="20"/>
  <c r="AC56" i="20"/>
  <c r="AC65" i="20"/>
  <c r="AC70" i="20"/>
  <c r="AC86" i="20"/>
  <c r="AC88" i="20"/>
  <c r="AC26" i="20"/>
  <c r="AC35" i="20"/>
  <c r="AC37" i="20"/>
  <c r="AC50" i="20"/>
  <c r="AC58" i="20"/>
  <c r="AC72" i="20"/>
  <c r="AC75" i="20"/>
  <c r="AC96" i="20"/>
  <c r="AC98" i="20"/>
  <c r="AJ10" i="28"/>
  <c r="AJ12" i="28"/>
  <c r="AJ14" i="28"/>
  <c r="AJ16" i="28"/>
  <c r="AJ18" i="28"/>
  <c r="AJ20" i="28"/>
  <c r="AJ22" i="28"/>
  <c r="AJ11" i="28"/>
  <c r="AJ13" i="28"/>
  <c r="AJ15" i="28"/>
  <c r="AJ9" i="28"/>
  <c r="AJ17" i="28"/>
  <c r="AJ19" i="28"/>
  <c r="AJ21" i="28"/>
  <c r="AC9" i="20"/>
  <c r="AC21" i="20"/>
  <c r="AC19" i="20"/>
  <c r="AC124" i="20"/>
  <c r="AC113" i="20"/>
  <c r="AC111" i="20"/>
  <c r="AC61" i="20"/>
  <c r="AC22" i="24"/>
  <c r="AC70" i="25"/>
  <c r="AC85" i="25"/>
  <c r="Z95" i="25"/>
  <c r="Z88" i="25"/>
  <c r="Z61" i="25"/>
  <c r="Z56" i="25"/>
  <c r="Z45" i="25"/>
  <c r="Z31" i="25"/>
  <c r="Z14" i="25"/>
  <c r="Z41" i="25"/>
  <c r="Z92" i="25"/>
  <c r="Z85" i="25"/>
  <c r="Z80" i="25"/>
  <c r="Z77" i="25"/>
  <c r="Z66" i="25"/>
  <c r="Z53" i="25"/>
  <c r="Z36" i="25"/>
  <c r="Z26" i="25"/>
  <c r="Z11" i="25"/>
  <c r="Z19" i="25"/>
  <c r="Z83" i="25"/>
  <c r="Z97" i="25"/>
  <c r="Z82" i="25"/>
  <c r="Z74" i="25"/>
  <c r="Z70" i="25"/>
  <c r="Z63" i="25"/>
  <c r="Z50" i="25"/>
  <c r="Z33" i="25"/>
  <c r="Z23" i="25"/>
  <c r="Z16" i="25"/>
  <c r="Z9" i="25"/>
  <c r="Z94" i="25"/>
  <c r="Z87" i="25"/>
  <c r="Z60" i="25"/>
  <c r="Z68" i="25"/>
  <c r="Z55" i="25"/>
  <c r="Z46" i="25"/>
  <c r="Z30" i="25"/>
  <c r="Z38" i="25"/>
  <c r="Z21" i="25"/>
  <c r="Z13" i="25"/>
  <c r="Z75" i="25"/>
  <c r="Z91" i="25"/>
  <c r="Z90" i="25"/>
  <c r="Z84" i="25"/>
  <c r="Z76" i="25"/>
  <c r="Z65" i="25"/>
  <c r="Z59" i="25"/>
  <c r="Z52" i="25"/>
  <c r="Z42" i="25"/>
  <c r="Z35" i="25"/>
  <c r="Z28" i="25"/>
  <c r="Z25" i="25"/>
  <c r="Z10" i="25"/>
  <c r="Z18" i="25"/>
  <c r="Z96" i="25"/>
  <c r="Z81" i="25"/>
  <c r="Z71" i="25"/>
  <c r="Z62" i="25"/>
  <c r="Z49" i="25"/>
  <c r="Z57" i="25"/>
  <c r="Z40" i="25"/>
  <c r="Z32" i="25"/>
  <c r="Z22" i="25"/>
  <c r="Z15" i="25"/>
  <c r="Z73" i="25"/>
  <c r="Z24" i="25"/>
  <c r="Z93" i="25"/>
  <c r="Z86" i="25"/>
  <c r="Z78" i="25"/>
  <c r="Z67" i="25"/>
  <c r="Z54" i="25"/>
  <c r="Z48" i="25"/>
  <c r="Z44" i="25"/>
  <c r="Z29" i="25"/>
  <c r="Z37" i="25"/>
  <c r="Z12" i="25"/>
  <c r="Z64" i="25"/>
  <c r="Z51" i="25"/>
  <c r="Z34" i="25"/>
  <c r="Z17" i="25"/>
  <c r="Z10" i="22"/>
  <c r="Z19" i="22"/>
  <c r="Z29" i="22"/>
  <c r="Z37" i="22"/>
  <c r="Z45" i="22"/>
  <c r="Z54" i="22"/>
  <c r="Z62" i="22"/>
  <c r="Z73" i="22"/>
  <c r="Z14" i="22"/>
  <c r="Z48" i="22"/>
  <c r="Z57" i="22"/>
  <c r="Z16" i="22"/>
  <c r="Z25" i="22"/>
  <c r="Z34" i="22"/>
  <c r="Z42" i="22"/>
  <c r="Z51" i="22"/>
  <c r="Z59" i="22"/>
  <c r="Z69" i="22"/>
  <c r="Z66" i="22"/>
  <c r="Z12" i="22"/>
  <c r="Z22" i="22"/>
  <c r="Z31" i="22"/>
  <c r="Z39" i="22"/>
  <c r="Z47" i="22"/>
  <c r="Z56" i="22"/>
  <c r="Z65" i="22"/>
  <c r="Z75" i="22"/>
  <c r="Z9" i="22"/>
  <c r="Z18" i="22"/>
  <c r="Z28" i="22"/>
  <c r="Z36" i="22"/>
  <c r="Z44" i="22"/>
  <c r="Z53" i="22"/>
  <c r="Z61" i="22"/>
  <c r="Z72" i="22"/>
  <c r="Z23" i="22"/>
  <c r="Z76" i="22"/>
  <c r="Z15" i="22"/>
  <c r="Z24" i="22"/>
  <c r="Z33" i="22"/>
  <c r="Z41" i="22"/>
  <c r="Z49" i="22"/>
  <c r="Z58" i="22"/>
  <c r="Z68" i="22"/>
  <c r="Z78" i="22"/>
  <c r="Z11" i="22"/>
  <c r="Z21" i="22"/>
  <c r="Z30" i="22"/>
  <c r="Z38" i="22"/>
  <c r="Z46" i="22"/>
  <c r="Z55" i="22"/>
  <c r="Z64" i="22"/>
  <c r="Z74" i="22"/>
  <c r="Z32" i="22"/>
  <c r="Z17" i="22"/>
  <c r="Z26" i="22"/>
  <c r="Z35" i="22"/>
  <c r="Z43" i="22"/>
  <c r="Z52" i="22"/>
  <c r="Z60" i="22"/>
  <c r="Z71" i="22"/>
  <c r="Z40" i="22"/>
  <c r="Z9" i="20"/>
  <c r="Z18" i="20"/>
  <c r="Z15" i="20"/>
  <c r="Z12" i="20"/>
  <c r="Z135" i="20"/>
  <c r="Z111" i="20"/>
  <c r="Z108" i="20"/>
  <c r="Z105" i="20"/>
  <c r="Z102" i="20"/>
  <c r="Z76" i="20"/>
  <c r="Z72" i="20"/>
  <c r="Z67" i="20"/>
  <c r="Z63" i="20"/>
  <c r="Z39" i="20"/>
  <c r="Z36" i="20"/>
  <c r="Z33" i="20"/>
  <c r="Z30" i="20"/>
  <c r="Z15" i="21"/>
  <c r="Z30" i="21"/>
  <c r="Z22" i="21"/>
  <c r="Z34" i="21"/>
  <c r="Z45" i="21"/>
  <c r="Z64" i="21"/>
  <c r="Z23" i="23"/>
  <c r="Z15" i="23"/>
  <c r="Z35" i="23"/>
  <c r="Z50" i="23"/>
  <c r="Z41" i="23"/>
  <c r="Z76" i="23"/>
  <c r="Z84" i="23"/>
  <c r="Z93" i="23"/>
  <c r="Z101" i="23"/>
  <c r="Z11" i="24"/>
  <c r="Z14" i="24"/>
  <c r="Z27" i="24"/>
  <c r="Z55" i="24"/>
  <c r="Z47" i="24"/>
  <c r="Z66" i="24"/>
  <c r="Z31" i="26"/>
  <c r="Z22" i="26"/>
  <c r="Z40" i="26"/>
  <c r="Z13" i="27"/>
  <c r="Z17" i="27"/>
  <c r="Z21" i="27"/>
  <c r="Z24" i="27"/>
  <c r="Z34" i="27"/>
  <c r="Z47" i="27"/>
  <c r="Z39" i="27"/>
  <c r="AG9" i="28"/>
  <c r="AG19" i="28"/>
  <c r="AG11" i="28"/>
  <c r="Z10" i="16"/>
  <c r="Z32" i="16"/>
  <c r="Z24" i="20"/>
  <c r="Z21" i="20"/>
  <c r="Z123" i="20"/>
  <c r="Z120" i="20"/>
  <c r="Z117" i="20"/>
  <c r="Z114" i="20"/>
  <c r="Z91" i="20"/>
  <c r="Z87" i="20"/>
  <c r="Z84" i="20"/>
  <c r="Z80" i="20"/>
  <c r="Z51" i="20"/>
  <c r="Z48" i="20"/>
  <c r="Z45" i="20"/>
  <c r="Z42" i="20"/>
  <c r="Z10" i="21"/>
  <c r="Z25" i="21"/>
  <c r="Z32" i="21"/>
  <c r="Z40" i="21"/>
  <c r="Z68" i="21"/>
  <c r="Z26" i="23"/>
  <c r="Z18" i="23"/>
  <c r="Z10" i="23"/>
  <c r="Z39" i="23"/>
  <c r="Z44" i="23"/>
  <c r="Z55" i="23"/>
  <c r="Z59" i="23"/>
  <c r="Z64" i="23"/>
  <c r="Z71" i="23"/>
  <c r="Z89" i="23"/>
  <c r="Z104" i="23"/>
  <c r="Z17" i="24"/>
  <c r="Z30" i="24"/>
  <c r="Z35" i="24"/>
  <c r="Z50" i="24"/>
  <c r="Z42" i="24"/>
  <c r="Z59" i="24"/>
  <c r="Z69" i="24"/>
  <c r="Z61" i="24"/>
  <c r="Z76" i="24"/>
  <c r="Z11" i="26"/>
  <c r="Z13" i="26"/>
  <c r="Z25" i="26"/>
  <c r="Z35" i="26"/>
  <c r="Z30" i="27"/>
  <c r="Z50" i="27"/>
  <c r="Z42" i="27"/>
  <c r="Z57" i="27"/>
  <c r="AG22" i="28"/>
  <c r="AG14" i="28"/>
  <c r="Z20" i="16"/>
  <c r="Z10" i="20"/>
  <c r="Z132" i="20"/>
  <c r="Z129" i="20"/>
  <c r="Z126" i="20"/>
  <c r="Z103" i="20"/>
  <c r="Z100" i="20"/>
  <c r="Z97" i="20"/>
  <c r="Z94" i="20"/>
  <c r="Z64" i="20"/>
  <c r="Z61" i="20"/>
  <c r="Z58" i="20"/>
  <c r="Z55" i="20"/>
  <c r="Z31" i="20"/>
  <c r="Z28" i="20"/>
  <c r="Z13" i="21"/>
  <c r="Z19" i="21"/>
  <c r="Z28" i="21"/>
  <c r="Z43" i="21"/>
  <c r="Z50" i="21"/>
  <c r="Z55" i="21"/>
  <c r="Z21" i="23"/>
  <c r="Z13" i="23"/>
  <c r="Z30" i="23"/>
  <c r="Z47" i="23"/>
  <c r="Z70" i="23"/>
  <c r="Z74" i="23"/>
  <c r="Z79" i="23"/>
  <c r="Z82" i="23"/>
  <c r="Z92" i="23"/>
  <c r="Z96" i="23"/>
  <c r="Z99" i="23"/>
  <c r="Z20" i="24"/>
  <c r="Z12" i="24"/>
  <c r="Z25" i="24"/>
  <c r="Z53" i="24"/>
  <c r="Z45" i="24"/>
  <c r="Z72" i="24"/>
  <c r="Z64" i="24"/>
  <c r="Z16" i="26"/>
  <c r="Z29" i="26"/>
  <c r="Z38" i="26"/>
  <c r="Z11" i="27"/>
  <c r="Z26" i="27"/>
  <c r="Z45" i="27"/>
  <c r="Z37" i="27"/>
  <c r="Z54" i="27"/>
  <c r="AG17" i="28"/>
  <c r="Z22" i="20"/>
  <c r="Z19" i="20"/>
  <c r="Z16" i="20"/>
  <c r="Z13" i="20"/>
  <c r="Z115" i="20"/>
  <c r="Z112" i="20"/>
  <c r="Z109" i="20"/>
  <c r="Z106" i="20"/>
  <c r="Z82" i="20"/>
  <c r="Z77" i="20"/>
  <c r="Z73" i="20"/>
  <c r="Z70" i="20"/>
  <c r="Z43" i="20"/>
  <c r="Z40" i="20"/>
  <c r="Z37" i="20"/>
  <c r="Z34" i="20"/>
  <c r="Z16" i="21"/>
  <c r="Z23" i="21"/>
  <c r="Z35" i="21"/>
  <c r="Z38" i="21"/>
  <c r="Z65" i="21"/>
  <c r="Z24" i="23"/>
  <c r="Z16" i="23"/>
  <c r="Z36" i="23"/>
  <c r="Z51" i="23"/>
  <c r="Z42" i="23"/>
  <c r="Z58" i="23"/>
  <c r="Z62" i="23"/>
  <c r="Z77" i="23"/>
  <c r="Z85" i="23"/>
  <c r="Z88" i="23"/>
  <c r="Z102" i="23"/>
  <c r="Z9" i="24"/>
  <c r="Z15" i="24"/>
  <c r="Z22" i="24"/>
  <c r="Z28" i="24"/>
  <c r="Z48" i="24"/>
  <c r="Z40" i="24"/>
  <c r="Z67" i="24"/>
  <c r="Z9" i="26"/>
  <c r="Z32" i="26"/>
  <c r="Z23" i="26"/>
  <c r="Z14" i="27"/>
  <c r="Z20" i="27"/>
  <c r="Z23" i="27"/>
  <c r="Z33" i="27"/>
  <c r="Z48" i="27"/>
  <c r="Z40" i="27"/>
  <c r="Z59" i="27"/>
  <c r="AG20" i="28"/>
  <c r="AG12" i="28"/>
  <c r="Z28" i="16"/>
  <c r="Z127" i="20"/>
  <c r="Z124" i="20"/>
  <c r="Z121" i="20"/>
  <c r="Z118" i="20"/>
  <c r="Z95" i="20"/>
  <c r="Z92" i="20"/>
  <c r="Z88" i="20"/>
  <c r="Z85" i="20"/>
  <c r="Z56" i="20"/>
  <c r="Z53" i="20"/>
  <c r="Z49" i="20"/>
  <c r="Z46" i="20"/>
  <c r="Z9" i="21"/>
  <c r="Z11" i="21"/>
  <c r="Z26" i="21"/>
  <c r="Z41" i="21"/>
  <c r="Z47" i="21"/>
  <c r="Z48" i="21"/>
  <c r="Z27" i="23"/>
  <c r="Z19" i="23"/>
  <c r="Z11" i="23"/>
  <c r="Z34" i="23"/>
  <c r="Z45" i="23"/>
  <c r="Z54" i="23"/>
  <c r="Z65" i="23"/>
  <c r="Z68" i="23"/>
  <c r="Z72" i="23"/>
  <c r="Z80" i="23"/>
  <c r="Z90" i="23"/>
  <c r="Z18" i="24"/>
  <c r="Z31" i="24"/>
  <c r="Z23" i="24"/>
  <c r="Z36" i="24"/>
  <c r="Z51" i="24"/>
  <c r="Z43" i="24"/>
  <c r="Z57" i="24"/>
  <c r="Z70" i="24"/>
  <c r="Z62" i="24"/>
  <c r="Z75" i="24"/>
  <c r="Z14" i="26"/>
  <c r="Z21" i="26"/>
  <c r="Z26" i="26"/>
  <c r="Z29" i="27"/>
  <c r="Z43" i="27"/>
  <c r="Z35" i="27"/>
  <c r="Z56" i="27"/>
  <c r="AG15" i="28"/>
  <c r="Z36" i="16"/>
  <c r="Z16" i="16"/>
  <c r="Z14" i="20"/>
  <c r="Z11" i="20"/>
  <c r="Z133" i="20"/>
  <c r="Z130" i="20"/>
  <c r="Z107" i="20"/>
  <c r="Z104" i="20"/>
  <c r="Z101" i="20"/>
  <c r="Z98" i="20"/>
  <c r="Z71" i="20"/>
  <c r="Z65" i="20"/>
  <c r="Z62" i="20"/>
  <c r="Z59" i="20"/>
  <c r="Z35" i="20"/>
  <c r="Z32" i="20"/>
  <c r="Z29" i="20"/>
  <c r="Z26" i="20"/>
  <c r="Z14" i="21"/>
  <c r="Z29" i="21"/>
  <c r="Z33" i="21"/>
  <c r="Z44" i="21"/>
  <c r="Z51" i="21"/>
  <c r="Z53" i="21"/>
  <c r="Z63" i="21"/>
  <c r="Z22" i="23"/>
  <c r="Z14" i="23"/>
  <c r="Z48" i="23"/>
  <c r="Z40" i="23"/>
  <c r="Z75" i="23"/>
  <c r="Z83" i="23"/>
  <c r="Z86" i="23"/>
  <c r="Z94" i="23"/>
  <c r="Z100" i="23"/>
  <c r="Z13" i="24"/>
  <c r="Z26" i="24"/>
  <c r="Z33" i="24"/>
  <c r="Z54" i="24"/>
  <c r="Z46" i="24"/>
  <c r="Z65" i="24"/>
  <c r="Z30" i="26"/>
  <c r="Z9" i="27"/>
  <c r="Z12" i="27"/>
  <c r="Z18" i="27"/>
  <c r="Z22" i="27"/>
  <c r="Z25" i="27"/>
  <c r="Z46" i="27"/>
  <c r="Z38" i="27"/>
  <c r="Z52" i="27"/>
  <c r="AG18" i="28"/>
  <c r="AG10" i="28"/>
  <c r="Z23" i="20"/>
  <c r="Z20" i="20"/>
  <c r="Z17" i="20"/>
  <c r="Z119" i="20"/>
  <c r="Z116" i="20"/>
  <c r="Z113" i="20"/>
  <c r="Z110" i="20"/>
  <c r="Z86" i="20"/>
  <c r="Z83" i="20"/>
  <c r="Z79" i="20"/>
  <c r="Z75" i="20"/>
  <c r="Z47" i="20"/>
  <c r="Z44" i="20"/>
  <c r="Z41" i="20"/>
  <c r="Z17" i="21"/>
  <c r="Z24" i="21"/>
  <c r="Z37" i="21"/>
  <c r="Z39" i="21"/>
  <c r="Z9" i="23"/>
  <c r="Z25" i="23"/>
  <c r="Z17" i="23"/>
  <c r="Z37" i="23"/>
  <c r="Z43" i="23"/>
  <c r="Z53" i="23"/>
  <c r="Z57" i="23"/>
  <c r="Z61" i="23"/>
  <c r="Z63" i="23"/>
  <c r="Z16" i="24"/>
  <c r="Z29" i="24"/>
  <c r="Z34" i="24"/>
  <c r="Z49" i="24"/>
  <c r="Z41" i="24"/>
  <c r="Z68" i="24"/>
  <c r="Z60" i="24"/>
  <c r="Z12" i="26"/>
  <c r="Z33" i="26"/>
  <c r="Z15" i="27"/>
  <c r="Z32" i="27"/>
  <c r="Z49" i="27"/>
  <c r="Z41" i="27"/>
  <c r="AG21" i="28"/>
  <c r="AE74" i="22"/>
  <c r="AE64" i="22"/>
  <c r="AE55" i="22"/>
  <c r="AE51" i="22"/>
  <c r="AE46" i="22"/>
  <c r="AE42" i="22"/>
  <c r="AE38" i="22"/>
  <c r="AE34" i="22"/>
  <c r="AE30" i="22"/>
  <c r="AE25" i="22"/>
  <c r="AE21" i="22"/>
  <c r="AE16" i="22"/>
  <c r="AE11" i="22"/>
  <c r="AE17" i="21"/>
  <c r="AE13" i="21"/>
  <c r="AE28" i="21"/>
  <c r="AE24" i="21"/>
  <c r="AE35" i="21"/>
  <c r="AE45" i="21"/>
  <c r="AE41" i="21"/>
  <c r="AE48" i="21"/>
  <c r="AE26" i="23"/>
  <c r="AE22" i="23"/>
  <c r="AE18" i="23"/>
  <c r="AE14" i="23"/>
  <c r="AE10" i="23"/>
  <c r="AE37" i="23"/>
  <c r="AE51" i="23"/>
  <c r="AE46" i="23"/>
  <c r="AE42" i="23"/>
  <c r="AE64" i="23"/>
  <c r="AE74" i="23"/>
  <c r="AE82" i="23"/>
  <c r="AE104" i="23"/>
  <c r="AE100" i="23"/>
  <c r="AE20" i="24"/>
  <c r="AE12" i="24"/>
  <c r="AE29" i="24"/>
  <c r="AE25" i="24"/>
  <c r="AE37" i="24"/>
  <c r="AE52" i="24"/>
  <c r="AE48" i="24"/>
  <c r="AE44" i="24"/>
  <c r="AE40" i="24"/>
  <c r="AE71" i="24"/>
  <c r="AE67" i="24"/>
  <c r="AE63" i="24"/>
  <c r="AE16" i="25"/>
  <c r="AE12" i="25"/>
  <c r="AE26" i="25"/>
  <c r="AE22" i="25"/>
  <c r="AE36" i="25"/>
  <c r="AE32" i="25"/>
  <c r="AE56" i="25"/>
  <c r="AE52" i="25"/>
  <c r="AE65" i="25"/>
  <c r="AE61" i="25"/>
  <c r="AE75" i="25"/>
  <c r="AE87" i="25"/>
  <c r="AE83" i="25"/>
  <c r="AE97" i="25"/>
  <c r="AE93" i="25"/>
  <c r="AE13" i="26"/>
  <c r="AE33" i="26"/>
  <c r="AE29" i="26"/>
  <c r="AE24" i="26"/>
  <c r="AE36" i="27"/>
  <c r="AE69" i="22"/>
  <c r="AE16" i="24"/>
  <c r="AE55" i="21"/>
  <c r="AE32" i="23"/>
  <c r="AE57" i="23"/>
  <c r="AE96" i="23"/>
  <c r="AE9" i="24"/>
  <c r="AE59" i="24"/>
  <c r="AE76" i="24"/>
  <c r="AE48" i="25"/>
  <c r="AE70" i="25"/>
  <c r="AE80" i="25"/>
  <c r="AE19" i="26"/>
  <c r="AE17" i="27"/>
  <c r="AE33" i="27"/>
  <c r="AE48" i="27"/>
  <c r="AE59" i="27"/>
  <c r="AL20" i="28"/>
  <c r="AE18" i="20"/>
  <c r="AE127" i="20"/>
  <c r="AE111" i="20"/>
  <c r="AE95" i="20"/>
  <c r="AE86" i="20"/>
  <c r="AE76" i="20"/>
  <c r="AE71" i="20"/>
  <c r="AE64" i="20"/>
  <c r="AE60" i="20"/>
  <c r="AE51" i="20"/>
  <c r="AE47" i="20"/>
  <c r="AE43" i="20"/>
  <c r="AE39" i="20"/>
  <c r="AE35" i="20"/>
  <c r="AE31" i="20"/>
  <c r="AE27" i="20"/>
  <c r="AE75" i="22"/>
  <c r="AE71" i="22"/>
  <c r="AE65" i="22"/>
  <c r="AE60" i="22"/>
  <c r="AE56" i="22"/>
  <c r="AE52" i="22"/>
  <c r="AE47" i="22"/>
  <c r="AE43" i="22"/>
  <c r="AE39" i="22"/>
  <c r="AE35" i="22"/>
  <c r="AE31" i="22"/>
  <c r="AE26" i="22"/>
  <c r="AE22" i="22"/>
  <c r="AE17" i="22"/>
  <c r="AE12" i="22"/>
  <c r="AE14" i="21"/>
  <c r="AE10" i="21"/>
  <c r="AE29" i="21"/>
  <c r="AE25" i="21"/>
  <c r="AE42" i="21"/>
  <c r="AE38" i="21"/>
  <c r="AE49" i="21"/>
  <c r="AE64" i="21"/>
  <c r="AE27" i="23"/>
  <c r="AE23" i="23"/>
  <c r="AE19" i="23"/>
  <c r="AE15" i="23"/>
  <c r="AE11" i="23"/>
  <c r="AE47" i="23"/>
  <c r="AE43" i="23"/>
  <c r="AE65" i="23"/>
  <c r="AE75" i="23"/>
  <c r="AE71" i="23"/>
  <c r="AE83" i="23"/>
  <c r="AE101" i="23"/>
  <c r="AE17" i="24"/>
  <c r="AE13" i="24"/>
  <c r="AE30" i="24"/>
  <c r="AE26" i="24"/>
  <c r="AE34" i="24"/>
  <c r="AE53" i="24"/>
  <c r="AE49" i="24"/>
  <c r="AE45" i="24"/>
  <c r="AE41" i="24"/>
  <c r="AE72" i="24"/>
  <c r="AE68" i="24"/>
  <c r="AE64" i="24"/>
  <c r="AE60" i="24"/>
  <c r="AE17" i="25"/>
  <c r="AE13" i="25"/>
  <c r="AE23" i="25"/>
  <c r="AE37" i="25"/>
  <c r="AE33" i="25"/>
  <c r="AE29" i="25"/>
  <c r="AE57" i="25"/>
  <c r="AE53" i="25"/>
  <c r="AE49" i="25"/>
  <c r="AE66" i="25"/>
  <c r="AE62" i="25"/>
  <c r="AE76" i="25"/>
  <c r="AE88" i="25"/>
  <c r="AE84" i="25"/>
  <c r="AE94" i="25"/>
  <c r="AE14" i="26"/>
  <c r="AE30" i="26"/>
  <c r="AE25" i="26"/>
  <c r="AE59" i="22"/>
  <c r="AE22" i="20"/>
  <c r="AE14" i="20"/>
  <c r="AE10" i="20"/>
  <c r="AE131" i="20"/>
  <c r="AE123" i="20"/>
  <c r="AE115" i="20"/>
  <c r="AE107" i="20"/>
  <c r="AE103" i="20"/>
  <c r="AE99" i="20"/>
  <c r="AE91" i="20"/>
  <c r="AE82" i="20"/>
  <c r="AE56" i="20"/>
  <c r="AE12" i="16"/>
  <c r="AE36" i="16"/>
  <c r="AE21" i="21"/>
  <c r="AE53" i="21"/>
  <c r="AE9" i="23"/>
  <c r="AE30" i="23"/>
  <c r="AE55" i="23"/>
  <c r="AE61" i="23"/>
  <c r="AE94" i="23"/>
  <c r="AE22" i="24"/>
  <c r="AE57" i="24"/>
  <c r="AE75" i="24"/>
  <c r="AE28" i="25"/>
  <c r="AE46" i="25"/>
  <c r="AE27" i="27"/>
  <c r="AE32" i="27"/>
  <c r="AE40" i="27"/>
  <c r="AE55" i="27"/>
  <c r="AE58" i="27"/>
  <c r="AE23" i="20"/>
  <c r="AE19" i="20"/>
  <c r="AE15" i="20"/>
  <c r="AE132" i="20"/>
  <c r="AE128" i="20"/>
  <c r="AE124" i="20"/>
  <c r="AE120" i="20"/>
  <c r="AE116" i="20"/>
  <c r="AE112" i="20"/>
  <c r="AE108" i="20"/>
  <c r="AE104" i="20"/>
  <c r="AE100" i="20"/>
  <c r="AE96" i="20"/>
  <c r="AE92" i="20"/>
  <c r="AE87" i="20"/>
  <c r="AE83" i="20"/>
  <c r="AE77" i="20"/>
  <c r="AE72" i="20"/>
  <c r="AE65" i="20"/>
  <c r="AE61" i="20"/>
  <c r="AE57" i="20"/>
  <c r="AE53" i="20"/>
  <c r="AE48" i="20"/>
  <c r="AE44" i="20"/>
  <c r="AE40" i="20"/>
  <c r="AE36" i="20"/>
  <c r="AE32" i="20"/>
  <c r="AE28" i="20"/>
  <c r="AE76" i="22"/>
  <c r="AE72" i="22"/>
  <c r="AE66" i="22"/>
  <c r="AE61" i="22"/>
  <c r="AE57" i="22"/>
  <c r="AE53" i="22"/>
  <c r="AE48" i="22"/>
  <c r="AE44" i="22"/>
  <c r="AE40" i="22"/>
  <c r="AE36" i="22"/>
  <c r="AE32" i="22"/>
  <c r="AE28" i="22"/>
  <c r="AE23" i="22"/>
  <c r="AE18" i="22"/>
  <c r="AE14" i="22"/>
  <c r="AE9" i="22"/>
  <c r="AE15" i="21"/>
  <c r="AE11" i="21"/>
  <c r="AE30" i="21"/>
  <c r="AE26" i="21"/>
  <c r="AE22" i="21"/>
  <c r="AE33" i="21"/>
  <c r="AE43" i="21"/>
  <c r="AE39" i="21"/>
  <c r="AE50" i="21"/>
  <c r="AE65" i="21"/>
  <c r="AE28" i="23"/>
  <c r="AE24" i="23"/>
  <c r="AE20" i="23"/>
  <c r="AE16" i="23"/>
  <c r="AE12" i="23"/>
  <c r="AE35" i="23"/>
  <c r="AE48" i="23"/>
  <c r="AE44" i="23"/>
  <c r="AE40" i="23"/>
  <c r="AE66" i="23"/>
  <c r="AE62" i="23"/>
  <c r="AE76" i="23"/>
  <c r="AE72" i="23"/>
  <c r="AE84" i="23"/>
  <c r="AE80" i="23"/>
  <c r="AE89" i="23"/>
  <c r="AE102" i="23"/>
  <c r="AE18" i="24"/>
  <c r="AE14" i="24"/>
  <c r="AE31" i="24"/>
  <c r="AE27" i="24"/>
  <c r="AE23" i="24"/>
  <c r="AE35" i="24"/>
  <c r="AE54" i="24"/>
  <c r="AE50" i="24"/>
  <c r="AE46" i="24"/>
  <c r="AE42" i="24"/>
  <c r="AE69" i="24"/>
  <c r="AE65" i="24"/>
  <c r="AE61" i="24"/>
  <c r="AE18" i="25"/>
  <c r="AE14" i="25"/>
  <c r="AE10" i="25"/>
  <c r="AE24" i="25"/>
  <c r="AE38" i="25"/>
  <c r="AE34" i="25"/>
  <c r="AE30" i="25"/>
  <c r="AE41" i="25"/>
  <c r="AE54" i="25"/>
  <c r="AE50" i="25"/>
  <c r="AE67" i="25"/>
  <c r="AE63" i="25"/>
  <c r="AE77" i="25"/>
  <c r="AE85" i="25"/>
  <c r="AE81" i="25"/>
  <c r="AE95" i="25"/>
  <c r="AE91" i="25"/>
  <c r="AE15" i="26"/>
  <c r="AE31" i="26"/>
  <c r="AE26" i="26"/>
  <c r="AE9" i="27"/>
  <c r="AE119" i="20"/>
  <c r="AE35" i="27"/>
  <c r="AE39" i="27"/>
  <c r="AE43" i="27"/>
  <c r="AE47" i="27"/>
  <c r="AE11" i="27"/>
  <c r="AE15" i="27"/>
  <c r="AE38" i="27"/>
  <c r="AE42" i="27"/>
  <c r="AE46" i="27"/>
  <c r="AE50" i="27"/>
  <c r="AE10" i="27"/>
  <c r="AE14" i="27"/>
  <c r="AE56" i="27"/>
  <c r="AE34" i="27"/>
  <c r="AE29" i="27"/>
  <c r="AE24" i="27"/>
  <c r="AE20" i="27"/>
  <c r="AE37" i="27"/>
  <c r="AE41" i="27"/>
  <c r="AE45" i="27"/>
  <c r="AE49" i="27"/>
  <c r="AE13" i="27"/>
  <c r="AE57" i="27"/>
  <c r="AE52" i="27"/>
  <c r="AE30" i="27"/>
  <c r="AE25" i="27"/>
  <c r="AE21" i="27"/>
  <c r="AE11" i="20"/>
  <c r="AE34" i="16"/>
  <c r="AE9" i="20"/>
  <c r="AE19" i="21"/>
  <c r="AE47" i="21"/>
  <c r="AE63" i="21"/>
  <c r="AE68" i="21"/>
  <c r="AE54" i="23"/>
  <c r="AE59" i="23"/>
  <c r="AE70" i="23"/>
  <c r="AE79" i="23"/>
  <c r="AE88" i="23"/>
  <c r="AE93" i="23"/>
  <c r="AE39" i="24"/>
  <c r="AE74" i="24"/>
  <c r="AE9" i="25"/>
  <c r="AE40" i="25"/>
  <c r="AE45" i="25"/>
  <c r="AE59" i="25"/>
  <c r="AE73" i="25"/>
  <c r="AE23" i="27"/>
  <c r="AE26" i="27"/>
  <c r="AE54" i="27"/>
  <c r="AL11" i="28"/>
  <c r="AL15" i="28"/>
  <c r="AL19" i="28"/>
  <c r="AL10" i="28"/>
  <c r="AL14" i="28"/>
  <c r="AL18" i="28"/>
  <c r="AL22" i="28"/>
  <c r="AL9" i="28"/>
  <c r="AL13" i="28"/>
  <c r="AL17" i="28"/>
  <c r="AL21" i="28"/>
  <c r="AE38" i="26"/>
  <c r="AE36" i="26"/>
  <c r="AE22" i="26"/>
  <c r="AE10" i="16"/>
  <c r="AE24" i="20"/>
  <c r="AE20" i="20"/>
  <c r="AE16" i="20"/>
  <c r="AE12" i="20"/>
  <c r="AE133" i="20"/>
  <c r="AE129" i="20"/>
  <c r="AE125" i="20"/>
  <c r="AE121" i="20"/>
  <c r="AE117" i="20"/>
  <c r="AE113" i="20"/>
  <c r="AE109" i="20"/>
  <c r="AE105" i="20"/>
  <c r="AE101" i="20"/>
  <c r="AE97" i="20"/>
  <c r="AE93" i="20"/>
  <c r="AE88" i="20"/>
  <c r="AE84" i="20"/>
  <c r="AE79" i="20"/>
  <c r="AE73" i="20"/>
  <c r="AE67" i="20"/>
  <c r="AE62" i="20"/>
  <c r="AE58" i="20"/>
  <c r="AE54" i="20"/>
  <c r="AE49" i="20"/>
  <c r="AE45" i="20"/>
  <c r="AE41" i="20"/>
  <c r="AE37" i="20"/>
  <c r="AE33" i="20"/>
  <c r="AE78" i="22"/>
  <c r="AE73" i="22"/>
  <c r="AE68" i="22"/>
  <c r="AE62" i="22"/>
  <c r="AE58" i="22"/>
  <c r="AE54" i="22"/>
  <c r="AE49" i="22"/>
  <c r="AE45" i="22"/>
  <c r="AE41" i="22"/>
  <c r="AE37" i="22"/>
  <c r="AE33" i="22"/>
  <c r="AE29" i="22"/>
  <c r="AE24" i="22"/>
  <c r="AE19" i="22"/>
  <c r="AE15" i="22"/>
  <c r="AE16" i="21"/>
  <c r="AE12" i="21"/>
  <c r="AE27" i="21"/>
  <c r="AE23" i="21"/>
  <c r="AE34" i="21"/>
  <c r="AE44" i="21"/>
  <c r="AE40" i="21"/>
  <c r="AE51" i="21"/>
  <c r="AE25" i="23"/>
  <c r="AE21" i="23"/>
  <c r="AE17" i="23"/>
  <c r="AE13" i="23"/>
  <c r="AE36" i="23"/>
  <c r="AE50" i="23"/>
  <c r="AE45" i="23"/>
  <c r="AE41" i="23"/>
  <c r="AE63" i="23"/>
  <c r="AE77" i="23"/>
  <c r="AE73" i="23"/>
  <c r="AE85" i="23"/>
  <c r="AE81" i="23"/>
  <c r="AE90" i="23"/>
  <c r="AE103" i="23"/>
  <c r="AE19" i="24"/>
  <c r="AE15" i="24"/>
  <c r="AE28" i="24"/>
  <c r="AE24" i="24"/>
  <c r="AE36" i="24"/>
  <c r="AE55" i="24"/>
  <c r="AE51" i="24"/>
  <c r="AE47" i="24"/>
  <c r="AE43" i="24"/>
  <c r="AE70" i="24"/>
  <c r="AE66" i="24"/>
  <c r="AE19" i="25"/>
  <c r="AE15" i="25"/>
  <c r="AE11" i="25"/>
  <c r="AE25" i="25"/>
  <c r="AE35" i="25"/>
  <c r="AE31" i="25"/>
  <c r="AE42" i="25"/>
  <c r="AE55" i="25"/>
  <c r="AE51" i="25"/>
  <c r="AE68" i="25"/>
  <c r="AE64" i="25"/>
  <c r="AE60" i="25"/>
  <c r="AE78" i="25"/>
  <c r="AE74" i="25"/>
  <c r="AE86" i="25"/>
  <c r="AE82" i="25"/>
  <c r="AE96" i="25"/>
  <c r="AE16" i="26"/>
  <c r="AE12" i="26"/>
  <c r="AE32" i="26"/>
  <c r="AE27" i="26"/>
  <c r="AE23" i="26"/>
  <c r="AE35" i="26"/>
  <c r="AE40" i="26"/>
  <c r="AE44" i="27"/>
  <c r="AL16" i="28"/>
  <c r="Z9" i="16"/>
  <c r="AC12" i="16"/>
  <c r="AA11" i="16"/>
  <c r="AE39" i="16"/>
  <c r="AC38" i="16"/>
  <c r="AA37" i="16"/>
  <c r="AE35" i="16"/>
  <c r="AC34" i="16"/>
  <c r="AA33" i="16"/>
  <c r="AE31" i="16"/>
  <c r="AC30" i="16"/>
  <c r="AA29" i="16"/>
  <c r="AE27" i="16"/>
  <c r="AC26" i="16"/>
  <c r="AA25" i="16"/>
  <c r="AE23" i="16"/>
  <c r="AC22" i="16"/>
  <c r="AA21" i="16"/>
  <c r="AE19" i="16"/>
  <c r="AC18" i="16"/>
  <c r="AA17" i="16"/>
  <c r="AE15" i="16"/>
  <c r="AC14" i="16"/>
  <c r="AA13" i="16"/>
  <c r="AA9" i="16"/>
  <c r="AB12" i="16"/>
  <c r="Z11" i="16"/>
  <c r="AD39" i="16"/>
  <c r="AB38" i="16"/>
  <c r="Z37" i="16"/>
  <c r="AD35" i="16"/>
  <c r="AB34" i="16"/>
  <c r="Z33" i="16"/>
  <c r="AD31" i="16"/>
  <c r="AB30" i="16"/>
  <c r="Z29" i="16"/>
  <c r="AD27" i="16"/>
  <c r="AB26" i="16"/>
  <c r="Z25" i="16"/>
  <c r="AD23" i="16"/>
  <c r="AB22" i="16"/>
  <c r="Z21" i="16"/>
  <c r="AD19" i="16"/>
  <c r="AB18" i="16"/>
  <c r="Z17" i="16"/>
  <c r="AD15" i="16"/>
  <c r="AB14" i="16"/>
  <c r="Z13" i="16"/>
  <c r="AC39" i="16"/>
  <c r="AC35" i="16"/>
  <c r="AA34" i="16"/>
  <c r="AC31" i="16"/>
  <c r="AA30" i="16"/>
  <c r="AE28" i="16"/>
  <c r="AC27" i="16"/>
  <c r="AA26" i="16"/>
  <c r="AE24" i="16"/>
  <c r="AC23" i="16"/>
  <c r="AA22" i="16"/>
  <c r="AE20" i="16"/>
  <c r="AC19" i="16"/>
  <c r="AA18" i="16"/>
  <c r="AE16" i="16"/>
  <c r="AA14" i="16"/>
  <c r="AB9" i="16"/>
  <c r="AA12" i="16"/>
  <c r="AA38" i="16"/>
  <c r="AC15" i="16"/>
  <c r="Z12" i="16"/>
  <c r="AD10" i="16"/>
  <c r="AB39" i="16"/>
  <c r="Z38" i="16"/>
  <c r="AD36" i="16"/>
  <c r="AB35" i="16"/>
  <c r="Z34" i="16"/>
  <c r="AD32" i="16"/>
  <c r="AB31" i="16"/>
  <c r="Z30" i="16"/>
  <c r="AD28" i="16"/>
  <c r="AB27" i="16"/>
  <c r="Z26" i="16"/>
  <c r="AD24" i="16"/>
  <c r="AB23" i="16"/>
  <c r="Z22" i="16"/>
  <c r="AD20" i="16"/>
  <c r="AB19" i="16"/>
  <c r="Z18" i="16"/>
  <c r="AD16" i="16"/>
  <c r="AB15" i="16"/>
  <c r="Z14" i="16"/>
  <c r="AD9" i="16"/>
  <c r="AE11" i="16"/>
  <c r="AC10" i="16"/>
  <c r="AA39" i="16"/>
  <c r="AE37" i="16"/>
  <c r="AC36" i="16"/>
  <c r="AA35" i="16"/>
  <c r="AE33" i="16"/>
  <c r="AC32" i="16"/>
  <c r="AA31" i="16"/>
  <c r="AE29" i="16"/>
  <c r="AC28" i="16"/>
  <c r="AA27" i="16"/>
  <c r="AE25" i="16"/>
  <c r="AC24" i="16"/>
  <c r="AA23" i="16"/>
  <c r="AE21" i="16"/>
  <c r="AC20" i="16"/>
  <c r="AA19" i="16"/>
  <c r="AE17" i="16"/>
  <c r="AC16" i="16"/>
  <c r="AA15" i="16"/>
  <c r="AE13" i="16"/>
  <c r="AE9" i="16"/>
  <c r="AD11" i="16"/>
  <c r="AB10" i="16"/>
  <c r="Z39" i="16"/>
  <c r="AD37" i="16"/>
  <c r="AB36" i="16"/>
  <c r="Z35" i="16"/>
  <c r="AD33" i="16"/>
  <c r="AB32" i="16"/>
  <c r="Z31" i="16"/>
  <c r="AD29" i="16"/>
  <c r="AB28" i="16"/>
  <c r="Z27" i="16"/>
  <c r="AD25" i="16"/>
  <c r="AB24" i="16"/>
  <c r="Z23" i="16"/>
  <c r="AD21" i="16"/>
  <c r="AB20" i="16"/>
  <c r="Z19" i="16"/>
  <c r="AD17" i="16"/>
  <c r="AC11" i="16"/>
  <c r="AA10" i="16"/>
  <c r="AC37" i="16"/>
  <c r="AA36" i="16"/>
  <c r="AC33" i="16"/>
  <c r="AA32" i="16"/>
  <c r="AE30" i="16"/>
  <c r="AC29" i="16"/>
  <c r="AA28" i="16"/>
  <c r="AE26" i="16"/>
  <c r="AC25" i="16"/>
  <c r="AA24" i="16"/>
  <c r="AE22" i="16"/>
  <c r="AC21" i="16"/>
  <c r="AA20" i="16"/>
  <c r="AE18" i="16"/>
  <c r="AC17" i="16"/>
  <c r="AE2" i="31"/>
  <c r="AE22" i="31" s="1"/>
  <c r="AD2" i="31"/>
  <c r="AD22" i="31" s="1"/>
  <c r="AC2" i="31"/>
  <c r="AC22" i="31" s="1"/>
  <c r="AB9" i="31"/>
  <c r="AA29" i="31"/>
  <c r="Z2" i="31"/>
  <c r="Z22" i="31" s="1"/>
  <c r="AN29" i="31"/>
  <c r="AN30" i="31"/>
  <c r="AN27" i="31"/>
  <c r="AN26" i="31"/>
  <c r="AN25" i="31"/>
  <c r="AN24" i="31"/>
  <c r="AN23" i="31"/>
  <c r="AN21" i="31"/>
  <c r="AN20" i="31"/>
  <c r="AN19" i="31"/>
  <c r="AN15" i="31"/>
  <c r="AN14" i="31"/>
  <c r="AN12" i="31"/>
  <c r="AN11" i="31"/>
  <c r="AN10" i="31"/>
  <c r="AN9" i="31"/>
  <c r="M5" i="1"/>
  <c r="M3" i="1"/>
  <c r="AM78" i="22"/>
  <c r="AL78" i="22"/>
  <c r="AV31" i="31"/>
  <c r="AS31" i="31"/>
  <c r="AN31" i="31"/>
  <c r="AM31" i="31"/>
  <c r="Y50" i="22" l="1"/>
  <c r="X50" i="22" s="1"/>
  <c r="U50" i="22" s="1"/>
  <c r="Y22" i="31"/>
  <c r="X22" i="31" s="1"/>
  <c r="U22" i="31" s="1"/>
  <c r="Y49" i="23"/>
  <c r="X49" i="23" s="1"/>
  <c r="U49" i="23" s="1"/>
  <c r="Y17" i="26"/>
  <c r="Y28" i="26"/>
  <c r="Z16" i="31"/>
  <c r="Z18" i="31"/>
  <c r="AC16" i="31"/>
  <c r="AC18" i="31"/>
  <c r="AD16" i="31"/>
  <c r="AD18" i="31"/>
  <c r="AE16" i="31"/>
  <c r="AE18" i="31"/>
  <c r="AD17" i="31"/>
  <c r="AD13" i="31"/>
  <c r="AE17" i="31"/>
  <c r="AE13" i="31"/>
  <c r="Z17" i="31"/>
  <c r="Z13" i="31"/>
  <c r="AC17" i="31"/>
  <c r="AC13" i="31"/>
  <c r="AE21" i="31"/>
  <c r="AE28" i="31"/>
  <c r="Y57" i="21"/>
  <c r="X57" i="21" s="1"/>
  <c r="U57" i="21" s="1"/>
  <c r="Y52" i="20"/>
  <c r="X52" i="20" s="1"/>
  <c r="U52" i="20" s="1"/>
  <c r="Y59" i="21"/>
  <c r="X59" i="21" s="1"/>
  <c r="U59" i="21" s="1"/>
  <c r="Y60" i="21"/>
  <c r="X60" i="21" s="1"/>
  <c r="U60" i="21" s="1"/>
  <c r="Y58" i="21"/>
  <c r="X58" i="21" s="1"/>
  <c r="U58" i="21" s="1"/>
  <c r="AD9" i="31"/>
  <c r="AD28" i="31"/>
  <c r="AC9" i="31"/>
  <c r="AC28" i="31"/>
  <c r="Z9" i="31"/>
  <c r="Z28" i="31"/>
  <c r="Y103" i="23"/>
  <c r="U103" i="23" s="1"/>
  <c r="Y84" i="23"/>
  <c r="U84" i="23" s="1"/>
  <c r="Y44" i="24"/>
  <c r="U44" i="24" s="1"/>
  <c r="Y16" i="26"/>
  <c r="U16" i="26" s="1"/>
  <c r="Y53" i="20"/>
  <c r="Y23" i="24"/>
  <c r="U23" i="24" s="1"/>
  <c r="Y32" i="26"/>
  <c r="U32" i="26" s="1"/>
  <c r="Y58" i="27"/>
  <c r="V58" i="27" s="1"/>
  <c r="Y92" i="23"/>
  <c r="U92" i="23" s="1"/>
  <c r="Y123" i="20"/>
  <c r="Y81" i="23"/>
  <c r="Y56" i="21"/>
  <c r="U56" i="21" s="1"/>
  <c r="Y21" i="25"/>
  <c r="U21" i="25" s="1"/>
  <c r="Y55" i="20"/>
  <c r="Y71" i="25"/>
  <c r="U71" i="25" s="1"/>
  <c r="Y31" i="20"/>
  <c r="Y30" i="20"/>
  <c r="Y37" i="25"/>
  <c r="U37" i="25" s="1"/>
  <c r="Y9" i="20"/>
  <c r="U9" i="20" s="1"/>
  <c r="Y32" i="22"/>
  <c r="U32" i="22" s="1"/>
  <c r="Y74" i="25"/>
  <c r="U74" i="25" s="1"/>
  <c r="Y31" i="25"/>
  <c r="U31" i="25" s="1"/>
  <c r="Y14" i="25"/>
  <c r="U14" i="25" s="1"/>
  <c r="Y36" i="22"/>
  <c r="U36" i="22" s="1"/>
  <c r="Y72" i="22"/>
  <c r="Y32" i="25"/>
  <c r="U32" i="25" s="1"/>
  <c r="Y102" i="20"/>
  <c r="U102" i="20" s="1"/>
  <c r="Y24" i="22"/>
  <c r="U24" i="22" s="1"/>
  <c r="Y9" i="21"/>
  <c r="Y46" i="20"/>
  <c r="Y118" i="20"/>
  <c r="Y37" i="27"/>
  <c r="V37" i="27" s="1"/>
  <c r="Y19" i="26"/>
  <c r="U19" i="26" s="1"/>
  <c r="Y58" i="22"/>
  <c r="U58" i="22" s="1"/>
  <c r="Y21" i="23"/>
  <c r="U21" i="23" s="1"/>
  <c r="Y24" i="23"/>
  <c r="U24" i="23" s="1"/>
  <c r="Y68" i="23"/>
  <c r="U68" i="23" s="1"/>
  <c r="Y27" i="26"/>
  <c r="U27" i="26" s="1"/>
  <c r="Y48" i="23"/>
  <c r="Y96" i="20"/>
  <c r="U96" i="20" s="1"/>
  <c r="Y56" i="20"/>
  <c r="Y65" i="23"/>
  <c r="U65" i="23" s="1"/>
  <c r="Y40" i="24"/>
  <c r="Y54" i="20"/>
  <c r="Y33" i="21"/>
  <c r="Y42" i="21"/>
  <c r="U42" i="21" s="1"/>
  <c r="Y34" i="20"/>
  <c r="U34" i="20" s="1"/>
  <c r="Y94" i="20"/>
  <c r="Y38" i="25"/>
  <c r="U38" i="25" s="1"/>
  <c r="Y57" i="22"/>
  <c r="U57" i="22" s="1"/>
  <c r="Y31" i="22"/>
  <c r="U31" i="22" s="1"/>
  <c r="Y37" i="21"/>
  <c r="Y83" i="20"/>
  <c r="Y29" i="21"/>
  <c r="Y105" i="20"/>
  <c r="U105" i="20" s="1"/>
  <c r="Y45" i="25"/>
  <c r="U45" i="25" s="1"/>
  <c r="Y67" i="25"/>
  <c r="U67" i="25" s="1"/>
  <c r="Y49" i="25"/>
  <c r="U49" i="25" s="1"/>
  <c r="Y75" i="22"/>
  <c r="U75" i="22" s="1"/>
  <c r="Y16" i="20"/>
  <c r="Y126" i="20"/>
  <c r="Y98" i="23"/>
  <c r="U98" i="23" s="1"/>
  <c r="Y18" i="25"/>
  <c r="U18" i="25" s="1"/>
  <c r="Y40" i="22"/>
  <c r="U40" i="22" s="1"/>
  <c r="Y128" i="20"/>
  <c r="U128" i="20" s="1"/>
  <c r="Y26" i="24"/>
  <c r="Y72" i="24"/>
  <c r="Y33" i="27"/>
  <c r="V33" i="27" s="1"/>
  <c r="Y17" i="20"/>
  <c r="U17" i="20" s="1"/>
  <c r="Y59" i="20"/>
  <c r="U59" i="20" s="1"/>
  <c r="Y15" i="25"/>
  <c r="U15" i="25" s="1"/>
  <c r="Y85" i="23"/>
  <c r="Y85" i="25"/>
  <c r="U85" i="25" s="1"/>
  <c r="Y34" i="25"/>
  <c r="U34" i="25" s="1"/>
  <c r="Y76" i="23"/>
  <c r="U76" i="23" s="1"/>
  <c r="Y28" i="25"/>
  <c r="U28" i="25" s="1"/>
  <c r="Y80" i="20"/>
  <c r="Y65" i="25"/>
  <c r="U65" i="25" s="1"/>
  <c r="Y34" i="22"/>
  <c r="U34" i="22" s="1"/>
  <c r="Y87" i="20"/>
  <c r="U87" i="20" s="1"/>
  <c r="Y21" i="26"/>
  <c r="U21" i="26" s="1"/>
  <c r="Y37" i="24"/>
  <c r="U37" i="24" s="1"/>
  <c r="Y28" i="23"/>
  <c r="U28" i="23" s="1"/>
  <c r="Y38" i="22"/>
  <c r="U38" i="22" s="1"/>
  <c r="Y17" i="25"/>
  <c r="U17" i="25" s="1"/>
  <c r="Y16" i="24"/>
  <c r="U16" i="24" s="1"/>
  <c r="Y35" i="23"/>
  <c r="Y39" i="21"/>
  <c r="Y47" i="22"/>
  <c r="U47" i="22" s="1"/>
  <c r="Y121" i="20"/>
  <c r="Y48" i="27"/>
  <c r="Y98" i="20"/>
  <c r="Y50" i="20"/>
  <c r="Y86" i="23"/>
  <c r="U86" i="23" s="1"/>
  <c r="Y85" i="20"/>
  <c r="Y70" i="20"/>
  <c r="X70" i="20" s="1"/>
  <c r="U70" i="20" s="1"/>
  <c r="Y92" i="25"/>
  <c r="U92" i="25" s="1"/>
  <c r="Y70" i="24"/>
  <c r="Y56" i="27"/>
  <c r="V56" i="27" s="1"/>
  <c r="Y66" i="22"/>
  <c r="U66" i="22" s="1"/>
  <c r="Y127" i="20"/>
  <c r="U127" i="20" s="1"/>
  <c r="Y32" i="23"/>
  <c r="Y58" i="23"/>
  <c r="U58" i="23" s="1"/>
  <c r="Y42" i="20"/>
  <c r="Y51" i="21"/>
  <c r="Y15" i="22"/>
  <c r="U15" i="22" s="1"/>
  <c r="Y59" i="23"/>
  <c r="Y60" i="20"/>
  <c r="Y67" i="24"/>
  <c r="Y45" i="23"/>
  <c r="U45" i="23" s="1"/>
  <c r="Y54" i="22"/>
  <c r="U54" i="22" s="1"/>
  <c r="Y35" i="24"/>
  <c r="Y48" i="25"/>
  <c r="U48" i="25" s="1"/>
  <c r="Y50" i="23"/>
  <c r="Y27" i="21"/>
  <c r="U27" i="21" s="1"/>
  <c r="Y34" i="21"/>
  <c r="Y27" i="27"/>
  <c r="V27" i="27" s="1"/>
  <c r="Y76" i="20"/>
  <c r="U76" i="20" s="1"/>
  <c r="Y45" i="21"/>
  <c r="Y29" i="20"/>
  <c r="Y132" i="20"/>
  <c r="Y54" i="24"/>
  <c r="X54" i="24" s="1"/>
  <c r="U54" i="24" s="1"/>
  <c r="Y49" i="24"/>
  <c r="Y21" i="20"/>
  <c r="Y39" i="23"/>
  <c r="Y21" i="27"/>
  <c r="V21" i="27" s="1"/>
  <c r="Y10" i="21"/>
  <c r="Y44" i="21"/>
  <c r="U44" i="21" s="1"/>
  <c r="Y20" i="27"/>
  <c r="Y76" i="24"/>
  <c r="Y13" i="24"/>
  <c r="Y47" i="23"/>
  <c r="Y38" i="21"/>
  <c r="U38" i="21" s="1"/>
  <c r="Y24" i="26"/>
  <c r="U24" i="26" s="1"/>
  <c r="Y40" i="26"/>
  <c r="U40" i="26" s="1"/>
  <c r="Y28" i="24"/>
  <c r="Y22" i="20"/>
  <c r="Y40" i="21"/>
  <c r="Y54" i="23"/>
  <c r="Y33" i="26"/>
  <c r="U33" i="26" s="1"/>
  <c r="Y16" i="25"/>
  <c r="U16" i="25" s="1"/>
  <c r="Y9" i="26"/>
  <c r="U9" i="26" s="1"/>
  <c r="Y61" i="24"/>
  <c r="Y28" i="20"/>
  <c r="U28" i="20" s="1"/>
  <c r="Y66" i="25"/>
  <c r="U66" i="25" s="1"/>
  <c r="Y13" i="26"/>
  <c r="U13" i="26" s="1"/>
  <c r="Y52" i="25"/>
  <c r="U52" i="25" s="1"/>
  <c r="Y75" i="20"/>
  <c r="U75" i="20" s="1"/>
  <c r="Y48" i="22"/>
  <c r="U48" i="22" s="1"/>
  <c r="Y53" i="24"/>
  <c r="U53" i="24" s="1"/>
  <c r="Y23" i="23"/>
  <c r="Y39" i="22"/>
  <c r="U39" i="22" s="1"/>
  <c r="Y70" i="25"/>
  <c r="U70" i="25" s="1"/>
  <c r="Y29" i="24"/>
  <c r="Y42" i="22"/>
  <c r="U42" i="22" s="1"/>
  <c r="Y73" i="20"/>
  <c r="U73" i="20" s="1"/>
  <c r="Y36" i="24"/>
  <c r="Y125" i="20"/>
  <c r="U125" i="20" s="1"/>
  <c r="Y24" i="27"/>
  <c r="V24" i="27" s="1"/>
  <c r="Y42" i="27"/>
  <c r="AF20" i="28"/>
  <c r="V20" i="28" s="1"/>
  <c r="Y46" i="23"/>
  <c r="Y48" i="21"/>
  <c r="Y18" i="27"/>
  <c r="V18" i="27" s="1"/>
  <c r="Y130" i="20"/>
  <c r="U130" i="20" s="1"/>
  <c r="Y34" i="23"/>
  <c r="Y32" i="21"/>
  <c r="Y13" i="20"/>
  <c r="Y122" i="20"/>
  <c r="Y38" i="20"/>
  <c r="Y44" i="27"/>
  <c r="Y51" i="25"/>
  <c r="U51" i="25" s="1"/>
  <c r="Y19" i="25"/>
  <c r="U19" i="25" s="1"/>
  <c r="Y73" i="23"/>
  <c r="U73" i="23" s="1"/>
  <c r="Y73" i="22"/>
  <c r="Y129" i="20"/>
  <c r="U129" i="20" s="1"/>
  <c r="Y36" i="26"/>
  <c r="U36" i="26" s="1"/>
  <c r="Y94" i="25"/>
  <c r="U94" i="25" s="1"/>
  <c r="Y59" i="27"/>
  <c r="V59" i="27" s="1"/>
  <c r="Y41" i="21"/>
  <c r="U41" i="21" s="1"/>
  <c r="Y11" i="26"/>
  <c r="U11" i="26" s="1"/>
  <c r="Y12" i="26"/>
  <c r="U12" i="26" s="1"/>
  <c r="Y62" i="22"/>
  <c r="U62" i="22" s="1"/>
  <c r="Y62" i="20"/>
  <c r="U62" i="20" s="1"/>
  <c r="Y59" i="25"/>
  <c r="U59" i="25" s="1"/>
  <c r="Y15" i="27"/>
  <c r="Y66" i="23"/>
  <c r="U66" i="23" s="1"/>
  <c r="Y28" i="22"/>
  <c r="Y17" i="22"/>
  <c r="U17" i="22" s="1"/>
  <c r="Y52" i="22"/>
  <c r="U52" i="22" s="1"/>
  <c r="Y35" i="20"/>
  <c r="Y36" i="27"/>
  <c r="V36" i="27" s="1"/>
  <c r="Y21" i="22"/>
  <c r="U21" i="22" s="1"/>
  <c r="Y26" i="20"/>
  <c r="Y135" i="20"/>
  <c r="U135" i="20" s="1"/>
  <c r="Y77" i="24"/>
  <c r="Y78" i="25"/>
  <c r="U78" i="25" s="1"/>
  <c r="Y47" i="24"/>
  <c r="Y79" i="20"/>
  <c r="Y20" i="20"/>
  <c r="U20" i="20" s="1"/>
  <c r="AF13" i="28"/>
  <c r="V13" i="28" s="1"/>
  <c r="Y70" i="23"/>
  <c r="Y49" i="27"/>
  <c r="Y11" i="27"/>
  <c r="Y31" i="26"/>
  <c r="U31" i="26" s="1"/>
  <c r="Y10" i="25"/>
  <c r="U10" i="25" s="1"/>
  <c r="Y102" i="23"/>
  <c r="U102" i="23" s="1"/>
  <c r="Y55" i="23"/>
  <c r="U55" i="23" s="1"/>
  <c r="Y82" i="20"/>
  <c r="Y53" i="25"/>
  <c r="U53" i="25" s="1"/>
  <c r="Y34" i="24"/>
  <c r="U34" i="24" s="1"/>
  <c r="Y75" i="23"/>
  <c r="U75" i="23" s="1"/>
  <c r="Y27" i="20"/>
  <c r="Y63" i="24"/>
  <c r="Y25" i="24"/>
  <c r="U25" i="24" s="1"/>
  <c r="Y84" i="20"/>
  <c r="Y117" i="20"/>
  <c r="Y24" i="20"/>
  <c r="U24" i="20" s="1"/>
  <c r="Y45" i="27"/>
  <c r="V45" i="27" s="1"/>
  <c r="Y47" i="27"/>
  <c r="Y15" i="26"/>
  <c r="U15" i="26" s="1"/>
  <c r="Y44" i="23"/>
  <c r="Y64" i="21"/>
  <c r="Y93" i="25"/>
  <c r="U93" i="25" s="1"/>
  <c r="Y56" i="25"/>
  <c r="U56" i="25" s="1"/>
  <c r="Y17" i="21"/>
  <c r="U17" i="21" s="1"/>
  <c r="Y63" i="20"/>
  <c r="Y90" i="25"/>
  <c r="U90" i="25" s="1"/>
  <c r="Y66" i="21"/>
  <c r="Y49" i="20"/>
  <c r="U49" i="20" s="1"/>
  <c r="Y76" i="22"/>
  <c r="Y57" i="20"/>
  <c r="Y30" i="24"/>
  <c r="Y114" i="20"/>
  <c r="U114" i="20" s="1"/>
  <c r="Y36" i="23"/>
  <c r="Y29" i="22"/>
  <c r="U29" i="22" s="1"/>
  <c r="AF22" i="28"/>
  <c r="V22" i="28" s="1"/>
  <c r="Y54" i="25"/>
  <c r="U54" i="25" s="1"/>
  <c r="Y10" i="16"/>
  <c r="U10" i="16" s="1"/>
  <c r="Y16" i="16"/>
  <c r="U16" i="16" s="1"/>
  <c r="AF16" i="28"/>
  <c r="V16" i="28" s="1"/>
  <c r="Y68" i="25"/>
  <c r="U68" i="25" s="1"/>
  <c r="Y33" i="22"/>
  <c r="U33" i="22" s="1"/>
  <c r="Y68" i="22"/>
  <c r="U68" i="22" s="1"/>
  <c r="Y93" i="20"/>
  <c r="Y22" i="26"/>
  <c r="U22" i="26" s="1"/>
  <c r="AF18" i="28"/>
  <c r="V18" i="28" s="1"/>
  <c r="Y74" i="24"/>
  <c r="Y68" i="21"/>
  <c r="U68" i="21" s="1"/>
  <c r="Y25" i="27"/>
  <c r="Y50" i="27"/>
  <c r="V50" i="27" s="1"/>
  <c r="Y39" i="27"/>
  <c r="V39" i="27" s="1"/>
  <c r="Y95" i="25"/>
  <c r="U95" i="25" s="1"/>
  <c r="Y9" i="22"/>
  <c r="Y44" i="22"/>
  <c r="U44" i="22" s="1"/>
  <c r="Y61" i="20"/>
  <c r="U61" i="20" s="1"/>
  <c r="Y100" i="20"/>
  <c r="U100" i="20" s="1"/>
  <c r="Y75" i="24"/>
  <c r="Y103" i="20"/>
  <c r="U103" i="20" s="1"/>
  <c r="Y88" i="25"/>
  <c r="U88" i="25" s="1"/>
  <c r="Y33" i="25"/>
  <c r="U33" i="25" s="1"/>
  <c r="Y22" i="22"/>
  <c r="U22" i="22" s="1"/>
  <c r="Y39" i="20"/>
  <c r="Y86" i="20"/>
  <c r="U86" i="20" s="1"/>
  <c r="Y69" i="22"/>
  <c r="Y36" i="25"/>
  <c r="U36" i="25" s="1"/>
  <c r="Y51" i="22"/>
  <c r="Y22" i="27"/>
  <c r="Y33" i="24"/>
  <c r="U33" i="24" s="1"/>
  <c r="Y62" i="24"/>
  <c r="U62" i="24" s="1"/>
  <c r="Y44" i="25"/>
  <c r="U44" i="25" s="1"/>
  <c r="Y97" i="20"/>
  <c r="U97" i="20" s="1"/>
  <c r="Y26" i="27"/>
  <c r="V26" i="27" s="1"/>
  <c r="Y81" i="25"/>
  <c r="U81" i="25" s="1"/>
  <c r="Y30" i="25"/>
  <c r="U30" i="25" s="1"/>
  <c r="Y72" i="23"/>
  <c r="U72" i="23" s="1"/>
  <c r="Y15" i="20"/>
  <c r="Y21" i="21"/>
  <c r="U21" i="21" s="1"/>
  <c r="Y107" i="20"/>
  <c r="U107" i="20" s="1"/>
  <c r="Y76" i="25"/>
  <c r="U76" i="25" s="1"/>
  <c r="Y41" i="24"/>
  <c r="Y26" i="22"/>
  <c r="U26" i="22" s="1"/>
  <c r="Y43" i="20"/>
  <c r="Y95" i="20"/>
  <c r="Y59" i="24"/>
  <c r="Y87" i="25"/>
  <c r="U87" i="25" s="1"/>
  <c r="Y22" i="25"/>
  <c r="U22" i="25" s="1"/>
  <c r="Y55" i="22"/>
  <c r="U55" i="22" s="1"/>
  <c r="Y106" i="20"/>
  <c r="Y99" i="23"/>
  <c r="U99" i="23" s="1"/>
  <c r="Y64" i="25"/>
  <c r="U64" i="25" s="1"/>
  <c r="Y50" i="21"/>
  <c r="Y71" i="24"/>
  <c r="Y17" i="23"/>
  <c r="Y82" i="25"/>
  <c r="U82" i="25" s="1"/>
  <c r="Y66" i="24"/>
  <c r="Y78" i="22"/>
  <c r="Y101" i="20"/>
  <c r="U101" i="20" s="1"/>
  <c r="Y38" i="26"/>
  <c r="Y93" i="23"/>
  <c r="Y47" i="21"/>
  <c r="Y52" i="27"/>
  <c r="Y31" i="24"/>
  <c r="Y16" i="23"/>
  <c r="Y18" i="22"/>
  <c r="U18" i="22" s="1"/>
  <c r="Y19" i="20"/>
  <c r="Y22" i="24"/>
  <c r="U22" i="24" s="1"/>
  <c r="Y115" i="20"/>
  <c r="U115" i="20" s="1"/>
  <c r="Y62" i="25"/>
  <c r="U62" i="25" s="1"/>
  <c r="Y45" i="24"/>
  <c r="Y25" i="21"/>
  <c r="U25" i="21" s="1"/>
  <c r="Y65" i="22"/>
  <c r="U65" i="22" s="1"/>
  <c r="Y47" i="20"/>
  <c r="Y111" i="20"/>
  <c r="U111" i="20" s="1"/>
  <c r="Y104" i="23"/>
  <c r="Y10" i="23"/>
  <c r="Y25" i="22"/>
  <c r="U25" i="22" s="1"/>
  <c r="Y110" i="20"/>
  <c r="Y12" i="27"/>
  <c r="V12" i="27" s="1"/>
  <c r="Y20" i="16"/>
  <c r="U20" i="16" s="1"/>
  <c r="Y9" i="25"/>
  <c r="U9" i="25" s="1"/>
  <c r="Y49" i="21"/>
  <c r="U49" i="21" s="1"/>
  <c r="Y24" i="24"/>
  <c r="U24" i="24" s="1"/>
  <c r="Y42" i="25"/>
  <c r="U42" i="25" s="1"/>
  <c r="Y15" i="24"/>
  <c r="Y16" i="21"/>
  <c r="U16" i="21" s="1"/>
  <c r="Y33" i="20"/>
  <c r="U33" i="20" s="1"/>
  <c r="Y73" i="25"/>
  <c r="U73" i="25" s="1"/>
  <c r="Y57" i="27"/>
  <c r="Y38" i="27"/>
  <c r="Y77" i="25"/>
  <c r="U77" i="25" s="1"/>
  <c r="Y20" i="23"/>
  <c r="Y77" i="20"/>
  <c r="U77" i="20" s="1"/>
  <c r="Y13" i="25"/>
  <c r="U13" i="25" s="1"/>
  <c r="Y83" i="23"/>
  <c r="Y71" i="22"/>
  <c r="U71" i="22" s="1"/>
  <c r="Y51" i="20"/>
  <c r="U51" i="20" s="1"/>
  <c r="Y82" i="23"/>
  <c r="Y24" i="21"/>
  <c r="Y74" i="22"/>
  <c r="Y28" i="16"/>
  <c r="Y39" i="24"/>
  <c r="Y65" i="20"/>
  <c r="U65" i="20" s="1"/>
  <c r="AF12" i="28"/>
  <c r="V12" i="28" s="1"/>
  <c r="Y11" i="24"/>
  <c r="Y57" i="24"/>
  <c r="U57" i="24" s="1"/>
  <c r="Y39" i="16"/>
  <c r="Y35" i="26"/>
  <c r="U35" i="26" s="1"/>
  <c r="Y86" i="25"/>
  <c r="U86" i="25" s="1"/>
  <c r="Y63" i="23"/>
  <c r="U63" i="23" s="1"/>
  <c r="Y67" i="20"/>
  <c r="U67" i="20" s="1"/>
  <c r="Y12" i="20"/>
  <c r="AF21" i="28"/>
  <c r="V21" i="28" s="1"/>
  <c r="AF19" i="28"/>
  <c r="V19" i="28" s="1"/>
  <c r="Y19" i="21"/>
  <c r="U19" i="21" s="1"/>
  <c r="Y29" i="27"/>
  <c r="Y9" i="27"/>
  <c r="V9" i="27" s="1"/>
  <c r="Y42" i="24"/>
  <c r="Y14" i="24"/>
  <c r="Y62" i="23"/>
  <c r="Y22" i="21"/>
  <c r="U22" i="21" s="1"/>
  <c r="Y23" i="22"/>
  <c r="U23" i="22" s="1"/>
  <c r="Y25" i="26"/>
  <c r="U25" i="26" s="1"/>
  <c r="Y19" i="23"/>
  <c r="Y17" i="27"/>
  <c r="Y96" i="23"/>
  <c r="Y100" i="23"/>
  <c r="Y37" i="23"/>
  <c r="Y90" i="20"/>
  <c r="Y60" i="22"/>
  <c r="U60" i="22" s="1"/>
  <c r="Y133" i="20"/>
  <c r="Y23" i="27"/>
  <c r="Y23" i="25"/>
  <c r="U23" i="25" s="1"/>
  <c r="Y22" i="16"/>
  <c r="Y43" i="24"/>
  <c r="Y19" i="24"/>
  <c r="U19" i="24" s="1"/>
  <c r="Y41" i="23"/>
  <c r="Y49" i="22"/>
  <c r="U49" i="22" s="1"/>
  <c r="Y109" i="20"/>
  <c r="AF17" i="28"/>
  <c r="V17" i="28" s="1"/>
  <c r="Y13" i="27"/>
  <c r="V13" i="27" s="1"/>
  <c r="Y26" i="26"/>
  <c r="U26" i="26" s="1"/>
  <c r="Y24" i="25"/>
  <c r="U24" i="25" s="1"/>
  <c r="Y18" i="24"/>
  <c r="Y61" i="22"/>
  <c r="U61" i="22" s="1"/>
  <c r="Y116" i="20"/>
  <c r="U116" i="20" s="1"/>
  <c r="Y30" i="26"/>
  <c r="U30" i="26" s="1"/>
  <c r="Y71" i="23"/>
  <c r="Y48" i="24"/>
  <c r="Y37" i="22"/>
  <c r="U37" i="22" s="1"/>
  <c r="Y30" i="27"/>
  <c r="Y77" i="23"/>
  <c r="AF10" i="28"/>
  <c r="V10" i="28" s="1"/>
  <c r="Y16" i="22"/>
  <c r="U16" i="22" s="1"/>
  <c r="Y35" i="25"/>
  <c r="U35" i="25" s="1"/>
  <c r="Y19" i="22"/>
  <c r="U19" i="22" s="1"/>
  <c r="Y113" i="20"/>
  <c r="U113" i="20" s="1"/>
  <c r="AF11" i="28"/>
  <c r="V11" i="28" s="1"/>
  <c r="Y30" i="21"/>
  <c r="Y120" i="20"/>
  <c r="U120" i="20" s="1"/>
  <c r="Y10" i="20"/>
  <c r="Y60" i="24"/>
  <c r="Y27" i="23"/>
  <c r="Y14" i="21"/>
  <c r="Y43" i="22"/>
  <c r="U43" i="22" s="1"/>
  <c r="Y64" i="20"/>
  <c r="Y80" i="25"/>
  <c r="U80" i="25" s="1"/>
  <c r="Y12" i="25"/>
  <c r="U12" i="25" s="1"/>
  <c r="Y14" i="23"/>
  <c r="Y25" i="25"/>
  <c r="U25" i="25" s="1"/>
  <c r="Y51" i="24"/>
  <c r="AF9" i="28"/>
  <c r="V9" i="28" s="1"/>
  <c r="Y89" i="23"/>
  <c r="U89" i="23" s="1"/>
  <c r="Y11" i="21"/>
  <c r="Y92" i="20"/>
  <c r="Y46" i="25"/>
  <c r="U46" i="25" s="1"/>
  <c r="Y14" i="20"/>
  <c r="Y57" i="25"/>
  <c r="U57" i="25" s="1"/>
  <c r="Y64" i="24"/>
  <c r="Y12" i="22"/>
  <c r="U12" i="22" s="1"/>
  <c r="Y71" i="20"/>
  <c r="U71" i="20" s="1"/>
  <c r="Y18" i="23"/>
  <c r="U18" i="23" s="1"/>
  <c r="Y69" i="24"/>
  <c r="Y83" i="25"/>
  <c r="U83" i="25" s="1"/>
  <c r="Y50" i="25"/>
  <c r="U50" i="25" s="1"/>
  <c r="Y65" i="21"/>
  <c r="Y26" i="16"/>
  <c r="Y11" i="25"/>
  <c r="U11" i="25" s="1"/>
  <c r="Y55" i="24"/>
  <c r="U55" i="24" s="1"/>
  <c r="Y88" i="20"/>
  <c r="Y41" i="27"/>
  <c r="Y10" i="27"/>
  <c r="Y43" i="27"/>
  <c r="Y91" i="25"/>
  <c r="U91" i="25" s="1"/>
  <c r="Y80" i="23"/>
  <c r="Y15" i="21"/>
  <c r="U15" i="21" s="1"/>
  <c r="Y29" i="25"/>
  <c r="U29" i="25" s="1"/>
  <c r="Y68" i="24"/>
  <c r="Y64" i="23"/>
  <c r="Y22" i="23"/>
  <c r="Y13" i="21"/>
  <c r="Y35" i="16"/>
  <c r="Y13" i="23"/>
  <c r="Y23" i="21"/>
  <c r="Y48" i="20"/>
  <c r="Y131" i="20"/>
  <c r="U131" i="20" s="1"/>
  <c r="Y18" i="20"/>
  <c r="Y57" i="23"/>
  <c r="Y64" i="22"/>
  <c r="Y124" i="20"/>
  <c r="U124" i="20" s="1"/>
  <c r="Y14" i="26"/>
  <c r="U14" i="26" s="1"/>
  <c r="Y61" i="25"/>
  <c r="U61" i="25" s="1"/>
  <c r="Y52" i="24"/>
  <c r="U52" i="24" s="1"/>
  <c r="Y30" i="22"/>
  <c r="U30" i="22" s="1"/>
  <c r="Y10" i="22"/>
  <c r="U10" i="22" s="1"/>
  <c r="Y55" i="25"/>
  <c r="U55" i="25" s="1"/>
  <c r="Y12" i="21"/>
  <c r="Y30" i="23"/>
  <c r="Y55" i="21"/>
  <c r="U55" i="21" s="1"/>
  <c r="Y96" i="25"/>
  <c r="U96" i="25" s="1"/>
  <c r="Y21" i="16"/>
  <c r="U21" i="16" s="1"/>
  <c r="Y25" i="23"/>
  <c r="Y45" i="22"/>
  <c r="U45" i="22" s="1"/>
  <c r="Y88" i="23"/>
  <c r="Y99" i="20"/>
  <c r="U99" i="20" s="1"/>
  <c r="Y84" i="25"/>
  <c r="U84" i="25" s="1"/>
  <c r="Y33" i="16"/>
  <c r="Y23" i="26"/>
  <c r="U23" i="26" s="1"/>
  <c r="Y37" i="20"/>
  <c r="U37" i="20" s="1"/>
  <c r="AF15" i="28"/>
  <c r="V15" i="28" s="1"/>
  <c r="Y79" i="23"/>
  <c r="Y27" i="24"/>
  <c r="Y12" i="23"/>
  <c r="Y104" i="20"/>
  <c r="U104" i="20" s="1"/>
  <c r="Y53" i="23"/>
  <c r="U53" i="23" s="1"/>
  <c r="Y36" i="20"/>
  <c r="Y108" i="20"/>
  <c r="Y17" i="24"/>
  <c r="Y11" i="23"/>
  <c r="Y97" i="25"/>
  <c r="U97" i="25" s="1"/>
  <c r="Y11" i="22"/>
  <c r="U11" i="22" s="1"/>
  <c r="Y46" i="22"/>
  <c r="U46" i="22" s="1"/>
  <c r="Y38" i="16"/>
  <c r="U38" i="16" s="1"/>
  <c r="Y24" i="16"/>
  <c r="Y90" i="23"/>
  <c r="Y45" i="20"/>
  <c r="Y40" i="25"/>
  <c r="U40" i="25" s="1"/>
  <c r="Y14" i="27"/>
  <c r="Y40" i="20"/>
  <c r="U40" i="20" s="1"/>
  <c r="Y55" i="27"/>
  <c r="Y36" i="16"/>
  <c r="Y101" i="23"/>
  <c r="Y15" i="23"/>
  <c r="Y42" i="23"/>
  <c r="Y26" i="23"/>
  <c r="Y31" i="16"/>
  <c r="Y34" i="16"/>
  <c r="Y41" i="25"/>
  <c r="U41" i="25" s="1"/>
  <c r="Y12" i="24"/>
  <c r="Y41" i="20"/>
  <c r="U41" i="20" s="1"/>
  <c r="Y40" i="27"/>
  <c r="Y94" i="23"/>
  <c r="Y35" i="22"/>
  <c r="U35" i="22" s="1"/>
  <c r="Y25" i="16"/>
  <c r="Y60" i="25"/>
  <c r="U60" i="25" s="1"/>
  <c r="Y11" i="20"/>
  <c r="U11" i="20" s="1"/>
  <c r="Y65" i="24"/>
  <c r="Y43" i="21"/>
  <c r="U43" i="21" s="1"/>
  <c r="Y14" i="22"/>
  <c r="U14" i="22" s="1"/>
  <c r="Y32" i="20"/>
  <c r="Y32" i="27"/>
  <c r="Y61" i="23"/>
  <c r="U61" i="23" s="1"/>
  <c r="Y9" i="24"/>
  <c r="Y20" i="24"/>
  <c r="U20" i="24" s="1"/>
  <c r="Y51" i="23"/>
  <c r="Y34" i="27"/>
  <c r="V34" i="27" s="1"/>
  <c r="Y54" i="27"/>
  <c r="V54" i="27" s="1"/>
  <c r="Y112" i="20"/>
  <c r="U112" i="20" s="1"/>
  <c r="Y23" i="20"/>
  <c r="Y91" i="20"/>
  <c r="U91" i="20" s="1"/>
  <c r="Y75" i="25"/>
  <c r="U75" i="25" s="1"/>
  <c r="Y26" i="25"/>
  <c r="U26" i="25" s="1"/>
  <c r="Y35" i="21"/>
  <c r="U35" i="21" s="1"/>
  <c r="Y53" i="22"/>
  <c r="U53" i="22" s="1"/>
  <c r="Y72" i="20"/>
  <c r="Y29" i="16"/>
  <c r="Y58" i="20"/>
  <c r="AF14" i="28"/>
  <c r="V14" i="28" s="1"/>
  <c r="Y63" i="21"/>
  <c r="Y46" i="27"/>
  <c r="V46" i="27" s="1"/>
  <c r="Y35" i="27"/>
  <c r="Y63" i="25"/>
  <c r="U63" i="25" s="1"/>
  <c r="Y46" i="24"/>
  <c r="Y26" i="21"/>
  <c r="Y44" i="20"/>
  <c r="Y9" i="23"/>
  <c r="Y43" i="23"/>
  <c r="U43" i="23" s="1"/>
  <c r="Y29" i="26"/>
  <c r="Y23" i="16"/>
  <c r="U23" i="16" s="1"/>
  <c r="Y30" i="16"/>
  <c r="Y27" i="16"/>
  <c r="Y41" i="22"/>
  <c r="U41" i="22" s="1"/>
  <c r="Y119" i="20"/>
  <c r="U119" i="20" s="1"/>
  <c r="Y50" i="24"/>
  <c r="U50" i="24" s="1"/>
  <c r="Y40" i="23"/>
  <c r="Y53" i="21"/>
  <c r="U53" i="21" s="1"/>
  <c r="Y59" i="22"/>
  <c r="U59" i="22" s="1"/>
  <c r="Y56" i="22"/>
  <c r="U56" i="22" s="1"/>
  <c r="Y74" i="23"/>
  <c r="Y28" i="21"/>
  <c r="U28" i="21" s="1"/>
  <c r="Y18" i="16"/>
  <c r="U18" i="16" s="1"/>
  <c r="Y13" i="16"/>
  <c r="U13" i="16" s="1"/>
  <c r="Y11" i="16"/>
  <c r="U11" i="16" s="1"/>
  <c r="Y14" i="16"/>
  <c r="U14" i="16" s="1"/>
  <c r="Y9" i="16"/>
  <c r="U9" i="16" s="1"/>
  <c r="AE11" i="31"/>
  <c r="AE27" i="31"/>
  <c r="AE20" i="31"/>
  <c r="AE10" i="31"/>
  <c r="AE26" i="31"/>
  <c r="AB20" i="31"/>
  <c r="AE32" i="31"/>
  <c r="AE25" i="31"/>
  <c r="Z20" i="31"/>
  <c r="Z14" i="31"/>
  <c r="AE31" i="31"/>
  <c r="Z25" i="31"/>
  <c r="AE19" i="31"/>
  <c r="Z10" i="31"/>
  <c r="AB31" i="31"/>
  <c r="AE24" i="31"/>
  <c r="AB19" i="31"/>
  <c r="AE9" i="31"/>
  <c r="Z31" i="31"/>
  <c r="AD24" i="31"/>
  <c r="AE15" i="31"/>
  <c r="AE14" i="31"/>
  <c r="AE30" i="31"/>
  <c r="AE23" i="31"/>
  <c r="AB15" i="31"/>
  <c r="AE12" i="31"/>
  <c r="AE29" i="31"/>
  <c r="AD31" i="31"/>
  <c r="AD27" i="31"/>
  <c r="AD23" i="31"/>
  <c r="AD19" i="31"/>
  <c r="AD14" i="31"/>
  <c r="AD26" i="31"/>
  <c r="AD21" i="31"/>
  <c r="AD12" i="31"/>
  <c r="AD30" i="31"/>
  <c r="AD25" i="31"/>
  <c r="AD15" i="31"/>
  <c r="AD11" i="31"/>
  <c r="AD20" i="31"/>
  <c r="AD10" i="31"/>
  <c r="AD32" i="31"/>
  <c r="AD29" i="31"/>
  <c r="AC11" i="31"/>
  <c r="AC27" i="31"/>
  <c r="AC21" i="31"/>
  <c r="AC19" i="31"/>
  <c r="AC10" i="31"/>
  <c r="AC14" i="31"/>
  <c r="AC32" i="31"/>
  <c r="AC30" i="31"/>
  <c r="AC24" i="31"/>
  <c r="AC26" i="31"/>
  <c r="AC20" i="31"/>
  <c r="AC15" i="31"/>
  <c r="AC12" i="31"/>
  <c r="AC31" i="31"/>
  <c r="AC29" i="31"/>
  <c r="AC23" i="31"/>
  <c r="AC25" i="31"/>
  <c r="AB23" i="31"/>
  <c r="AB11" i="31"/>
  <c r="AB14" i="31"/>
  <c r="AB29" i="31"/>
  <c r="AB26" i="31"/>
  <c r="AB10" i="31"/>
  <c r="AB24" i="31"/>
  <c r="AB21" i="31"/>
  <c r="AB12" i="31"/>
  <c r="AB32" i="31"/>
  <c r="AB30" i="31"/>
  <c r="AB27" i="31"/>
  <c r="AB25" i="31"/>
  <c r="AA11" i="31"/>
  <c r="AA26" i="31"/>
  <c r="AA23" i="31"/>
  <c r="AA19" i="31"/>
  <c r="AA9" i="31"/>
  <c r="AA20" i="31"/>
  <c r="AA12" i="31"/>
  <c r="AA10" i="31"/>
  <c r="AA31" i="31"/>
  <c r="AA27" i="31"/>
  <c r="AA30" i="31"/>
  <c r="AA24" i="31"/>
  <c r="AA25" i="31"/>
  <c r="AA21" i="31"/>
  <c r="AA15" i="31"/>
  <c r="AA14" i="31"/>
  <c r="AA32" i="31"/>
  <c r="Z30" i="31"/>
  <c r="Z26" i="31"/>
  <c r="Z21" i="31"/>
  <c r="Z11" i="31"/>
  <c r="Z32" i="31"/>
  <c r="Z27" i="31"/>
  <c r="Z23" i="31"/>
  <c r="Z15" i="31"/>
  <c r="Z29" i="31"/>
  <c r="Z12" i="31"/>
  <c r="Z24" i="31"/>
  <c r="Z19" i="31"/>
  <c r="O3" i="1"/>
  <c r="O2" i="1"/>
  <c r="M8" i="1"/>
  <c r="X50" i="23" l="1"/>
  <c r="U50" i="23"/>
  <c r="I3" i="28"/>
  <c r="I2" i="28"/>
  <c r="I3" i="25"/>
  <c r="I2" i="25"/>
  <c r="X26" i="21"/>
  <c r="U26" i="21"/>
  <c r="X94" i="23"/>
  <c r="U94" i="23"/>
  <c r="X63" i="24"/>
  <c r="U63" i="24"/>
  <c r="X32" i="23"/>
  <c r="U32" i="23"/>
  <c r="X46" i="20"/>
  <c r="U46" i="20"/>
  <c r="X90" i="23"/>
  <c r="U90" i="23"/>
  <c r="X48" i="20"/>
  <c r="U48" i="20"/>
  <c r="X48" i="24"/>
  <c r="U48" i="24"/>
  <c r="X17" i="27"/>
  <c r="V17" i="27"/>
  <c r="X71" i="24"/>
  <c r="U71" i="24"/>
  <c r="X15" i="20"/>
  <c r="U15" i="20"/>
  <c r="X101" i="23"/>
  <c r="U101" i="23"/>
  <c r="X23" i="21"/>
  <c r="U23" i="21"/>
  <c r="X14" i="21"/>
  <c r="U14" i="21"/>
  <c r="X71" i="23"/>
  <c r="U71" i="23"/>
  <c r="X23" i="27"/>
  <c r="V23" i="27"/>
  <c r="X19" i="23"/>
  <c r="U19" i="23"/>
  <c r="X29" i="27"/>
  <c r="V29" i="27"/>
  <c r="X74" i="22"/>
  <c r="U74" i="22"/>
  <c r="X20" i="23"/>
  <c r="U20" i="23"/>
  <c r="X10" i="23"/>
  <c r="U10" i="23"/>
  <c r="X93" i="23"/>
  <c r="U93" i="23"/>
  <c r="X50" i="21"/>
  <c r="U50" i="21"/>
  <c r="X95" i="20"/>
  <c r="U95" i="20"/>
  <c r="X22" i="27"/>
  <c r="V22" i="27"/>
  <c r="X47" i="27"/>
  <c r="V47" i="27"/>
  <c r="X11" i="27"/>
  <c r="V11" i="27"/>
  <c r="X77" i="24"/>
  <c r="U77" i="24"/>
  <c r="X28" i="22"/>
  <c r="U28" i="22"/>
  <c r="X47" i="23"/>
  <c r="U47" i="23"/>
  <c r="X21" i="20"/>
  <c r="U21" i="20"/>
  <c r="X34" i="21"/>
  <c r="U34" i="21"/>
  <c r="X60" i="20"/>
  <c r="U60" i="20"/>
  <c r="X98" i="20"/>
  <c r="U98" i="20"/>
  <c r="X16" i="20"/>
  <c r="U16" i="20"/>
  <c r="X37" i="21"/>
  <c r="U37" i="21"/>
  <c r="X54" i="20"/>
  <c r="U54" i="20"/>
  <c r="X35" i="27"/>
  <c r="V35" i="27"/>
  <c r="X51" i="23"/>
  <c r="U51" i="23" s="1"/>
  <c r="X65" i="24"/>
  <c r="U65" i="24"/>
  <c r="X12" i="24"/>
  <c r="U12" i="24"/>
  <c r="X36" i="16"/>
  <c r="U36" i="16"/>
  <c r="X33" i="16"/>
  <c r="U33" i="16"/>
  <c r="X13" i="23"/>
  <c r="U13" i="23"/>
  <c r="X80" i="23"/>
  <c r="U80" i="23"/>
  <c r="X26" i="16"/>
  <c r="U26" i="16"/>
  <c r="X64" i="24"/>
  <c r="U64" i="24"/>
  <c r="X51" i="24"/>
  <c r="U51" i="24"/>
  <c r="X27" i="23"/>
  <c r="U27" i="23"/>
  <c r="X109" i="20"/>
  <c r="U109" i="20"/>
  <c r="X133" i="20"/>
  <c r="U133" i="20"/>
  <c r="X39" i="16"/>
  <c r="U39" i="16"/>
  <c r="X24" i="21"/>
  <c r="U24" i="21"/>
  <c r="X104" i="23"/>
  <c r="U104" i="23"/>
  <c r="X43" i="20"/>
  <c r="U43" i="20"/>
  <c r="X36" i="23"/>
  <c r="U36" i="23"/>
  <c r="X63" i="20"/>
  <c r="U63" i="20"/>
  <c r="X49" i="27"/>
  <c r="V49" i="27"/>
  <c r="X44" i="27"/>
  <c r="V44" i="27"/>
  <c r="X48" i="21"/>
  <c r="U48" i="21"/>
  <c r="X54" i="23"/>
  <c r="U54" i="23"/>
  <c r="X13" i="24"/>
  <c r="U13" i="24"/>
  <c r="X49" i="24"/>
  <c r="U49" i="24"/>
  <c r="X59" i="23"/>
  <c r="U59" i="23"/>
  <c r="X48" i="27"/>
  <c r="V48" i="27"/>
  <c r="X72" i="24"/>
  <c r="U72" i="24"/>
  <c r="X40" i="24"/>
  <c r="U40" i="24"/>
  <c r="X81" i="23"/>
  <c r="U81" i="23"/>
  <c r="X96" i="23"/>
  <c r="U96" i="23"/>
  <c r="X93" i="20"/>
  <c r="U93" i="20"/>
  <c r="X27" i="20"/>
  <c r="U27" i="20"/>
  <c r="X53" i="20"/>
  <c r="U53" i="20"/>
  <c r="X32" i="20"/>
  <c r="U32" i="20"/>
  <c r="X45" i="20"/>
  <c r="U45" i="20"/>
  <c r="X25" i="23"/>
  <c r="U25" i="23"/>
  <c r="X68" i="24"/>
  <c r="U68" i="24"/>
  <c r="X88" i="20"/>
  <c r="U88" i="20"/>
  <c r="X64" i="20"/>
  <c r="U64" i="20"/>
  <c r="X47" i="24"/>
  <c r="U47" i="24"/>
  <c r="X72" i="20"/>
  <c r="U72" i="20"/>
  <c r="X47" i="21"/>
  <c r="U47" i="21"/>
  <c r="X59" i="24"/>
  <c r="U59" i="24"/>
  <c r="X39" i="23"/>
  <c r="U39" i="23"/>
  <c r="X67" i="24"/>
  <c r="U67" i="24"/>
  <c r="X50" i="20"/>
  <c r="U50" i="20"/>
  <c r="X83" i="20"/>
  <c r="U83" i="20"/>
  <c r="X33" i="21"/>
  <c r="U33" i="21"/>
  <c r="X9" i="21"/>
  <c r="U9" i="21"/>
  <c r="X30" i="16"/>
  <c r="U30" i="16"/>
  <c r="X24" i="16"/>
  <c r="U24" i="16"/>
  <c r="X30" i="23"/>
  <c r="U30" i="23"/>
  <c r="X35" i="16"/>
  <c r="U35" i="16"/>
  <c r="X60" i="24"/>
  <c r="U60" i="24"/>
  <c r="X82" i="23"/>
  <c r="U82" i="23"/>
  <c r="X19" i="20"/>
  <c r="U19" i="20"/>
  <c r="X75" i="24"/>
  <c r="U75" i="24"/>
  <c r="X25" i="27"/>
  <c r="V25" i="27"/>
  <c r="X70" i="23"/>
  <c r="U70" i="23"/>
  <c r="X76" i="24"/>
  <c r="U76" i="24"/>
  <c r="X26" i="24"/>
  <c r="U26" i="24"/>
  <c r="X123" i="20"/>
  <c r="U123" i="20"/>
  <c r="X63" i="21"/>
  <c r="U63" i="21"/>
  <c r="X34" i="16"/>
  <c r="U34" i="16"/>
  <c r="X13" i="21"/>
  <c r="U13" i="21"/>
  <c r="X90" i="20"/>
  <c r="U90" i="20"/>
  <c r="X57" i="27"/>
  <c r="V57" i="27"/>
  <c r="X47" i="20"/>
  <c r="U47" i="20"/>
  <c r="X69" i="22"/>
  <c r="U69" i="22"/>
  <c r="X20" i="27"/>
  <c r="V20" i="27"/>
  <c r="X56" i="20"/>
  <c r="U56" i="20"/>
  <c r="X72" i="22"/>
  <c r="U72" i="22"/>
  <c r="X30" i="20"/>
  <c r="U30" i="20"/>
  <c r="X42" i="23"/>
  <c r="U42" i="23"/>
  <c r="X17" i="24"/>
  <c r="U17" i="24"/>
  <c r="X11" i="21"/>
  <c r="U11" i="21"/>
  <c r="X45" i="24"/>
  <c r="U45" i="24"/>
  <c r="X17" i="23"/>
  <c r="U17" i="23"/>
  <c r="X29" i="21"/>
  <c r="U29" i="21"/>
  <c r="X55" i="20"/>
  <c r="U55" i="20"/>
  <c r="X74" i="23"/>
  <c r="U74" i="23"/>
  <c r="X27" i="16"/>
  <c r="U27" i="16"/>
  <c r="X46" i="24"/>
  <c r="U46" i="24"/>
  <c r="X40" i="27"/>
  <c r="V40" i="27"/>
  <c r="X15" i="23"/>
  <c r="U15" i="23"/>
  <c r="X108" i="20"/>
  <c r="U108" i="20"/>
  <c r="X66" i="21"/>
  <c r="U66" i="21"/>
  <c r="X55" i="27"/>
  <c r="V55" i="27"/>
  <c r="X65" i="21"/>
  <c r="U65" i="21"/>
  <c r="X38" i="20"/>
  <c r="U38" i="20"/>
  <c r="X40" i="21"/>
  <c r="U40" i="21"/>
  <c r="X70" i="24"/>
  <c r="U70" i="24"/>
  <c r="X121" i="20"/>
  <c r="U121" i="20"/>
  <c r="X40" i="23"/>
  <c r="U40" i="23"/>
  <c r="X11" i="24"/>
  <c r="U11" i="24"/>
  <c r="X30" i="24"/>
  <c r="U30" i="24"/>
  <c r="X117" i="20"/>
  <c r="U117" i="20"/>
  <c r="X9" i="23"/>
  <c r="U9" i="23"/>
  <c r="X25" i="16"/>
  <c r="U25" i="16"/>
  <c r="X31" i="16"/>
  <c r="U31" i="16"/>
  <c r="X14" i="27"/>
  <c r="V14" i="27"/>
  <c r="X27" i="24"/>
  <c r="U27" i="24"/>
  <c r="X88" i="23"/>
  <c r="U88" i="23"/>
  <c r="X57" i="23"/>
  <c r="U57" i="23"/>
  <c r="X22" i="23"/>
  <c r="U22" i="23"/>
  <c r="X10" i="27"/>
  <c r="V10" i="27"/>
  <c r="X77" i="23"/>
  <c r="U77" i="23"/>
  <c r="X18" i="24"/>
  <c r="U18" i="24"/>
  <c r="X37" i="23"/>
  <c r="U37" i="23"/>
  <c r="X62" i="23"/>
  <c r="U62" i="23"/>
  <c r="X12" i="20"/>
  <c r="U12" i="20"/>
  <c r="X16" i="23"/>
  <c r="U16" i="23"/>
  <c r="X66" i="24"/>
  <c r="U66" i="24"/>
  <c r="X74" i="24"/>
  <c r="U74" i="24"/>
  <c r="X57" i="20"/>
  <c r="U57" i="20"/>
  <c r="X84" i="20"/>
  <c r="U84" i="20"/>
  <c r="X13" i="20"/>
  <c r="U13" i="20"/>
  <c r="X42" i="27"/>
  <c r="V42" i="27"/>
  <c r="X28" i="24"/>
  <c r="U28" i="24"/>
  <c r="X29" i="20"/>
  <c r="U29" i="20"/>
  <c r="X35" i="24"/>
  <c r="U35" i="24"/>
  <c r="X42" i="20"/>
  <c r="U42" i="20"/>
  <c r="X39" i="21"/>
  <c r="U39" i="21"/>
  <c r="X85" i="23"/>
  <c r="U85" i="23"/>
  <c r="X94" i="20"/>
  <c r="U94" i="20"/>
  <c r="X31" i="20"/>
  <c r="U31" i="20"/>
  <c r="X29" i="16"/>
  <c r="U29" i="16"/>
  <c r="X22" i="16"/>
  <c r="U22" i="16"/>
  <c r="I3" i="16" s="1"/>
  <c r="X42" i="24"/>
  <c r="U42" i="24"/>
  <c r="X39" i="24"/>
  <c r="U39" i="24"/>
  <c r="X110" i="20"/>
  <c r="U110" i="20"/>
  <c r="X52" i="27"/>
  <c r="V52" i="27"/>
  <c r="X44" i="23"/>
  <c r="U44" i="23"/>
  <c r="X34" i="23"/>
  <c r="U34" i="23"/>
  <c r="X28" i="16"/>
  <c r="U28" i="16"/>
  <c r="X15" i="24"/>
  <c r="U15" i="24"/>
  <c r="X36" i="24"/>
  <c r="U36" i="24"/>
  <c r="X80" i="20"/>
  <c r="U80" i="20"/>
  <c r="X126" i="20"/>
  <c r="U126" i="20"/>
  <c r="X36" i="20"/>
  <c r="U36" i="20"/>
  <c r="X38" i="27"/>
  <c r="V38" i="27"/>
  <c r="X26" i="20"/>
  <c r="U26" i="20"/>
  <c r="X15" i="27"/>
  <c r="V15" i="27"/>
  <c r="X46" i="23"/>
  <c r="U46" i="23"/>
  <c r="X29" i="24"/>
  <c r="U29" i="24"/>
  <c r="X17" i="26"/>
  <c r="U17" i="26"/>
  <c r="X9" i="24"/>
  <c r="U9" i="24"/>
  <c r="X12" i="23"/>
  <c r="U12" i="23"/>
  <c r="X64" i="22"/>
  <c r="U64" i="22"/>
  <c r="X43" i="27"/>
  <c r="V43" i="27"/>
  <c r="X14" i="20"/>
  <c r="U14" i="20"/>
  <c r="X14" i="23"/>
  <c r="U14" i="23"/>
  <c r="X10" i="20"/>
  <c r="U10" i="20"/>
  <c r="I3" i="20" s="1"/>
  <c r="X41" i="23"/>
  <c r="U41" i="23"/>
  <c r="X78" i="22"/>
  <c r="U78" i="22"/>
  <c r="X106" i="20"/>
  <c r="U106" i="20"/>
  <c r="X41" i="24"/>
  <c r="U41" i="24"/>
  <c r="X82" i="20"/>
  <c r="U82" i="20"/>
  <c r="X122" i="20"/>
  <c r="U122" i="20"/>
  <c r="X22" i="20"/>
  <c r="U22" i="20"/>
  <c r="X132" i="20"/>
  <c r="U132" i="20"/>
  <c r="X51" i="21"/>
  <c r="U51" i="21"/>
  <c r="X44" i="20"/>
  <c r="U44" i="20"/>
  <c r="X58" i="20"/>
  <c r="U58" i="20"/>
  <c r="X23" i="20"/>
  <c r="U23" i="20"/>
  <c r="X32" i="27"/>
  <c r="V32" i="27"/>
  <c r="X26" i="23"/>
  <c r="U26" i="23"/>
  <c r="X11" i="23"/>
  <c r="U11" i="23"/>
  <c r="X79" i="23"/>
  <c r="U79" i="23"/>
  <c r="X18" i="20"/>
  <c r="U18" i="20"/>
  <c r="X64" i="23"/>
  <c r="U64" i="23"/>
  <c r="X41" i="27"/>
  <c r="V41" i="27"/>
  <c r="X69" i="24"/>
  <c r="U69" i="24"/>
  <c r="X92" i="20"/>
  <c r="U92" i="20"/>
  <c r="X30" i="21"/>
  <c r="U30" i="21"/>
  <c r="X30" i="27"/>
  <c r="V30" i="27"/>
  <c r="X43" i="24"/>
  <c r="U43" i="24"/>
  <c r="X100" i="23"/>
  <c r="U100" i="23"/>
  <c r="X14" i="24"/>
  <c r="U14" i="24"/>
  <c r="X83" i="23"/>
  <c r="U83" i="23"/>
  <c r="X31" i="24"/>
  <c r="U31" i="24"/>
  <c r="X39" i="20"/>
  <c r="U39" i="20"/>
  <c r="X76" i="22"/>
  <c r="U76" i="22"/>
  <c r="X64" i="21"/>
  <c r="U64" i="21"/>
  <c r="X79" i="20"/>
  <c r="U79" i="20"/>
  <c r="X35" i="20"/>
  <c r="U35" i="20"/>
  <c r="X73" i="22"/>
  <c r="U73" i="22"/>
  <c r="X32" i="21"/>
  <c r="U32" i="21"/>
  <c r="X23" i="23"/>
  <c r="U23" i="23"/>
  <c r="X61" i="24"/>
  <c r="U61" i="24"/>
  <c r="X10" i="21"/>
  <c r="U10" i="21"/>
  <c r="X45" i="21"/>
  <c r="U45" i="21"/>
  <c r="X85" i="20"/>
  <c r="U85" i="20"/>
  <c r="X35" i="23"/>
  <c r="U35" i="23"/>
  <c r="X48" i="23"/>
  <c r="U48" i="23"/>
  <c r="X118" i="20"/>
  <c r="U118" i="20"/>
  <c r="X12" i="21"/>
  <c r="U12" i="21"/>
  <c r="X28" i="26"/>
  <c r="U28" i="26" s="1"/>
  <c r="Y17" i="31"/>
  <c r="X17" i="31" s="1"/>
  <c r="Y18" i="31"/>
  <c r="X18" i="31" s="1"/>
  <c r="Y16" i="31"/>
  <c r="X16" i="31" s="1"/>
  <c r="Y13" i="31"/>
  <c r="X50" i="27"/>
  <c r="X45" i="27"/>
  <c r="X59" i="27"/>
  <c r="X56" i="27"/>
  <c r="X26" i="27"/>
  <c r="X37" i="27"/>
  <c r="X58" i="27"/>
  <c r="X34" i="27"/>
  <c r="X12" i="27"/>
  <c r="X24" i="27"/>
  <c r="X46" i="27"/>
  <c r="X36" i="27"/>
  <c r="X21" i="27"/>
  <c r="X54" i="27"/>
  <c r="X13" i="27"/>
  <c r="X9" i="27"/>
  <c r="X27" i="27"/>
  <c r="X39" i="27"/>
  <c r="X18" i="27"/>
  <c r="X33" i="27"/>
  <c r="X53" i="23"/>
  <c r="X66" i="23"/>
  <c r="X28" i="23"/>
  <c r="X76" i="23"/>
  <c r="X21" i="23"/>
  <c r="X43" i="23"/>
  <c r="X99" i="23"/>
  <c r="X65" i="23"/>
  <c r="X84" i="23"/>
  <c r="X61" i="23"/>
  <c r="X55" i="23"/>
  <c r="X103" i="23"/>
  <c r="X102" i="23"/>
  <c r="X58" i="23"/>
  <c r="X18" i="23"/>
  <c r="X63" i="23"/>
  <c r="X73" i="23"/>
  <c r="X45" i="23"/>
  <c r="X86" i="23"/>
  <c r="X98" i="23"/>
  <c r="X92" i="23"/>
  <c r="X89" i="23"/>
  <c r="X68" i="23"/>
  <c r="X72" i="23"/>
  <c r="X75" i="23"/>
  <c r="X24" i="23"/>
  <c r="X43" i="21"/>
  <c r="X41" i="21"/>
  <c r="X35" i="21"/>
  <c r="X55" i="21"/>
  <c r="X19" i="21"/>
  <c r="X53" i="21"/>
  <c r="X17" i="21"/>
  <c r="X22" i="21"/>
  <c r="X68" i="21"/>
  <c r="X15" i="21"/>
  <c r="X27" i="21"/>
  <c r="X49" i="21"/>
  <c r="X44" i="21"/>
  <c r="X25" i="21"/>
  <c r="X28" i="21"/>
  <c r="X16" i="21"/>
  <c r="X21" i="21"/>
  <c r="X42" i="21"/>
  <c r="X38" i="21"/>
  <c r="X56" i="21"/>
  <c r="X75" i="22"/>
  <c r="X71" i="22"/>
  <c r="X65" i="22"/>
  <c r="X68" i="22"/>
  <c r="X66" i="22"/>
  <c r="X41" i="20"/>
  <c r="X73" i="20"/>
  <c r="X135" i="20"/>
  <c r="X104" i="20"/>
  <c r="X124" i="20"/>
  <c r="X116" i="20"/>
  <c r="X111" i="20"/>
  <c r="X101" i="20"/>
  <c r="X24" i="20"/>
  <c r="X40" i="20"/>
  <c r="X99" i="20"/>
  <c r="X51" i="20"/>
  <c r="X100" i="20"/>
  <c r="X128" i="20"/>
  <c r="X102" i="20"/>
  <c r="X11" i="20"/>
  <c r="X114" i="20"/>
  <c r="X91" i="20"/>
  <c r="X120" i="20"/>
  <c r="X97" i="20"/>
  <c r="X86" i="20"/>
  <c r="X61" i="20"/>
  <c r="X20" i="20"/>
  <c r="X62" i="20"/>
  <c r="X129" i="20"/>
  <c r="X28" i="20"/>
  <c r="X87" i="20"/>
  <c r="X96" i="20"/>
  <c r="X115" i="20"/>
  <c r="X75" i="20"/>
  <c r="X103" i="20"/>
  <c r="X9" i="20"/>
  <c r="X119" i="20"/>
  <c r="X67" i="20"/>
  <c r="X33" i="20"/>
  <c r="X107" i="20"/>
  <c r="X34" i="20"/>
  <c r="X112" i="20"/>
  <c r="X131" i="20"/>
  <c r="X49" i="20"/>
  <c r="X125" i="20"/>
  <c r="X76" i="20"/>
  <c r="X59" i="20"/>
  <c r="X65" i="20"/>
  <c r="X105" i="20"/>
  <c r="X37" i="20"/>
  <c r="X71" i="20"/>
  <c r="X113" i="20"/>
  <c r="X77" i="20"/>
  <c r="X130" i="20"/>
  <c r="X127" i="20"/>
  <c r="X17" i="20"/>
  <c r="X21" i="16"/>
  <c r="X23" i="16"/>
  <c r="X38" i="16"/>
  <c r="X13" i="16"/>
  <c r="X9" i="16"/>
  <c r="X14" i="16"/>
  <c r="X11" i="16"/>
  <c r="X20" i="16"/>
  <c r="X16" i="16"/>
  <c r="X18" i="16"/>
  <c r="X10" i="16"/>
  <c r="X44" i="24"/>
  <c r="X24" i="24"/>
  <c r="X25" i="24"/>
  <c r="Y28" i="31"/>
  <c r="X28" i="31" s="1"/>
  <c r="U28" i="31" s="1"/>
  <c r="X23" i="24"/>
  <c r="X20" i="24"/>
  <c r="X57" i="24"/>
  <c r="X37" i="24"/>
  <c r="X16" i="24"/>
  <c r="X53" i="24"/>
  <c r="X19" i="24"/>
  <c r="X62" i="24"/>
  <c r="X33" i="24"/>
  <c r="X34" i="24"/>
  <c r="X55" i="24"/>
  <c r="X22" i="24"/>
  <c r="X50" i="24"/>
  <c r="X52" i="24"/>
  <c r="Y30" i="31"/>
  <c r="X30" i="31" s="1"/>
  <c r="Y14" i="31"/>
  <c r="Y31" i="31"/>
  <c r="Y9" i="31"/>
  <c r="Y12" i="31"/>
  <c r="Y23" i="31"/>
  <c r="X23" i="31" s="1"/>
  <c r="Y20" i="31"/>
  <c r="Y21" i="31"/>
  <c r="Y32" i="31"/>
  <c r="Y24" i="31"/>
  <c r="X24" i="31" s="1"/>
  <c r="Y10" i="31"/>
  <c r="Y25" i="31"/>
  <c r="Y26" i="31"/>
  <c r="Y15" i="31"/>
  <c r="X15" i="31" s="1"/>
  <c r="Y19" i="31"/>
  <c r="X19" i="31" s="1"/>
  <c r="Y11" i="31"/>
  <c r="Y27" i="31"/>
  <c r="Y29" i="31"/>
  <c r="X29" i="31" s="1"/>
  <c r="I3" i="27" l="1"/>
  <c r="I2" i="16"/>
  <c r="I2" i="20"/>
  <c r="I3" i="21"/>
  <c r="I2" i="21"/>
  <c r="I3" i="24"/>
  <c r="I2" i="24"/>
  <c r="I2" i="27"/>
  <c r="I3" i="23"/>
  <c r="I2" i="23"/>
  <c r="X13" i="31"/>
  <c r="U13" i="31" s="1"/>
  <c r="X14" i="31"/>
  <c r="U14" i="31" s="1"/>
  <c r="U16" i="31"/>
  <c r="U18" i="31"/>
  <c r="U10" i="31"/>
  <c r="X10" i="31"/>
  <c r="U20" i="31"/>
  <c r="X20" i="31"/>
  <c r="U27" i="31"/>
  <c r="X27" i="31"/>
  <c r="U32" i="31"/>
  <c r="X32" i="31"/>
  <c r="U21" i="31"/>
  <c r="X21" i="31"/>
  <c r="U26" i="31"/>
  <c r="X26" i="31"/>
  <c r="U12" i="31"/>
  <c r="X12" i="31"/>
  <c r="U25" i="31"/>
  <c r="X25" i="31"/>
  <c r="U9" i="31"/>
  <c r="X9" i="31"/>
  <c r="U11" i="31"/>
  <c r="X11" i="31"/>
  <c r="U31" i="31"/>
  <c r="X31" i="31"/>
  <c r="AM78" i="25"/>
  <c r="AM77" i="25"/>
  <c r="AM76" i="25"/>
  <c r="A23" i="1" l="1"/>
  <c r="A24" i="1"/>
  <c r="A22" i="1"/>
  <c r="A21" i="1" l="1"/>
  <c r="AT130" i="27"/>
  <c r="AM130" i="27"/>
  <c r="AJ130" i="27"/>
  <c r="W130" i="27"/>
  <c r="AJ74" i="27" l="1"/>
  <c r="AJ75" i="27"/>
  <c r="AJ76" i="27"/>
  <c r="AJ77" i="27"/>
  <c r="AJ78" i="27"/>
  <c r="AJ79" i="27"/>
  <c r="AJ80" i="27"/>
  <c r="AJ81" i="27"/>
  <c r="AJ82" i="27"/>
  <c r="AJ83" i="27"/>
  <c r="AJ84" i="27"/>
  <c r="AJ85" i="27"/>
  <c r="AJ86" i="27"/>
  <c r="AJ87" i="27"/>
  <c r="AJ88" i="27"/>
  <c r="AJ73" i="27"/>
  <c r="V2" i="26"/>
  <c r="AG2" i="26"/>
  <c r="AH40" i="26" s="1"/>
  <c r="AL40" i="26"/>
  <c r="AT22" i="28"/>
  <c r="AT21" i="28"/>
  <c r="AT20" i="28"/>
  <c r="AT19" i="28"/>
  <c r="AT18" i="28"/>
  <c r="AT17" i="28"/>
  <c r="AT16" i="28"/>
  <c r="AT15" i="28"/>
  <c r="AT14" i="28"/>
  <c r="AT13" i="28"/>
  <c r="AT12" i="28"/>
  <c r="AT11" i="28"/>
  <c r="AT10" i="28"/>
  <c r="AT9" i="28"/>
  <c r="AM142" i="27"/>
  <c r="AM141" i="27"/>
  <c r="AM140" i="27"/>
  <c r="AM139" i="27"/>
  <c r="AM138" i="27"/>
  <c r="AM137" i="27"/>
  <c r="AM136" i="27"/>
  <c r="AM134" i="27"/>
  <c r="AM133" i="27"/>
  <c r="AM132" i="27"/>
  <c r="AM131" i="27"/>
  <c r="AM129" i="27"/>
  <c r="AM128" i="27"/>
  <c r="AM126" i="27"/>
  <c r="AM124" i="27"/>
  <c r="AM123" i="27"/>
  <c r="AM122" i="27"/>
  <c r="AM121" i="27"/>
  <c r="AM120" i="27"/>
  <c r="AM119" i="27"/>
  <c r="AM118" i="27"/>
  <c r="AM117" i="27"/>
  <c r="AM116" i="27"/>
  <c r="AM115" i="27"/>
  <c r="AM114" i="27"/>
  <c r="AM113" i="27"/>
  <c r="AM112" i="27"/>
  <c r="AM111" i="27"/>
  <c r="AM110" i="27"/>
  <c r="AM109" i="27"/>
  <c r="AM108" i="27"/>
  <c r="AM107" i="27"/>
  <c r="AM106" i="27"/>
  <c r="AM104" i="27"/>
  <c r="AM103" i="27"/>
  <c r="AM102" i="27"/>
  <c r="AM101" i="27"/>
  <c r="AM100" i="27"/>
  <c r="AM99" i="27"/>
  <c r="AM98" i="27"/>
  <c r="AM97" i="27"/>
  <c r="AM96" i="27"/>
  <c r="AM95" i="27"/>
  <c r="AM94" i="27"/>
  <c r="AM93" i="27"/>
  <c r="AM92" i="27"/>
  <c r="AM91" i="27"/>
  <c r="AM90" i="27"/>
  <c r="AM89" i="27"/>
  <c r="AM88" i="27"/>
  <c r="AM87" i="27"/>
  <c r="AM86" i="27"/>
  <c r="AM85" i="27"/>
  <c r="AM84" i="27"/>
  <c r="AM83" i="27"/>
  <c r="AM82" i="27"/>
  <c r="AM81" i="27"/>
  <c r="AM80" i="27"/>
  <c r="AM79" i="27"/>
  <c r="AM78" i="27"/>
  <c r="AM77" i="27"/>
  <c r="AM76" i="27"/>
  <c r="AM75" i="27"/>
  <c r="AM74" i="27"/>
  <c r="AM73" i="27"/>
  <c r="AM71" i="27"/>
  <c r="AM70" i="27"/>
  <c r="AM68" i="27"/>
  <c r="AM67" i="27"/>
  <c r="AM66" i="27"/>
  <c r="AM65" i="27"/>
  <c r="AM64" i="27"/>
  <c r="AM63" i="27"/>
  <c r="AM62" i="27"/>
  <c r="AM61" i="27"/>
  <c r="AM59" i="27"/>
  <c r="AM58" i="27"/>
  <c r="AM57" i="27"/>
  <c r="AM56" i="27"/>
  <c r="AM55" i="27"/>
  <c r="AM54" i="27"/>
  <c r="AM52" i="27"/>
  <c r="AM50" i="27"/>
  <c r="AM49" i="27"/>
  <c r="AM48" i="27"/>
  <c r="AM47" i="27"/>
  <c r="AM46" i="27"/>
  <c r="AM45" i="27"/>
  <c r="AM44" i="27"/>
  <c r="AM43" i="27"/>
  <c r="AM42" i="27"/>
  <c r="AM41" i="27"/>
  <c r="AM40" i="27"/>
  <c r="AM39" i="27"/>
  <c r="AM38" i="27"/>
  <c r="AM37" i="27"/>
  <c r="AM36" i="27"/>
  <c r="AM35" i="27"/>
  <c r="AM34" i="27"/>
  <c r="AM33" i="27"/>
  <c r="AM32" i="27"/>
  <c r="AM30" i="27"/>
  <c r="AM29" i="27"/>
  <c r="AM27" i="27"/>
  <c r="AM26" i="27"/>
  <c r="AM25" i="27"/>
  <c r="AM24" i="27"/>
  <c r="AM23" i="27"/>
  <c r="AM22" i="27"/>
  <c r="AM21" i="27"/>
  <c r="AM20" i="27"/>
  <c r="AM18" i="27"/>
  <c r="AM17" i="27"/>
  <c r="AM15" i="27"/>
  <c r="AM14" i="27"/>
  <c r="AM13" i="27"/>
  <c r="AM12" i="27"/>
  <c r="AM11" i="27"/>
  <c r="AM10" i="27"/>
  <c r="AM9" i="27"/>
  <c r="AM97" i="25"/>
  <c r="AM96" i="25"/>
  <c r="AM95" i="25"/>
  <c r="AM94" i="25"/>
  <c r="AM93" i="25"/>
  <c r="AM92" i="25"/>
  <c r="AM91" i="25"/>
  <c r="AM90" i="25"/>
  <c r="AM88" i="25"/>
  <c r="AM87" i="25"/>
  <c r="AM86" i="25"/>
  <c r="AM85" i="25"/>
  <c r="AM84" i="25"/>
  <c r="AM83" i="25"/>
  <c r="AM82" i="25"/>
  <c r="AM81" i="25"/>
  <c r="AM80" i="25"/>
  <c r="AM75" i="25"/>
  <c r="AM74" i="25"/>
  <c r="AM73" i="25"/>
  <c r="AM71" i="25"/>
  <c r="AM70" i="25"/>
  <c r="AM68" i="25"/>
  <c r="AM67" i="25"/>
  <c r="AM66" i="25"/>
  <c r="AM65" i="25"/>
  <c r="AM64" i="25"/>
  <c r="AM63" i="25"/>
  <c r="AM62" i="25"/>
  <c r="AM61" i="25"/>
  <c r="AM60" i="25"/>
  <c r="AM59" i="25"/>
  <c r="AM57" i="25"/>
  <c r="AM56" i="25"/>
  <c r="AM55" i="25"/>
  <c r="AM54" i="25"/>
  <c r="AM53" i="25"/>
  <c r="AM52" i="25"/>
  <c r="AM51" i="25"/>
  <c r="AM50" i="25"/>
  <c r="AM49" i="25"/>
  <c r="AM48" i="25"/>
  <c r="AM46" i="25"/>
  <c r="AM45" i="25"/>
  <c r="AM44" i="25"/>
  <c r="AM42" i="25"/>
  <c r="AM41" i="25"/>
  <c r="AM40" i="25"/>
  <c r="AM38" i="25"/>
  <c r="AM37" i="25"/>
  <c r="AM36" i="25"/>
  <c r="AM35" i="25"/>
  <c r="AM34" i="25"/>
  <c r="AM33" i="25"/>
  <c r="AM32" i="25"/>
  <c r="AM31" i="25"/>
  <c r="AM30" i="25"/>
  <c r="AM29" i="25"/>
  <c r="AM28" i="25"/>
  <c r="AM26" i="25"/>
  <c r="AM25" i="25"/>
  <c r="AM24" i="25"/>
  <c r="AM23" i="25"/>
  <c r="AM22" i="25"/>
  <c r="AM21" i="25"/>
  <c r="AM19" i="25"/>
  <c r="AM18" i="25"/>
  <c r="AM17" i="25"/>
  <c r="AM16" i="25"/>
  <c r="AM15" i="25"/>
  <c r="AM14" i="25"/>
  <c r="AM13" i="25"/>
  <c r="AM12" i="25"/>
  <c r="AM11" i="25"/>
  <c r="AM10" i="25"/>
  <c r="AM9" i="25"/>
  <c r="AP77" i="24"/>
  <c r="AP76" i="24"/>
  <c r="AP75" i="24"/>
  <c r="AP74" i="24"/>
  <c r="AP72" i="24"/>
  <c r="AP71" i="24"/>
  <c r="AP70" i="24"/>
  <c r="AP69" i="24"/>
  <c r="AP68" i="24"/>
  <c r="AP67" i="24"/>
  <c r="AP66" i="24"/>
  <c r="AP65" i="24"/>
  <c r="AP64" i="24"/>
  <c r="AP63" i="24"/>
  <c r="AP62" i="24"/>
  <c r="AP61" i="24"/>
  <c r="AP60" i="24"/>
  <c r="AP59" i="24"/>
  <c r="AP57" i="24"/>
  <c r="AP55" i="24"/>
  <c r="AP54" i="24"/>
  <c r="AP53" i="24"/>
  <c r="AP52" i="24"/>
  <c r="AP51" i="24"/>
  <c r="AP50" i="24"/>
  <c r="AP49" i="24"/>
  <c r="AP48" i="24"/>
  <c r="AP47" i="24"/>
  <c r="AP46" i="24"/>
  <c r="AP45" i="24"/>
  <c r="AP44" i="24"/>
  <c r="AP43" i="24"/>
  <c r="AP42" i="24"/>
  <c r="AP41" i="24"/>
  <c r="AP40" i="24"/>
  <c r="AP39" i="24"/>
  <c r="AP37" i="24"/>
  <c r="AP36" i="24"/>
  <c r="AP35" i="24"/>
  <c r="AP34" i="24"/>
  <c r="AP33" i="24"/>
  <c r="AP31" i="24"/>
  <c r="AP30" i="24"/>
  <c r="AP29" i="24"/>
  <c r="AP28" i="24"/>
  <c r="AP27" i="24"/>
  <c r="AP26" i="24"/>
  <c r="AP25" i="24"/>
  <c r="AP24" i="24"/>
  <c r="AP23" i="24"/>
  <c r="AP22" i="24"/>
  <c r="AP20" i="24"/>
  <c r="AP19" i="24"/>
  <c r="AP18" i="24"/>
  <c r="AP17" i="24"/>
  <c r="AP16" i="24"/>
  <c r="AP15" i="24"/>
  <c r="AP14" i="24"/>
  <c r="AP13" i="24"/>
  <c r="AP12" i="24"/>
  <c r="AP11" i="24"/>
  <c r="AP9" i="24"/>
  <c r="AP104" i="23"/>
  <c r="AP103" i="23"/>
  <c r="AP102" i="23"/>
  <c r="AP101" i="23"/>
  <c r="AP100" i="23"/>
  <c r="AP99" i="23"/>
  <c r="AP98" i="23"/>
  <c r="AP96" i="23"/>
  <c r="AP94" i="23"/>
  <c r="AP93" i="23"/>
  <c r="AP92" i="23"/>
  <c r="AP90" i="23"/>
  <c r="AP89" i="23"/>
  <c r="AP88" i="23"/>
  <c r="AP86" i="23"/>
  <c r="AP85" i="23"/>
  <c r="AP84" i="23"/>
  <c r="AP83" i="23"/>
  <c r="AP82" i="23"/>
  <c r="AP81" i="23"/>
  <c r="AP80" i="23"/>
  <c r="AP79" i="23"/>
  <c r="AP77" i="23"/>
  <c r="AP76" i="23"/>
  <c r="AP75" i="23"/>
  <c r="AP74" i="23"/>
  <c r="AP73" i="23"/>
  <c r="AP72" i="23"/>
  <c r="AP71" i="23"/>
  <c r="AP70" i="23"/>
  <c r="AP68" i="23"/>
  <c r="AP66" i="23"/>
  <c r="AP65" i="23"/>
  <c r="AP64" i="23"/>
  <c r="AP63" i="23"/>
  <c r="AP62" i="23"/>
  <c r="AP61" i="23"/>
  <c r="AP59" i="23"/>
  <c r="AP58" i="23"/>
  <c r="AP57" i="23"/>
  <c r="AP55" i="23"/>
  <c r="AP54" i="23"/>
  <c r="AP53" i="23"/>
  <c r="AP51" i="23"/>
  <c r="AP50" i="23"/>
  <c r="AP48" i="23"/>
  <c r="AP47" i="23"/>
  <c r="AP46" i="23"/>
  <c r="AP45" i="23"/>
  <c r="AP44" i="23"/>
  <c r="AP43" i="23"/>
  <c r="AP42" i="23"/>
  <c r="AP41" i="23"/>
  <c r="AP40" i="23"/>
  <c r="AP39" i="23"/>
  <c r="AP37" i="23"/>
  <c r="AP36" i="23"/>
  <c r="AP35" i="23"/>
  <c r="AP34" i="23"/>
  <c r="AP32" i="23"/>
  <c r="AP30" i="23"/>
  <c r="AP28" i="23"/>
  <c r="AP27" i="23"/>
  <c r="AP26" i="23"/>
  <c r="AP25" i="23"/>
  <c r="AP24" i="23"/>
  <c r="AP23" i="23"/>
  <c r="AP22" i="23"/>
  <c r="AP21" i="23"/>
  <c r="AP20" i="23"/>
  <c r="AP19" i="23"/>
  <c r="AP18" i="23"/>
  <c r="AP17" i="23"/>
  <c r="AP16" i="23"/>
  <c r="AP15" i="23"/>
  <c r="AP14" i="23"/>
  <c r="AP13" i="23"/>
  <c r="AP12" i="23"/>
  <c r="AP11" i="23"/>
  <c r="AP10" i="23"/>
  <c r="AP9" i="23"/>
  <c r="AJ2" i="22"/>
  <c r="AK2" i="22" s="1"/>
  <c r="AG2" i="22"/>
  <c r="AH78" i="22" s="1"/>
  <c r="AG78" i="22" s="1"/>
  <c r="BE2" i="22"/>
  <c r="AK2" i="31"/>
  <c r="AL2" i="31" s="1"/>
  <c r="V2" i="31"/>
  <c r="V15" i="31" s="1"/>
  <c r="AU40" i="26"/>
  <c r="AU38" i="26"/>
  <c r="AU36" i="26"/>
  <c r="AU35" i="26"/>
  <c r="AU33" i="26"/>
  <c r="AU32" i="26"/>
  <c r="AU31" i="26"/>
  <c r="AU30" i="26"/>
  <c r="AU29" i="26"/>
  <c r="AU27" i="26"/>
  <c r="AU26" i="26"/>
  <c r="AU25" i="26"/>
  <c r="AU24" i="26"/>
  <c r="AU23" i="26"/>
  <c r="AU22" i="26"/>
  <c r="AU21" i="26"/>
  <c r="AU19" i="26"/>
  <c r="AU16" i="26"/>
  <c r="AU15" i="26"/>
  <c r="AU14" i="26"/>
  <c r="AU13" i="26"/>
  <c r="AU12" i="26"/>
  <c r="AU11" i="26"/>
  <c r="AU9" i="26"/>
  <c r="AP68" i="21"/>
  <c r="AP66" i="21"/>
  <c r="AP65" i="21"/>
  <c r="AP64" i="21"/>
  <c r="AP63" i="21"/>
  <c r="AP56" i="21"/>
  <c r="AP55" i="21"/>
  <c r="AP53" i="21"/>
  <c r="AP51" i="21"/>
  <c r="AP50" i="21"/>
  <c r="AP49" i="21"/>
  <c r="AP48" i="21"/>
  <c r="AP47" i="21"/>
  <c r="AP45" i="21"/>
  <c r="AP44" i="21"/>
  <c r="AP43" i="21"/>
  <c r="AP42" i="21"/>
  <c r="AP41" i="21"/>
  <c r="AP40" i="21"/>
  <c r="AP39" i="21"/>
  <c r="AP38" i="21"/>
  <c r="AP37" i="21"/>
  <c r="AP35" i="21"/>
  <c r="AP34" i="21"/>
  <c r="AP33" i="21"/>
  <c r="AP32" i="21"/>
  <c r="AP30" i="21"/>
  <c r="AP29" i="21"/>
  <c r="AP28" i="21"/>
  <c r="AP27" i="21"/>
  <c r="AP26" i="21"/>
  <c r="AP25" i="21"/>
  <c r="AP24" i="21"/>
  <c r="AP23" i="21"/>
  <c r="AP22" i="21"/>
  <c r="AP21" i="21"/>
  <c r="AP19" i="21"/>
  <c r="AP17" i="21"/>
  <c r="AP16" i="21"/>
  <c r="AP15" i="21"/>
  <c r="AP14" i="21"/>
  <c r="AP13" i="21"/>
  <c r="AP12" i="21"/>
  <c r="AP11" i="21"/>
  <c r="AP10" i="21"/>
  <c r="AP9" i="21"/>
  <c r="AU76" i="22"/>
  <c r="AU75" i="22"/>
  <c r="AU74" i="22"/>
  <c r="AU73" i="22"/>
  <c r="AU72" i="22"/>
  <c r="AU71" i="22"/>
  <c r="AU69" i="22"/>
  <c r="AU68" i="22"/>
  <c r="AU66" i="22"/>
  <c r="AU65" i="22"/>
  <c r="AU64" i="22"/>
  <c r="AU62" i="22"/>
  <c r="AU61" i="22"/>
  <c r="AU60" i="22"/>
  <c r="AU59" i="22"/>
  <c r="AU58" i="22"/>
  <c r="AU57" i="22"/>
  <c r="AU56" i="22"/>
  <c r="AU55" i="22"/>
  <c r="AU54" i="22"/>
  <c r="AU53" i="22"/>
  <c r="AU52" i="22"/>
  <c r="AU51" i="22"/>
  <c r="AU49" i="22"/>
  <c r="AU48" i="22"/>
  <c r="AU47" i="22"/>
  <c r="AU46" i="22"/>
  <c r="AU45" i="22"/>
  <c r="AU44" i="22"/>
  <c r="AU43" i="22"/>
  <c r="AU42" i="22"/>
  <c r="AU41" i="22"/>
  <c r="AU40" i="22"/>
  <c r="AU39" i="22"/>
  <c r="AU38" i="22"/>
  <c r="AU37" i="22"/>
  <c r="AU36" i="22"/>
  <c r="AU35" i="22"/>
  <c r="AU34" i="22"/>
  <c r="AU33" i="22"/>
  <c r="AU32" i="22"/>
  <c r="AU31" i="22"/>
  <c r="AU30" i="22"/>
  <c r="AU29" i="22"/>
  <c r="AU28" i="22"/>
  <c r="AU26" i="22"/>
  <c r="AU25" i="22"/>
  <c r="AU24" i="22"/>
  <c r="AU23" i="22"/>
  <c r="AU22" i="22"/>
  <c r="AU21" i="22"/>
  <c r="AU19" i="22"/>
  <c r="AU18" i="22"/>
  <c r="AU17" i="22"/>
  <c r="AU16" i="22"/>
  <c r="AU15" i="22"/>
  <c r="AU14" i="22"/>
  <c r="AU12" i="22"/>
  <c r="AU11" i="22"/>
  <c r="AU10" i="22"/>
  <c r="AU9" i="22"/>
  <c r="AO2" i="22"/>
  <c r="AI67" i="22"/>
  <c r="AI63" i="22"/>
  <c r="AM135" i="20"/>
  <c r="AM133" i="20"/>
  <c r="AM132" i="20"/>
  <c r="AM131" i="20"/>
  <c r="AM130" i="20"/>
  <c r="AM129" i="20"/>
  <c r="AM128" i="20"/>
  <c r="AM127" i="20"/>
  <c r="AM126" i="20"/>
  <c r="AM125" i="20"/>
  <c r="AM124" i="20"/>
  <c r="AM123" i="20"/>
  <c r="AM122" i="20"/>
  <c r="AM121" i="20"/>
  <c r="AM120" i="20"/>
  <c r="AM119" i="20"/>
  <c r="AM118" i="20"/>
  <c r="AM117" i="20"/>
  <c r="AM116" i="20"/>
  <c r="AM115" i="20"/>
  <c r="AM114" i="20"/>
  <c r="AM113" i="20"/>
  <c r="AM112" i="20"/>
  <c r="AM111" i="20"/>
  <c r="AM110" i="20"/>
  <c r="AM109" i="20"/>
  <c r="AM108" i="20"/>
  <c r="AM107" i="20"/>
  <c r="AM106" i="20"/>
  <c r="AM105" i="20"/>
  <c r="AM104" i="20"/>
  <c r="AM103" i="20"/>
  <c r="AM102" i="20"/>
  <c r="AM101" i="20"/>
  <c r="AM100" i="20"/>
  <c r="AM99" i="20"/>
  <c r="AM98" i="20"/>
  <c r="AM97" i="20"/>
  <c r="AM96" i="20"/>
  <c r="AM95" i="20"/>
  <c r="AM94" i="20"/>
  <c r="AM93" i="20"/>
  <c r="AM92" i="20"/>
  <c r="AM91" i="20"/>
  <c r="AM90" i="20"/>
  <c r="AM88" i="20"/>
  <c r="AM87" i="20"/>
  <c r="AM86" i="20"/>
  <c r="AM85" i="20"/>
  <c r="AM84" i="20"/>
  <c r="AM83" i="20"/>
  <c r="AM82" i="20"/>
  <c r="AM80" i="20"/>
  <c r="AM79" i="20"/>
  <c r="AM77" i="20"/>
  <c r="AM76" i="20"/>
  <c r="AM75" i="20"/>
  <c r="AM73" i="20"/>
  <c r="AM72" i="20"/>
  <c r="AM71" i="20"/>
  <c r="AM70" i="20"/>
  <c r="AM67" i="20"/>
  <c r="AM65" i="20"/>
  <c r="AM64" i="20"/>
  <c r="AM63" i="20"/>
  <c r="AM62" i="20"/>
  <c r="AM61" i="20"/>
  <c r="AM60" i="20"/>
  <c r="AM59" i="20"/>
  <c r="AM58" i="20"/>
  <c r="AM57" i="20"/>
  <c r="AM56" i="20"/>
  <c r="AM55" i="20"/>
  <c r="AM54" i="20"/>
  <c r="AM53" i="20"/>
  <c r="AM51" i="20"/>
  <c r="AM50" i="20"/>
  <c r="AM49" i="20"/>
  <c r="AM48" i="20"/>
  <c r="AM47" i="20"/>
  <c r="AM46" i="20"/>
  <c r="AM45" i="20"/>
  <c r="AM44" i="20"/>
  <c r="AM43" i="20"/>
  <c r="AM42" i="20"/>
  <c r="AM41" i="20"/>
  <c r="AM40" i="20"/>
  <c r="AM39" i="20"/>
  <c r="AM38" i="20"/>
  <c r="AM37" i="20"/>
  <c r="AM36" i="20"/>
  <c r="AM35" i="20"/>
  <c r="AM34" i="20"/>
  <c r="AM33" i="20"/>
  <c r="AM32" i="20"/>
  <c r="AM31" i="20"/>
  <c r="AM30" i="20"/>
  <c r="AM29" i="20"/>
  <c r="AM28" i="20"/>
  <c r="AM27" i="20"/>
  <c r="AM26" i="20"/>
  <c r="AM24" i="20"/>
  <c r="AM23" i="20"/>
  <c r="AM22" i="20"/>
  <c r="AM21" i="20"/>
  <c r="AM20" i="20"/>
  <c r="AM19" i="20"/>
  <c r="AM18" i="20"/>
  <c r="AM17" i="20"/>
  <c r="AM16" i="20"/>
  <c r="AM15" i="20"/>
  <c r="AM14" i="20"/>
  <c r="AM13" i="20"/>
  <c r="AM12" i="20"/>
  <c r="AM11" i="20"/>
  <c r="AM10" i="20"/>
  <c r="AM9" i="20"/>
  <c r="AV32" i="31"/>
  <c r="AV30" i="31"/>
  <c r="AV29" i="31"/>
  <c r="AV27" i="31"/>
  <c r="AV26" i="31"/>
  <c r="AV25" i="31"/>
  <c r="AV24" i="31"/>
  <c r="AV23" i="31"/>
  <c r="AV21" i="31"/>
  <c r="AV20" i="31"/>
  <c r="AV19" i="31"/>
  <c r="AV15" i="31"/>
  <c r="AV14" i="31"/>
  <c r="AV12" i="31"/>
  <c r="AV11" i="31"/>
  <c r="AV10" i="31"/>
  <c r="AV9" i="31"/>
  <c r="AM10" i="31"/>
  <c r="AM11" i="31"/>
  <c r="AM12" i="31"/>
  <c r="AM14" i="31"/>
  <c r="AM20" i="31"/>
  <c r="AM21" i="31"/>
  <c r="AM25" i="31"/>
  <c r="AM26" i="31"/>
  <c r="AM27" i="31"/>
  <c r="AM39" i="16"/>
  <c r="AM38" i="16"/>
  <c r="AM36" i="16"/>
  <c r="AM35" i="16"/>
  <c r="AM34" i="16"/>
  <c r="AM33" i="16"/>
  <c r="AM31" i="16"/>
  <c r="AM30" i="16"/>
  <c r="AM29" i="16"/>
  <c r="AM28" i="16"/>
  <c r="AM27" i="16"/>
  <c r="AM26" i="16"/>
  <c r="AM25" i="16"/>
  <c r="AM24" i="16"/>
  <c r="AM23" i="16"/>
  <c r="AM22" i="16"/>
  <c r="AM21" i="16"/>
  <c r="AM20" i="16"/>
  <c r="AM18" i="16"/>
  <c r="AM16" i="16"/>
  <c r="AM14" i="16"/>
  <c r="AM13" i="16"/>
  <c r="AM11" i="16"/>
  <c r="AM10" i="16"/>
  <c r="AM9" i="16"/>
  <c r="AS32" i="31"/>
  <c r="R15" i="31"/>
  <c r="U15" i="31" s="1"/>
  <c r="AT104" i="27"/>
  <c r="AT102" i="27"/>
  <c r="AT100" i="27"/>
  <c r="AT98" i="27"/>
  <c r="AT96" i="27"/>
  <c r="AT94" i="27"/>
  <c r="AT92" i="27"/>
  <c r="AT90" i="27"/>
  <c r="AT88" i="27"/>
  <c r="AT86" i="27"/>
  <c r="AT84" i="27"/>
  <c r="AT82" i="27"/>
  <c r="AT80" i="27"/>
  <c r="AT78" i="27"/>
  <c r="AT76" i="27"/>
  <c r="AT74" i="27"/>
  <c r="AT63" i="27"/>
  <c r="AJ92" i="27"/>
  <c r="AJ134" i="27"/>
  <c r="AJ132" i="27"/>
  <c r="W134" i="27"/>
  <c r="W132" i="27"/>
  <c r="AJ104" i="27"/>
  <c r="AJ102" i="27"/>
  <c r="AJ100" i="27"/>
  <c r="AJ98" i="27"/>
  <c r="AJ96" i="27"/>
  <c r="AJ94" i="27"/>
  <c r="AJ90" i="27"/>
  <c r="W104" i="27"/>
  <c r="W102" i="27"/>
  <c r="W100" i="27"/>
  <c r="W98" i="27"/>
  <c r="W96" i="27"/>
  <c r="W94" i="27"/>
  <c r="W92" i="27"/>
  <c r="W90" i="27"/>
  <c r="W88" i="27"/>
  <c r="W86" i="27"/>
  <c r="W84" i="27"/>
  <c r="W82" i="27"/>
  <c r="W80" i="27"/>
  <c r="W78" i="27"/>
  <c r="W76" i="27"/>
  <c r="W74" i="27"/>
  <c r="AL76" i="22"/>
  <c r="AL75" i="22"/>
  <c r="AL74" i="22"/>
  <c r="AM32" i="31"/>
  <c r="AG2" i="25"/>
  <c r="C2" i="25"/>
  <c r="C2" i="20"/>
  <c r="M1" i="20" s="1"/>
  <c r="AG2" i="20"/>
  <c r="C2" i="21"/>
  <c r="Q61" i="21" s="1"/>
  <c r="R24" i="31"/>
  <c r="U24" i="31" s="1"/>
  <c r="C2" i="31"/>
  <c r="Q22" i="31" s="1"/>
  <c r="C2" i="28"/>
  <c r="M1" i="28" s="1"/>
  <c r="AN2" i="28"/>
  <c r="AG2" i="27"/>
  <c r="AK130" i="27" s="1"/>
  <c r="W81" i="27"/>
  <c r="C2" i="27"/>
  <c r="AL11" i="26"/>
  <c r="AL15" i="26"/>
  <c r="AJ63" i="27"/>
  <c r="W63" i="27"/>
  <c r="AI62" i="27"/>
  <c r="AJ62" i="27" s="1"/>
  <c r="AH62" i="27"/>
  <c r="W62" i="27"/>
  <c r="AT142" i="27"/>
  <c r="AJ142" i="27"/>
  <c r="W142" i="27"/>
  <c r="AT141" i="27"/>
  <c r="AJ141" i="27"/>
  <c r="W141" i="27"/>
  <c r="AT140" i="27"/>
  <c r="AJ140" i="27"/>
  <c r="W140" i="27"/>
  <c r="AT139" i="27"/>
  <c r="AJ139" i="27"/>
  <c r="W139" i="27"/>
  <c r="AT138" i="27"/>
  <c r="AJ138" i="27"/>
  <c r="W138" i="27"/>
  <c r="AT137" i="27"/>
  <c r="AJ137" i="27"/>
  <c r="W137" i="27"/>
  <c r="AT136" i="27"/>
  <c r="AJ136" i="27"/>
  <c r="W136" i="27"/>
  <c r="AI133" i="27"/>
  <c r="AJ133" i="27" s="1"/>
  <c r="AH133" i="27"/>
  <c r="W133" i="27"/>
  <c r="AI131" i="27"/>
  <c r="AJ131" i="27" s="1"/>
  <c r="AH131" i="27"/>
  <c r="W131" i="27"/>
  <c r="AI129" i="27"/>
  <c r="AJ129" i="27" s="1"/>
  <c r="AH129" i="27"/>
  <c r="W129" i="27"/>
  <c r="AI128" i="27"/>
  <c r="AJ128" i="27" s="1"/>
  <c r="AH128" i="27"/>
  <c r="W128" i="27"/>
  <c r="AI126" i="27"/>
  <c r="AJ126" i="27" s="1"/>
  <c r="AH126" i="27"/>
  <c r="W126" i="27"/>
  <c r="AJ124" i="27"/>
  <c r="W124" i="27"/>
  <c r="AI123" i="27"/>
  <c r="AJ123" i="27" s="1"/>
  <c r="AH123" i="27"/>
  <c r="W123" i="27"/>
  <c r="AI122" i="27"/>
  <c r="AJ122" i="27" s="1"/>
  <c r="AH122" i="27"/>
  <c r="W122" i="27"/>
  <c r="AI121" i="27"/>
  <c r="AJ121" i="27" s="1"/>
  <c r="AH121" i="27"/>
  <c r="W121" i="27"/>
  <c r="AI120" i="27"/>
  <c r="AJ120" i="27" s="1"/>
  <c r="AH120" i="27"/>
  <c r="W120" i="27"/>
  <c r="AI119" i="27"/>
  <c r="AJ119" i="27" s="1"/>
  <c r="AH119" i="27"/>
  <c r="W119" i="27"/>
  <c r="AI118" i="27"/>
  <c r="AJ118" i="27" s="1"/>
  <c r="AH118" i="27"/>
  <c r="W118" i="27"/>
  <c r="AI117" i="27"/>
  <c r="AJ117" i="27" s="1"/>
  <c r="AH117" i="27"/>
  <c r="W117" i="27"/>
  <c r="AI116" i="27"/>
  <c r="AJ116" i="27" s="1"/>
  <c r="AH116" i="27"/>
  <c r="W116" i="27"/>
  <c r="AI115" i="27"/>
  <c r="AJ115" i="27" s="1"/>
  <c r="AH115" i="27"/>
  <c r="W115" i="27"/>
  <c r="AI114" i="27"/>
  <c r="AJ114" i="27" s="1"/>
  <c r="AH114" i="27"/>
  <c r="W114" i="27"/>
  <c r="AI113" i="27"/>
  <c r="AJ113" i="27" s="1"/>
  <c r="AH113" i="27"/>
  <c r="W113" i="27"/>
  <c r="AI112" i="27"/>
  <c r="AJ112" i="27" s="1"/>
  <c r="AH112" i="27"/>
  <c r="W112" i="27"/>
  <c r="AI111" i="27"/>
  <c r="AJ111" i="27" s="1"/>
  <c r="AH111" i="27"/>
  <c r="W111" i="27"/>
  <c r="AI110" i="27"/>
  <c r="AJ110" i="27" s="1"/>
  <c r="AH110" i="27"/>
  <c r="W110" i="27"/>
  <c r="AI109" i="27"/>
  <c r="AJ109" i="27" s="1"/>
  <c r="AH109" i="27"/>
  <c r="W109" i="27"/>
  <c r="AI108" i="27"/>
  <c r="AJ108" i="27" s="1"/>
  <c r="AH108" i="27"/>
  <c r="W108" i="27"/>
  <c r="AI107" i="27"/>
  <c r="AJ107" i="27" s="1"/>
  <c r="AH107" i="27"/>
  <c r="W107" i="27"/>
  <c r="AI106" i="27"/>
  <c r="AJ106" i="27" s="1"/>
  <c r="AH106" i="27"/>
  <c r="W106" i="27"/>
  <c r="AI103" i="27"/>
  <c r="AJ103" i="27" s="1"/>
  <c r="AH103" i="27"/>
  <c r="W103" i="27"/>
  <c r="AI101" i="27"/>
  <c r="AJ101" i="27" s="1"/>
  <c r="AH101" i="27"/>
  <c r="W101" i="27"/>
  <c r="AI99" i="27"/>
  <c r="AJ99" i="27" s="1"/>
  <c r="AH99" i="27"/>
  <c r="W99" i="27"/>
  <c r="AI97" i="27"/>
  <c r="AJ97" i="27" s="1"/>
  <c r="AH97" i="27"/>
  <c r="W97" i="27"/>
  <c r="AI95" i="27"/>
  <c r="AJ95" i="27" s="1"/>
  <c r="AH95" i="27"/>
  <c r="W95" i="27"/>
  <c r="AI93" i="27"/>
  <c r="AJ93" i="27" s="1"/>
  <c r="AH93" i="27"/>
  <c r="W93" i="27"/>
  <c r="AI91" i="27"/>
  <c r="AJ91" i="27" s="1"/>
  <c r="AH91" i="27"/>
  <c r="W91" i="27"/>
  <c r="AI89" i="27"/>
  <c r="AJ89" i="27" s="1"/>
  <c r="AH89" i="27"/>
  <c r="W89" i="27"/>
  <c r="AT87" i="27"/>
  <c r="W87" i="27"/>
  <c r="AT85" i="27"/>
  <c r="W85" i="27"/>
  <c r="AT83" i="27"/>
  <c r="W83" i="27"/>
  <c r="AT81" i="27"/>
  <c r="AT79" i="27"/>
  <c r="W79" i="27"/>
  <c r="AT77" i="27"/>
  <c r="W77" i="27"/>
  <c r="AT75" i="27"/>
  <c r="W75" i="27"/>
  <c r="AT73" i="27"/>
  <c r="W73" i="27"/>
  <c r="AI71" i="27"/>
  <c r="AJ71" i="27" s="1"/>
  <c r="AH71" i="27"/>
  <c r="W71" i="27"/>
  <c r="AI70" i="27"/>
  <c r="AJ70" i="27" s="1"/>
  <c r="AH70" i="27"/>
  <c r="W70" i="27"/>
  <c r="AI68" i="27"/>
  <c r="AJ68" i="27" s="1"/>
  <c r="AH68" i="27"/>
  <c r="W68" i="27"/>
  <c r="AI67" i="27"/>
  <c r="AJ67" i="27" s="1"/>
  <c r="AH67" i="27"/>
  <c r="W67" i="27"/>
  <c r="AI66" i="27"/>
  <c r="AJ66" i="27" s="1"/>
  <c r="AH66" i="27"/>
  <c r="W66" i="27"/>
  <c r="AI65" i="27"/>
  <c r="AJ65" i="27" s="1"/>
  <c r="AH65" i="27"/>
  <c r="W65" i="27"/>
  <c r="AI64" i="27"/>
  <c r="AJ64" i="27" s="1"/>
  <c r="AH64" i="27"/>
  <c r="W64" i="27"/>
  <c r="AI61" i="27"/>
  <c r="AJ61" i="27" s="1"/>
  <c r="AH61" i="27"/>
  <c r="W61" i="27"/>
  <c r="W59" i="27"/>
  <c r="W58" i="27"/>
  <c r="W57" i="27"/>
  <c r="W56" i="27"/>
  <c r="W55" i="27"/>
  <c r="W54" i="27"/>
  <c r="W52" i="27"/>
  <c r="W50" i="27"/>
  <c r="W49" i="27"/>
  <c r="W48" i="27"/>
  <c r="W47" i="27"/>
  <c r="W46" i="27"/>
  <c r="W45" i="27"/>
  <c r="W44" i="27"/>
  <c r="W43" i="27"/>
  <c r="W42" i="27"/>
  <c r="W41" i="27"/>
  <c r="W40" i="27"/>
  <c r="W39" i="27"/>
  <c r="W38" i="27"/>
  <c r="W37" i="27"/>
  <c r="W36" i="27"/>
  <c r="W35" i="27"/>
  <c r="W34" i="27"/>
  <c r="W33" i="27"/>
  <c r="W32" i="27"/>
  <c r="W30" i="27"/>
  <c r="W29" i="27"/>
  <c r="W27" i="27"/>
  <c r="W26" i="27"/>
  <c r="W25" i="27"/>
  <c r="W24" i="27"/>
  <c r="W23" i="27"/>
  <c r="W22" i="27"/>
  <c r="W21" i="27"/>
  <c r="W20" i="27"/>
  <c r="W18" i="27"/>
  <c r="W17" i="27"/>
  <c r="W15" i="27"/>
  <c r="W14" i="27"/>
  <c r="W13" i="27"/>
  <c r="W12" i="27"/>
  <c r="W11" i="27"/>
  <c r="W10" i="27"/>
  <c r="W9" i="27"/>
  <c r="AL38" i="26"/>
  <c r="AL36" i="26"/>
  <c r="AL35" i="26"/>
  <c r="AL33" i="26"/>
  <c r="AL32" i="26"/>
  <c r="AL31" i="26"/>
  <c r="AL30" i="26"/>
  <c r="AL29" i="26"/>
  <c r="AL27" i="26"/>
  <c r="AL26" i="26"/>
  <c r="AL25" i="26"/>
  <c r="AL24" i="26"/>
  <c r="AL23" i="26"/>
  <c r="AL22" i="26"/>
  <c r="AL21" i="26"/>
  <c r="AL19" i="26"/>
  <c r="AL16" i="26"/>
  <c r="AL14" i="26"/>
  <c r="AL13" i="26"/>
  <c r="AL12" i="26"/>
  <c r="AL9" i="26"/>
  <c r="AO2" i="26"/>
  <c r="AJ2" i="26"/>
  <c r="C2" i="26"/>
  <c r="AH72" i="24"/>
  <c r="AG72" i="24" s="1"/>
  <c r="AJ2" i="24"/>
  <c r="C2" i="24"/>
  <c r="M1" i="24" s="1"/>
  <c r="AF9" i="24"/>
  <c r="AH21" i="23"/>
  <c r="AG21" i="23" s="1"/>
  <c r="AJ2" i="23"/>
  <c r="C2" i="23"/>
  <c r="AJ2" i="21"/>
  <c r="AL73" i="22"/>
  <c r="AL72" i="22"/>
  <c r="AL71" i="22"/>
  <c r="AL69" i="22"/>
  <c r="AL68" i="22"/>
  <c r="AL66" i="22"/>
  <c r="AL65" i="22"/>
  <c r="AL64" i="22"/>
  <c r="R62" i="22"/>
  <c r="R61" i="22"/>
  <c r="R60" i="22"/>
  <c r="R59" i="22"/>
  <c r="R58" i="22"/>
  <c r="R57" i="22"/>
  <c r="R56" i="22"/>
  <c r="R55" i="22"/>
  <c r="R54" i="22"/>
  <c r="R53" i="22"/>
  <c r="R52" i="22"/>
  <c r="R51" i="22"/>
  <c r="R49" i="22"/>
  <c r="R48" i="22"/>
  <c r="R47" i="22"/>
  <c r="R46" i="22"/>
  <c r="R45" i="22"/>
  <c r="R44" i="22"/>
  <c r="R43" i="22"/>
  <c r="R42" i="22"/>
  <c r="R41" i="22"/>
  <c r="R40" i="22"/>
  <c r="R39" i="22"/>
  <c r="R38" i="22"/>
  <c r="R37" i="22"/>
  <c r="R36" i="22"/>
  <c r="R35" i="22"/>
  <c r="R34" i="22"/>
  <c r="R33" i="22"/>
  <c r="R32" i="22"/>
  <c r="R31" i="22"/>
  <c r="R30" i="22"/>
  <c r="R29" i="22"/>
  <c r="AL28" i="22"/>
  <c r="R26" i="22"/>
  <c r="R25" i="22"/>
  <c r="R24" i="22"/>
  <c r="R23" i="22"/>
  <c r="R22" i="22"/>
  <c r="R21" i="22"/>
  <c r="R19" i="22"/>
  <c r="R18" i="22"/>
  <c r="R17" i="22"/>
  <c r="R16" i="22"/>
  <c r="R15" i="22"/>
  <c r="R14" i="22"/>
  <c r="R12" i="22"/>
  <c r="R11" i="22"/>
  <c r="R10" i="22"/>
  <c r="C2" i="22"/>
  <c r="Q50" i="22" s="1"/>
  <c r="AF78" i="22"/>
  <c r="AG2" i="16"/>
  <c r="C2" i="16"/>
  <c r="R30" i="31"/>
  <c r="U30" i="31" s="1"/>
  <c r="R29" i="31"/>
  <c r="U29" i="31" s="1"/>
  <c r="R23" i="31"/>
  <c r="U23" i="31" s="1"/>
  <c r="R19" i="31"/>
  <c r="U19" i="31" s="1"/>
  <c r="AM9" i="31"/>
  <c r="AP2" i="31"/>
  <c r="N2" i="1"/>
  <c r="N1" i="1"/>
  <c r="AH35" i="21"/>
  <c r="AG35" i="21" s="1"/>
  <c r="AH49" i="21"/>
  <c r="AG49" i="21" s="1"/>
  <c r="AH45" i="21"/>
  <c r="AG45" i="21" s="1"/>
  <c r="AL9" i="22" l="1"/>
  <c r="X9" i="22"/>
  <c r="U9" i="22" s="1"/>
  <c r="AL18" i="22"/>
  <c r="X18" i="22"/>
  <c r="AL36" i="22"/>
  <c r="X36" i="22"/>
  <c r="AL44" i="22"/>
  <c r="X44" i="22"/>
  <c r="AL53" i="22"/>
  <c r="X53" i="22"/>
  <c r="AL61" i="22"/>
  <c r="X61" i="22"/>
  <c r="AL19" i="22"/>
  <c r="X19" i="22"/>
  <c r="AL11" i="22"/>
  <c r="X11" i="22"/>
  <c r="AL21" i="22"/>
  <c r="X21" i="22"/>
  <c r="AL30" i="22"/>
  <c r="X30" i="22"/>
  <c r="AL38" i="22"/>
  <c r="X38" i="22"/>
  <c r="AL46" i="22"/>
  <c r="X46" i="22"/>
  <c r="AL55" i="22"/>
  <c r="X55" i="22"/>
  <c r="AL52" i="22"/>
  <c r="X52" i="22"/>
  <c r="AL12" i="22"/>
  <c r="X12" i="22"/>
  <c r="AL22" i="22"/>
  <c r="X22" i="22"/>
  <c r="AL31" i="22"/>
  <c r="X31" i="22"/>
  <c r="AL39" i="22"/>
  <c r="X39" i="22"/>
  <c r="AL47" i="22"/>
  <c r="X47" i="22"/>
  <c r="AL56" i="22"/>
  <c r="X56" i="22"/>
  <c r="AL62" i="22"/>
  <c r="X62" i="22"/>
  <c r="AL14" i="22"/>
  <c r="X14" i="22"/>
  <c r="AL23" i="22"/>
  <c r="X23" i="22"/>
  <c r="AL32" i="22"/>
  <c r="X32" i="22"/>
  <c r="AL40" i="22"/>
  <c r="X40" i="22"/>
  <c r="AL48" i="22"/>
  <c r="X48" i="22"/>
  <c r="AL57" i="22"/>
  <c r="X57" i="22"/>
  <c r="AL17" i="22"/>
  <c r="X17" i="22"/>
  <c r="AL35" i="22"/>
  <c r="X35" i="22"/>
  <c r="AL60" i="22"/>
  <c r="X60" i="22"/>
  <c r="AL10" i="22"/>
  <c r="X10" i="22"/>
  <c r="AL24" i="22"/>
  <c r="X24" i="22"/>
  <c r="AL41" i="22"/>
  <c r="X41" i="22"/>
  <c r="AL49" i="22"/>
  <c r="X49" i="22"/>
  <c r="AL58" i="22"/>
  <c r="X58" i="22"/>
  <c r="AL26" i="22"/>
  <c r="X26" i="22"/>
  <c r="AL43" i="22"/>
  <c r="X43" i="22"/>
  <c r="AL29" i="22"/>
  <c r="X29" i="22"/>
  <c r="AL37" i="22"/>
  <c r="X37" i="22"/>
  <c r="AL45" i="22"/>
  <c r="X45" i="22"/>
  <c r="AL54" i="22"/>
  <c r="X54" i="22"/>
  <c r="AL15" i="22"/>
  <c r="X15" i="22"/>
  <c r="AL33" i="22"/>
  <c r="X33" i="22"/>
  <c r="AL16" i="22"/>
  <c r="X16" i="22"/>
  <c r="AL25" i="22"/>
  <c r="X25" i="22"/>
  <c r="AL34" i="22"/>
  <c r="X34" i="22"/>
  <c r="AL42" i="22"/>
  <c r="X42" i="22"/>
  <c r="AL51" i="22"/>
  <c r="X51" i="22"/>
  <c r="U51" i="22" s="1"/>
  <c r="AL59" i="22"/>
  <c r="X59" i="22"/>
  <c r="M1" i="23"/>
  <c r="Q49" i="23"/>
  <c r="Q28" i="26"/>
  <c r="Q37" i="26"/>
  <c r="M1" i="26"/>
  <c r="Q17" i="26"/>
  <c r="Q13" i="31"/>
  <c r="Q18" i="31"/>
  <c r="Q78" i="22"/>
  <c r="I3" i="31"/>
  <c r="Q60" i="21"/>
  <c r="Q59" i="21"/>
  <c r="Q58" i="21"/>
  <c r="Q57" i="21"/>
  <c r="X93" i="25"/>
  <c r="AM30" i="31"/>
  <c r="AM24" i="31"/>
  <c r="AM23" i="31"/>
  <c r="AM19" i="31"/>
  <c r="AM29" i="31"/>
  <c r="AM15" i="31"/>
  <c r="Q31" i="31"/>
  <c r="BE76" i="22"/>
  <c r="BE78" i="22"/>
  <c r="AT31" i="31"/>
  <c r="AF31" i="31" s="1"/>
  <c r="M1" i="31"/>
  <c r="M1" i="16"/>
  <c r="AH48" i="21"/>
  <c r="AG48" i="21" s="1"/>
  <c r="AF59" i="23"/>
  <c r="AF32" i="23"/>
  <c r="AH2" i="26"/>
  <c r="AI2" i="26"/>
  <c r="AT32" i="31"/>
  <c r="AF32" i="31" s="1"/>
  <c r="W62" i="20"/>
  <c r="AF75" i="23"/>
  <c r="AF90" i="23"/>
  <c r="AF41" i="23"/>
  <c r="AF64" i="23"/>
  <c r="AF55" i="23"/>
  <c r="AF21" i="23"/>
  <c r="AF63" i="23"/>
  <c r="M1" i="27"/>
  <c r="AH32" i="21"/>
  <c r="AG32" i="21" s="1"/>
  <c r="AH24" i="21"/>
  <c r="AG24" i="21" s="1"/>
  <c r="AH43" i="21"/>
  <c r="AG43" i="21" s="1"/>
  <c r="AH9" i="21"/>
  <c r="AG9" i="21" s="1"/>
  <c r="C103" i="27"/>
  <c r="Q130" i="27"/>
  <c r="AK65" i="27"/>
  <c r="C108" i="27"/>
  <c r="M1" i="25"/>
  <c r="AI15" i="31"/>
  <c r="M1" i="21"/>
  <c r="M1" i="22"/>
  <c r="W23" i="16"/>
  <c r="W24" i="16"/>
  <c r="W119" i="20"/>
  <c r="W91" i="20"/>
  <c r="W87" i="20"/>
  <c r="W10" i="20"/>
  <c r="W88" i="20"/>
  <c r="W42" i="20"/>
  <c r="AF61" i="24"/>
  <c r="AF39" i="24"/>
  <c r="AK132" i="27"/>
  <c r="AK106" i="27"/>
  <c r="AK134" i="27"/>
  <c r="AK90" i="27"/>
  <c r="AK123" i="27"/>
  <c r="AK2" i="26"/>
  <c r="AF44" i="24"/>
  <c r="AF15" i="24"/>
  <c r="AF65" i="24"/>
  <c r="W20" i="16"/>
  <c r="W36" i="16"/>
  <c r="W34" i="16"/>
  <c r="AF63" i="24"/>
  <c r="AF19" i="24"/>
  <c r="W21" i="16"/>
  <c r="AF72" i="24"/>
  <c r="AK109" i="27"/>
  <c r="C64" i="27"/>
  <c r="C123" i="27"/>
  <c r="AK103" i="27"/>
  <c r="AK84" i="27"/>
  <c r="AK63" i="27"/>
  <c r="AK83" i="27"/>
  <c r="C122" i="27"/>
  <c r="AK111" i="27"/>
  <c r="AK133" i="27"/>
  <c r="W98" i="20"/>
  <c r="W47" i="20"/>
  <c r="W26" i="20"/>
  <c r="W34" i="20"/>
  <c r="W85" i="20"/>
  <c r="AF24" i="26"/>
  <c r="AF30" i="26"/>
  <c r="W18" i="20"/>
  <c r="W84" i="20"/>
  <c r="W95" i="20"/>
  <c r="W71" i="20"/>
  <c r="W83" i="20"/>
  <c r="W101" i="20"/>
  <c r="W135" i="20"/>
  <c r="W115" i="20"/>
  <c r="W132" i="20"/>
  <c r="AF13" i="26"/>
  <c r="AF12" i="26"/>
  <c r="W13" i="20"/>
  <c r="W14" i="20"/>
  <c r="W19" i="20"/>
  <c r="W30" i="20"/>
  <c r="W31" i="20"/>
  <c r="W44" i="20"/>
  <c r="W70" i="20"/>
  <c r="AF19" i="26"/>
  <c r="AF33" i="26"/>
  <c r="AF40" i="26"/>
  <c r="AF14" i="26"/>
  <c r="AF27" i="26"/>
  <c r="AF32" i="26"/>
  <c r="AF26" i="26"/>
  <c r="AF9" i="26"/>
  <c r="AF21" i="26"/>
  <c r="AF11" i="26"/>
  <c r="AF38" i="26"/>
  <c r="AF29" i="26"/>
  <c r="AF35" i="26"/>
  <c r="AF25" i="26"/>
  <c r="AF31" i="26"/>
  <c r="AF23" i="26"/>
  <c r="AF36" i="26"/>
  <c r="AF22" i="26"/>
  <c r="AF16" i="26"/>
  <c r="AF15" i="26"/>
  <c r="AK104" i="27"/>
  <c r="AK76" i="27"/>
  <c r="AK71" i="27"/>
  <c r="AK85" i="27"/>
  <c r="AK128" i="27"/>
  <c r="AK64" i="27"/>
  <c r="C93" i="27"/>
  <c r="AK136" i="27"/>
  <c r="C120" i="27"/>
  <c r="AK140" i="27"/>
  <c r="AK68" i="27"/>
  <c r="AK112" i="27"/>
  <c r="AK91" i="27"/>
  <c r="C110" i="27"/>
  <c r="AK81" i="27"/>
  <c r="C67" i="27"/>
  <c r="AK80" i="27"/>
  <c r="AK119" i="27"/>
  <c r="C91" i="27"/>
  <c r="AK77" i="27"/>
  <c r="AK61" i="27"/>
  <c r="AK131" i="27"/>
  <c r="AK116" i="27"/>
  <c r="AK75" i="27"/>
  <c r="AK138" i="27"/>
  <c r="C119" i="27"/>
  <c r="C115" i="27"/>
  <c r="AK70" i="27"/>
  <c r="C111" i="27"/>
  <c r="AK102" i="27"/>
  <c r="AK92" i="27"/>
  <c r="AK82" i="27"/>
  <c r="AK129" i="27"/>
  <c r="AK95" i="27"/>
  <c r="AK108" i="27"/>
  <c r="AK62" i="27"/>
  <c r="C129" i="27"/>
  <c r="AK73" i="27"/>
  <c r="C106" i="27"/>
  <c r="C121" i="27"/>
  <c r="AK139" i="27"/>
  <c r="C114" i="27"/>
  <c r="C118" i="27"/>
  <c r="AK100" i="27"/>
  <c r="AK74" i="27"/>
  <c r="AK107" i="27"/>
  <c r="C62" i="27"/>
  <c r="AK120" i="27"/>
  <c r="C99" i="27"/>
  <c r="C95" i="27"/>
  <c r="C89" i="27"/>
  <c r="AK67" i="27"/>
  <c r="C97" i="27"/>
  <c r="C116" i="27"/>
  <c r="C126" i="27"/>
  <c r="AK118" i="27"/>
  <c r="AK124" i="27"/>
  <c r="AK66" i="27"/>
  <c r="AK98" i="27"/>
  <c r="AK86" i="27"/>
  <c r="AK121" i="27"/>
  <c r="AK137" i="27"/>
  <c r="AK141" i="27"/>
  <c r="AK97" i="27"/>
  <c r="C112" i="27"/>
  <c r="AK113" i="27"/>
  <c r="C66" i="27"/>
  <c r="C113" i="27"/>
  <c r="C131" i="27"/>
  <c r="AK99" i="27"/>
  <c r="C109" i="27"/>
  <c r="AK94" i="27"/>
  <c r="AK78" i="27"/>
  <c r="AK142" i="27"/>
  <c r="AK115" i="27"/>
  <c r="AK79" i="27"/>
  <c r="C117" i="27"/>
  <c r="C61" i="27"/>
  <c r="AK117" i="27"/>
  <c r="C128" i="27"/>
  <c r="C71" i="27"/>
  <c r="C107" i="27"/>
  <c r="AK126" i="27"/>
  <c r="C68" i="27"/>
  <c r="AK93" i="27"/>
  <c r="AK96" i="27"/>
  <c r="AK88" i="27"/>
  <c r="AK87" i="27"/>
  <c r="C70" i="27"/>
  <c r="AK89" i="27"/>
  <c r="C133" i="27"/>
  <c r="AK114" i="27"/>
  <c r="AK122" i="27"/>
  <c r="C101" i="27"/>
  <c r="C65" i="27"/>
  <c r="AK101" i="27"/>
  <c r="AK110" i="27"/>
  <c r="AM53" i="22"/>
  <c r="AM26" i="22"/>
  <c r="AM12" i="22"/>
  <c r="AM60" i="22"/>
  <c r="AM15" i="22"/>
  <c r="AH67" i="24"/>
  <c r="AG67" i="24" s="1"/>
  <c r="AM34" i="22"/>
  <c r="AM54" i="22"/>
  <c r="AM72" i="22"/>
  <c r="AM37" i="22"/>
  <c r="AM33" i="22"/>
  <c r="AM35" i="22"/>
  <c r="AM71" i="22"/>
  <c r="AM62" i="22"/>
  <c r="AM31" i="22"/>
  <c r="AM14" i="22"/>
  <c r="AM41" i="22"/>
  <c r="AM49" i="22"/>
  <c r="AM42" i="22"/>
  <c r="AM10" i="22"/>
  <c r="AM76" i="22"/>
  <c r="AM19" i="22"/>
  <c r="AM69" i="22"/>
  <c r="AM46" i="22"/>
  <c r="AM23" i="22"/>
  <c r="AM22" i="22"/>
  <c r="AM48" i="22"/>
  <c r="AM58" i="22"/>
  <c r="AM51" i="22"/>
  <c r="AM18" i="22"/>
  <c r="AM44" i="22"/>
  <c r="AM64" i="22"/>
  <c r="AM32" i="22"/>
  <c r="AM39" i="22"/>
  <c r="AM57" i="22"/>
  <c r="AM59" i="22"/>
  <c r="AM28" i="22"/>
  <c r="AM61" i="22"/>
  <c r="AM21" i="22"/>
  <c r="AM40" i="22"/>
  <c r="AM55" i="22"/>
  <c r="AM65" i="22"/>
  <c r="AM74" i="22"/>
  <c r="AM24" i="22"/>
  <c r="AM66" i="22"/>
  <c r="AM36" i="22"/>
  <c r="AM30" i="22"/>
  <c r="AM47" i="22"/>
  <c r="AM73" i="22"/>
  <c r="AM16" i="22"/>
  <c r="AM9" i="22"/>
  <c r="AM75" i="22"/>
  <c r="AM11" i="22"/>
  <c r="AM43" i="22"/>
  <c r="AM38" i="22"/>
  <c r="AM29" i="22"/>
  <c r="AM56" i="22"/>
  <c r="AM25" i="22"/>
  <c r="AM17" i="22"/>
  <c r="AM68" i="22"/>
  <c r="AM52" i="22"/>
  <c r="AM45" i="22"/>
  <c r="AF30" i="23"/>
  <c r="AF93" i="23"/>
  <c r="AF46" i="23"/>
  <c r="AF26" i="23"/>
  <c r="AF85" i="23"/>
  <c r="AF53" i="23"/>
  <c r="AF65" i="23"/>
  <c r="AF45" i="23"/>
  <c r="AF86" i="23"/>
  <c r="AF54" i="23"/>
  <c r="AF37" i="23"/>
  <c r="AF14" i="23"/>
  <c r="AF98" i="23"/>
  <c r="AF35" i="23"/>
  <c r="AF10" i="23"/>
  <c r="AF94" i="23"/>
  <c r="AF68" i="23"/>
  <c r="AF43" i="23"/>
  <c r="AF22" i="23"/>
  <c r="AF51" i="23"/>
  <c r="AF34" i="23"/>
  <c r="AF58" i="23"/>
  <c r="AF17" i="23"/>
  <c r="AF82" i="23"/>
  <c r="AF13" i="23"/>
  <c r="AF74" i="23"/>
  <c r="AF48" i="23"/>
  <c r="AF25" i="23"/>
  <c r="AF81" i="23"/>
  <c r="AF40" i="23"/>
  <c r="AF18" i="23"/>
  <c r="AF50" i="23"/>
  <c r="AF99" i="23"/>
  <c r="AF28" i="23"/>
  <c r="AF89" i="23"/>
  <c r="AF44" i="23"/>
  <c r="AF24" i="23"/>
  <c r="AF71" i="23"/>
  <c r="AF47" i="23"/>
  <c r="AF100" i="23"/>
  <c r="AF73" i="23"/>
  <c r="AF12" i="23"/>
  <c r="AF96" i="23"/>
  <c r="AF70" i="23"/>
  <c r="AF27" i="23"/>
  <c r="AF9" i="23"/>
  <c r="AF83" i="23"/>
  <c r="AF36" i="23"/>
  <c r="AF103" i="23"/>
  <c r="AF16" i="23"/>
  <c r="AF101" i="23"/>
  <c r="AF15" i="23"/>
  <c r="AF80" i="23"/>
  <c r="AF11" i="23"/>
  <c r="AF76" i="23"/>
  <c r="AF92" i="23"/>
  <c r="AF66" i="23"/>
  <c r="AF42" i="23"/>
  <c r="AF20" i="23"/>
  <c r="AF104" i="23"/>
  <c r="AF79" i="23"/>
  <c r="AF102" i="23"/>
  <c r="AF84" i="23"/>
  <c r="AF61" i="23"/>
  <c r="AF57" i="23"/>
  <c r="AF39" i="23"/>
  <c r="AF72" i="23"/>
  <c r="AF23" i="23"/>
  <c r="AF77" i="23"/>
  <c r="AF88" i="23"/>
  <c r="AF62" i="23"/>
  <c r="AF19" i="23"/>
  <c r="AH58" i="23"/>
  <c r="AG58" i="23" s="1"/>
  <c r="AH34" i="23"/>
  <c r="AG34" i="23" s="1"/>
  <c r="AH55" i="23"/>
  <c r="AG55" i="23" s="1"/>
  <c r="AH26" i="23"/>
  <c r="AG26" i="23" s="1"/>
  <c r="AH100" i="23"/>
  <c r="AG100" i="23" s="1"/>
  <c r="AH54" i="23"/>
  <c r="AG54" i="23" s="1"/>
  <c r="AH10" i="23"/>
  <c r="AG10" i="23" s="1"/>
  <c r="AH53" i="23"/>
  <c r="AG53" i="23" s="1"/>
  <c r="AH18" i="23"/>
  <c r="AG18" i="23" s="1"/>
  <c r="AH80" i="23"/>
  <c r="AG80" i="23" s="1"/>
  <c r="AH102" i="23"/>
  <c r="AG102" i="23" s="1"/>
  <c r="AH40" i="23"/>
  <c r="AG40" i="23" s="1"/>
  <c r="AH89" i="23"/>
  <c r="AG89" i="23" s="1"/>
  <c r="AH48" i="23"/>
  <c r="AG48" i="23" s="1"/>
  <c r="AH50" i="23"/>
  <c r="AG50" i="23" s="1"/>
  <c r="AH57" i="23"/>
  <c r="AG57" i="23" s="1"/>
  <c r="AH14" i="23"/>
  <c r="AG14" i="23" s="1"/>
  <c r="AH104" i="23"/>
  <c r="AG104" i="23" s="1"/>
  <c r="AH92" i="23"/>
  <c r="AG92" i="23" s="1"/>
  <c r="AH35" i="23"/>
  <c r="AG35" i="23" s="1"/>
  <c r="AH44" i="23"/>
  <c r="AG44" i="23" s="1"/>
  <c r="AH32" i="23"/>
  <c r="AG32" i="23" s="1"/>
  <c r="AH43" i="23"/>
  <c r="AG43" i="23" s="1"/>
  <c r="AH103" i="23"/>
  <c r="AG103" i="23" s="1"/>
  <c r="AH94" i="23"/>
  <c r="AG94" i="23" s="1"/>
  <c r="AH47" i="23"/>
  <c r="AG47" i="23" s="1"/>
  <c r="AH82" i="23"/>
  <c r="AG82" i="23" s="1"/>
  <c r="AH24" i="23"/>
  <c r="AG24" i="23" s="1"/>
  <c r="AH99" i="23"/>
  <c r="AG99" i="23" s="1"/>
  <c r="AH83" i="23"/>
  <c r="AG83" i="23" s="1"/>
  <c r="AH98" i="23"/>
  <c r="AG98" i="23" s="1"/>
  <c r="AH37" i="23"/>
  <c r="AG37" i="23" s="1"/>
  <c r="AH93" i="23"/>
  <c r="AG93" i="23" s="1"/>
  <c r="AH96" i="23"/>
  <c r="AG96" i="23" s="1"/>
  <c r="AH71" i="23"/>
  <c r="AG71" i="23" s="1"/>
  <c r="AH84" i="23"/>
  <c r="AG84" i="23" s="1"/>
  <c r="AH17" i="23"/>
  <c r="AG17" i="23" s="1"/>
  <c r="AH16" i="23"/>
  <c r="AG16" i="23" s="1"/>
  <c r="AH88" i="23"/>
  <c r="AG88" i="23" s="1"/>
  <c r="AH30" i="23"/>
  <c r="AG30" i="23" s="1"/>
  <c r="AH61" i="23"/>
  <c r="AG61" i="23" s="1"/>
  <c r="AH86" i="23"/>
  <c r="AG86" i="23" s="1"/>
  <c r="AH28" i="23"/>
  <c r="AG28" i="23" s="1"/>
  <c r="AH85" i="23"/>
  <c r="AG85" i="23" s="1"/>
  <c r="AH27" i="23"/>
  <c r="AG27" i="23" s="1"/>
  <c r="AH41" i="23"/>
  <c r="AG41" i="23" s="1"/>
  <c r="AH75" i="23"/>
  <c r="AG75" i="23" s="1"/>
  <c r="AH70" i="23"/>
  <c r="AG70" i="23" s="1"/>
  <c r="AH9" i="23"/>
  <c r="AG9" i="23" s="1"/>
  <c r="AH81" i="23"/>
  <c r="AG81" i="23" s="1"/>
  <c r="AH74" i="23"/>
  <c r="AG74" i="23" s="1"/>
  <c r="AH13" i="23"/>
  <c r="AG13" i="23" s="1"/>
  <c r="AH101" i="23"/>
  <c r="AG101" i="23" s="1"/>
  <c r="AH73" i="23"/>
  <c r="AG73" i="23" s="1"/>
  <c r="AH12" i="23"/>
  <c r="AG12" i="23" s="1"/>
  <c r="AH90" i="23"/>
  <c r="AG90" i="23" s="1"/>
  <c r="AH72" i="23"/>
  <c r="AG72" i="23" s="1"/>
  <c r="AH11" i="23"/>
  <c r="AG11" i="23" s="1"/>
  <c r="AH68" i="23"/>
  <c r="AG68" i="23" s="1"/>
  <c r="AH62" i="23"/>
  <c r="AG62" i="23" s="1"/>
  <c r="AH66" i="23"/>
  <c r="AG66" i="23" s="1"/>
  <c r="AH51" i="23"/>
  <c r="AG51" i="23" s="1"/>
  <c r="AH39" i="23"/>
  <c r="AG39" i="23" s="1"/>
  <c r="AH45" i="23"/>
  <c r="AG45" i="23" s="1"/>
  <c r="AH23" i="23"/>
  <c r="AG23" i="23" s="1"/>
  <c r="AH59" i="23"/>
  <c r="AG59" i="23" s="1"/>
  <c r="AH46" i="23"/>
  <c r="AG46" i="23" s="1"/>
  <c r="AH79" i="23"/>
  <c r="AG79" i="23" s="1"/>
  <c r="AH77" i="23"/>
  <c r="AG77" i="23" s="1"/>
  <c r="AH76" i="23"/>
  <c r="AG76" i="23" s="1"/>
  <c r="AH65" i="23"/>
  <c r="AG65" i="23" s="1"/>
  <c r="AH64" i="23"/>
  <c r="AG64" i="23" s="1"/>
  <c r="AH63" i="23"/>
  <c r="AG63" i="23" s="1"/>
  <c r="AH42" i="23"/>
  <c r="AG42" i="23" s="1"/>
  <c r="AH22" i="23"/>
  <c r="AG22" i="23" s="1"/>
  <c r="AH15" i="23"/>
  <c r="AG15" i="23" s="1"/>
  <c r="AH19" i="23"/>
  <c r="AG19" i="23" s="1"/>
  <c r="AH25" i="23"/>
  <c r="AG25" i="23" s="1"/>
  <c r="AF43" i="21"/>
  <c r="AF17" i="21"/>
  <c r="AH20" i="23"/>
  <c r="AG20" i="23" s="1"/>
  <c r="AH36" i="23"/>
  <c r="AG36" i="23" s="1"/>
  <c r="W11" i="16"/>
  <c r="W18" i="16"/>
  <c r="W29" i="16"/>
  <c r="W27" i="16"/>
  <c r="W10" i="16"/>
  <c r="W38" i="16"/>
  <c r="W39" i="16"/>
  <c r="W14" i="16"/>
  <c r="W35" i="16"/>
  <c r="W30" i="16"/>
  <c r="W13" i="16"/>
  <c r="W22" i="16"/>
  <c r="W16" i="16"/>
  <c r="W28" i="16"/>
  <c r="W26" i="16"/>
  <c r="W25" i="16"/>
  <c r="W33" i="16"/>
  <c r="W31" i="16"/>
  <c r="W9" i="16"/>
  <c r="BE75" i="22"/>
  <c r="BE74" i="22"/>
  <c r="AH50" i="21"/>
  <c r="AG50" i="21" s="1"/>
  <c r="AH10" i="21"/>
  <c r="AG10" i="21" s="1"/>
  <c r="AH33" i="21"/>
  <c r="AG33" i="21" s="1"/>
  <c r="AH23" i="21"/>
  <c r="AG23" i="21" s="1"/>
  <c r="AH38" i="21"/>
  <c r="AG38" i="21" s="1"/>
  <c r="AH65" i="21"/>
  <c r="AG65" i="21" s="1"/>
  <c r="AH21" i="21"/>
  <c r="AG21" i="21" s="1"/>
  <c r="AH42" i="21"/>
  <c r="AG42" i="21" s="1"/>
  <c r="AH44" i="21"/>
  <c r="AG44" i="21" s="1"/>
  <c r="AH34" i="21"/>
  <c r="AG34" i="21" s="1"/>
  <c r="AH56" i="21"/>
  <c r="AG56" i="21" s="1"/>
  <c r="AH66" i="21"/>
  <c r="AG66" i="21" s="1"/>
  <c r="AH47" i="21"/>
  <c r="AG47" i="21" s="1"/>
  <c r="AH28" i="21"/>
  <c r="AG28" i="21" s="1"/>
  <c r="AH26" i="21"/>
  <c r="AG26" i="21" s="1"/>
  <c r="AH25" i="21"/>
  <c r="AG25" i="21" s="1"/>
  <c r="AH19" i="21"/>
  <c r="AG19" i="21" s="1"/>
  <c r="AH41" i="21"/>
  <c r="AG41" i="21" s="1"/>
  <c r="AH16" i="21"/>
  <c r="AG16" i="21" s="1"/>
  <c r="AH39" i="21"/>
  <c r="AG39" i="21" s="1"/>
  <c r="AH63" i="21"/>
  <c r="AG63" i="21" s="1"/>
  <c r="AH15" i="21"/>
  <c r="AG15" i="21" s="1"/>
  <c r="AH40" i="21"/>
  <c r="AG40" i="21" s="1"/>
  <c r="AH22" i="21"/>
  <c r="AG22" i="21" s="1"/>
  <c r="AH51" i="21"/>
  <c r="AG51" i="21" s="1"/>
  <c r="AH11" i="21"/>
  <c r="AG11" i="21" s="1"/>
  <c r="AH27" i="21"/>
  <c r="AG27" i="21" s="1"/>
  <c r="AH55" i="21"/>
  <c r="AG55" i="21" s="1"/>
  <c r="AH13" i="21"/>
  <c r="AG13" i="21" s="1"/>
  <c r="AH14" i="21"/>
  <c r="AG14" i="21" s="1"/>
  <c r="AH37" i="21"/>
  <c r="AG37" i="21" s="1"/>
  <c r="AH53" i="21"/>
  <c r="AG53" i="21" s="1"/>
  <c r="AH64" i="21"/>
  <c r="AG64" i="21" s="1"/>
  <c r="AH17" i="21"/>
  <c r="AG17" i="21" s="1"/>
  <c r="AH12" i="21"/>
  <c r="AG12" i="21" s="1"/>
  <c r="AH68" i="21"/>
  <c r="AG68" i="21" s="1"/>
  <c r="AH29" i="21"/>
  <c r="AG29" i="21" s="1"/>
  <c r="AH30" i="21"/>
  <c r="AG30" i="21" s="1"/>
  <c r="AM22" i="26"/>
  <c r="AM35" i="26"/>
  <c r="AM9" i="26"/>
  <c r="AM14" i="26"/>
  <c r="AM36" i="26"/>
  <c r="AM23" i="26"/>
  <c r="AM30" i="26"/>
  <c r="AM15" i="26"/>
  <c r="AM13" i="26"/>
  <c r="AM33" i="26"/>
  <c r="AM32" i="26"/>
  <c r="AM19" i="26"/>
  <c r="AM16" i="26"/>
  <c r="AM21" i="26"/>
  <c r="AM12" i="26"/>
  <c r="AE18" i="28"/>
  <c r="AE17" i="28"/>
  <c r="AN32" i="31"/>
  <c r="W103" i="20"/>
  <c r="W126" i="20"/>
  <c r="W35" i="20"/>
  <c r="W73" i="20"/>
  <c r="W124" i="20"/>
  <c r="W60" i="20"/>
  <c r="W59" i="20"/>
  <c r="W130" i="20"/>
  <c r="W15" i="20"/>
  <c r="W67" i="20"/>
  <c r="W106" i="20"/>
  <c r="W129" i="20"/>
  <c r="W65" i="20"/>
  <c r="W128" i="20"/>
  <c r="W64" i="20"/>
  <c r="W63" i="20"/>
  <c r="W118" i="20"/>
  <c r="W133" i="20"/>
  <c r="W116" i="20"/>
  <c r="W48" i="20"/>
  <c r="W114" i="20"/>
  <c r="W33" i="20"/>
  <c r="W39" i="20"/>
  <c r="W80" i="20"/>
  <c r="W121" i="20"/>
  <c r="W57" i="20"/>
  <c r="W120" i="20"/>
  <c r="W56" i="20"/>
  <c r="W53" i="20"/>
  <c r="W36" i="20"/>
  <c r="W110" i="20"/>
  <c r="W125" i="20"/>
  <c r="W61" i="20"/>
  <c r="W108" i="20"/>
  <c r="W49" i="20"/>
  <c r="W40" i="20"/>
  <c r="W90" i="20"/>
  <c r="W86" i="20"/>
  <c r="W16" i="20"/>
  <c r="W58" i="20"/>
  <c r="W113" i="20"/>
  <c r="W55" i="20"/>
  <c r="W112" i="20"/>
  <c r="W54" i="20"/>
  <c r="W20" i="20"/>
  <c r="W43" i="20"/>
  <c r="W102" i="20"/>
  <c r="W117" i="20"/>
  <c r="W100" i="20"/>
  <c r="W41" i="20"/>
  <c r="W123" i="20"/>
  <c r="W24" i="20"/>
  <c r="W76" i="20"/>
  <c r="W23" i="20"/>
  <c r="W105" i="20"/>
  <c r="W46" i="20"/>
  <c r="W104" i="20"/>
  <c r="W45" i="20"/>
  <c r="W27" i="20"/>
  <c r="W94" i="20"/>
  <c r="W109" i="20"/>
  <c r="W50" i="20"/>
  <c r="W92" i="20"/>
  <c r="W107" i="20"/>
  <c r="W9" i="20"/>
  <c r="W29" i="20"/>
  <c r="W131" i="20"/>
  <c r="W12" i="20"/>
  <c r="W127" i="20"/>
  <c r="W97" i="20"/>
  <c r="W38" i="20"/>
  <c r="W96" i="20"/>
  <c r="W37" i="20"/>
  <c r="W28" i="20"/>
  <c r="W75" i="20"/>
  <c r="W93" i="20"/>
  <c r="W72" i="20"/>
  <c r="W17" i="20"/>
  <c r="W82" i="20"/>
  <c r="W32" i="20"/>
  <c r="W11" i="20"/>
  <c r="W99" i="20"/>
  <c r="W122" i="20"/>
  <c r="W51" i="20"/>
  <c r="W79" i="20"/>
  <c r="W22" i="20"/>
  <c r="W77" i="20"/>
  <c r="W21" i="20"/>
  <c r="W111" i="20"/>
  <c r="AF45" i="24"/>
  <c r="AF12" i="24"/>
  <c r="AF62" i="24"/>
  <c r="AF29" i="24"/>
  <c r="AF71" i="24"/>
  <c r="AF49" i="24"/>
  <c r="AF50" i="24"/>
  <c r="AF17" i="24"/>
  <c r="AF76" i="24"/>
  <c r="AF37" i="24"/>
  <c r="AF55" i="24"/>
  <c r="AF13" i="24"/>
  <c r="AF18" i="24"/>
  <c r="AF68" i="24"/>
  <c r="AF20" i="24"/>
  <c r="AF27" i="24"/>
  <c r="AF77" i="24"/>
  <c r="AF60" i="24"/>
  <c r="AF48" i="24"/>
  <c r="AF69" i="24"/>
  <c r="AF34" i="24"/>
  <c r="AF26" i="24"/>
  <c r="AF36" i="24"/>
  <c r="AF25" i="24"/>
  <c r="AF28" i="24"/>
  <c r="AF35" i="24"/>
  <c r="AF59" i="24"/>
  <c r="AF11" i="24"/>
  <c r="AF16" i="24"/>
  <c r="AF53" i="24"/>
  <c r="AF42" i="24"/>
  <c r="AF43" i="24"/>
  <c r="AF47" i="24"/>
  <c r="AF75" i="24"/>
  <c r="AF41" i="24"/>
  <c r="AF24" i="24"/>
  <c r="AF70" i="24"/>
  <c r="AF66" i="24"/>
  <c r="AF64" i="24"/>
  <c r="AF52" i="24"/>
  <c r="AF22" i="24"/>
  <c r="AF57" i="24"/>
  <c r="AF74" i="24"/>
  <c r="AF46" i="24"/>
  <c r="AF23" i="24"/>
  <c r="AF40" i="24"/>
  <c r="AF33" i="24"/>
  <c r="AF30" i="24"/>
  <c r="AF14" i="24"/>
  <c r="AF54" i="24"/>
  <c r="AF51" i="24"/>
  <c r="AF31" i="24"/>
  <c r="AF67" i="24"/>
  <c r="AH43" i="24"/>
  <c r="AG43" i="24" s="1"/>
  <c r="AH47" i="24"/>
  <c r="AG47" i="24" s="1"/>
  <c r="AH75" i="24"/>
  <c r="AG75" i="24" s="1"/>
  <c r="AH68" i="24"/>
  <c r="AG68" i="24" s="1"/>
  <c r="AH55" i="24"/>
  <c r="AG55" i="24" s="1"/>
  <c r="AH9" i="24"/>
  <c r="AG9" i="24" s="1"/>
  <c r="AH15" i="24"/>
  <c r="AG15" i="24" s="1"/>
  <c r="AH57" i="24"/>
  <c r="AG57" i="24" s="1"/>
  <c r="AH30" i="24"/>
  <c r="AG30" i="24" s="1"/>
  <c r="AM11" i="26"/>
  <c r="AM26" i="26"/>
  <c r="AM25" i="26"/>
  <c r="AM38" i="26"/>
  <c r="AM29" i="26"/>
  <c r="AM24" i="26"/>
  <c r="AM27" i="26"/>
  <c r="AM31" i="26"/>
  <c r="AL15" i="31"/>
  <c r="AF37" i="21"/>
  <c r="AF23" i="21"/>
  <c r="AF38" i="21"/>
  <c r="AF10" i="21"/>
  <c r="AF29" i="21"/>
  <c r="AF15" i="21"/>
  <c r="AF64" i="21"/>
  <c r="AF53" i="21"/>
  <c r="AF30" i="21"/>
  <c r="AF42" i="21"/>
  <c r="AF14" i="21"/>
  <c r="AF66" i="21"/>
  <c r="AF22" i="21"/>
  <c r="AF48" i="21"/>
  <c r="AF47" i="21"/>
  <c r="AF35" i="21"/>
  <c r="AF40" i="21"/>
  <c r="AF11" i="21"/>
  <c r="AF68" i="21"/>
  <c r="AF41" i="21"/>
  <c r="AF28" i="21"/>
  <c r="AF49" i="21"/>
  <c r="AF26" i="21"/>
  <c r="AF32" i="21"/>
  <c r="AF16" i="21"/>
  <c r="AF51" i="21"/>
  <c r="AF63" i="21"/>
  <c r="AF21" i="21"/>
  <c r="AF24" i="21"/>
  <c r="AF44" i="21"/>
  <c r="AF45" i="21"/>
  <c r="AF27" i="21"/>
  <c r="AF9" i="21"/>
  <c r="AF34" i="21"/>
  <c r="AF55" i="21"/>
  <c r="AF39" i="21"/>
  <c r="AF13" i="21"/>
  <c r="AF65" i="21"/>
  <c r="AF19" i="21"/>
  <c r="AF25" i="21"/>
  <c r="AF50" i="21"/>
  <c r="AF12" i="21"/>
  <c r="AF33" i="21"/>
  <c r="AF56" i="21"/>
  <c r="AF24" i="22"/>
  <c r="AF71" i="22"/>
  <c r="AF75" i="22"/>
  <c r="AF23" i="22"/>
  <c r="AF21" i="22"/>
  <c r="AF44" i="22"/>
  <c r="AF36" i="22"/>
  <c r="AF58" i="22"/>
  <c r="AF55" i="22"/>
  <c r="AF76" i="22"/>
  <c r="AF12" i="22"/>
  <c r="AF68" i="22"/>
  <c r="AF11" i="22"/>
  <c r="AF66" i="22"/>
  <c r="AF37" i="22"/>
  <c r="AF18" i="22"/>
  <c r="AF28" i="22"/>
  <c r="AF49" i="22"/>
  <c r="AF17" i="22"/>
  <c r="AF16" i="22"/>
  <c r="AF22" i="22"/>
  <c r="AF73" i="22"/>
  <c r="AF29" i="22"/>
  <c r="AF9" i="22"/>
  <c r="AF74" i="22"/>
  <c r="AF62" i="22"/>
  <c r="AF10" i="22"/>
  <c r="AF59" i="22"/>
  <c r="AF34" i="22"/>
  <c r="AF72" i="22"/>
  <c r="AF39" i="22"/>
  <c r="AF56" i="22"/>
  <c r="AF54" i="22"/>
  <c r="AF51" i="22"/>
  <c r="AF64" i="22"/>
  <c r="AF25" i="22"/>
  <c r="AF46" i="22"/>
  <c r="AF47" i="22"/>
  <c r="AF45" i="22"/>
  <c r="AF69" i="22"/>
  <c r="AF60" i="22"/>
  <c r="AF42" i="22"/>
  <c r="AF48" i="22"/>
  <c r="AF40" i="22"/>
  <c r="AF38" i="22"/>
  <c r="AF15" i="22"/>
  <c r="AF61" i="22"/>
  <c r="AF52" i="22"/>
  <c r="AF35" i="22"/>
  <c r="AF31" i="22"/>
  <c r="AF43" i="22"/>
  <c r="AF19" i="22"/>
  <c r="AF32" i="22"/>
  <c r="AF26" i="22"/>
  <c r="AF30" i="22"/>
  <c r="AF14" i="22"/>
  <c r="AF41" i="22"/>
  <c r="AF57" i="22"/>
  <c r="AF53" i="22"/>
  <c r="AF33" i="22"/>
  <c r="AF65" i="22"/>
  <c r="AK15" i="31"/>
  <c r="V40" i="26"/>
  <c r="AK40" i="26" s="1"/>
  <c r="AH76" i="24"/>
  <c r="AG76" i="24" s="1"/>
  <c r="AH14" i="24"/>
  <c r="AG14" i="24" s="1"/>
  <c r="AH12" i="24"/>
  <c r="AG12" i="24" s="1"/>
  <c r="AH59" i="24"/>
  <c r="AG59" i="24" s="1"/>
  <c r="AH36" i="24"/>
  <c r="AG36" i="24" s="1"/>
  <c r="AH35" i="24"/>
  <c r="AG35" i="24" s="1"/>
  <c r="AH52" i="24"/>
  <c r="AG52" i="24" s="1"/>
  <c r="AH77" i="24"/>
  <c r="AG77" i="24" s="1"/>
  <c r="AH49" i="24"/>
  <c r="AG49" i="24" s="1"/>
  <c r="AH62" i="24"/>
  <c r="AG62" i="24" s="1"/>
  <c r="AH24" i="24"/>
  <c r="AG24" i="24" s="1"/>
  <c r="AH40" i="24"/>
  <c r="AG40" i="24" s="1"/>
  <c r="AH44" i="24"/>
  <c r="AG44" i="24" s="1"/>
  <c r="AH71" i="24"/>
  <c r="AG71" i="24" s="1"/>
  <c r="AH27" i="24"/>
  <c r="AG27" i="24" s="1"/>
  <c r="AH60" i="24"/>
  <c r="AG60" i="24" s="1"/>
  <c r="AH66" i="24"/>
  <c r="AG66" i="24" s="1"/>
  <c r="AH64" i="24"/>
  <c r="AG64" i="24" s="1"/>
  <c r="AH37" i="24"/>
  <c r="AG37" i="24" s="1"/>
  <c r="AH23" i="24"/>
  <c r="AG23" i="24" s="1"/>
  <c r="AH63" i="24"/>
  <c r="AG63" i="24" s="1"/>
  <c r="AH18" i="24"/>
  <c r="AG18" i="24" s="1"/>
  <c r="AH34" i="24"/>
  <c r="AG34" i="24" s="1"/>
  <c r="AH51" i="24"/>
  <c r="AG51" i="24" s="1"/>
  <c r="AH45" i="24"/>
  <c r="AG45" i="24" s="1"/>
  <c r="AH39" i="24"/>
  <c r="AG39" i="24" s="1"/>
  <c r="AH28" i="24"/>
  <c r="AG28" i="24" s="1"/>
  <c r="AH13" i="24"/>
  <c r="AG13" i="24" s="1"/>
  <c r="AH46" i="24"/>
  <c r="AG46" i="24" s="1"/>
  <c r="AH31" i="24"/>
  <c r="AG31" i="24" s="1"/>
  <c r="AH17" i="24"/>
  <c r="AG17" i="24" s="1"/>
  <c r="AH54" i="24"/>
  <c r="AG54" i="24" s="1"/>
  <c r="AH53" i="24"/>
  <c r="AG53" i="24" s="1"/>
  <c r="AH50" i="24"/>
  <c r="AG50" i="24" s="1"/>
  <c r="AH69" i="24"/>
  <c r="AG69" i="24" s="1"/>
  <c r="AH25" i="24"/>
  <c r="AG25" i="24" s="1"/>
  <c r="AH41" i="24"/>
  <c r="AG41" i="24" s="1"/>
  <c r="AH74" i="24"/>
  <c r="AG74" i="24" s="1"/>
  <c r="AH29" i="24"/>
  <c r="AG29" i="24" s="1"/>
  <c r="AH19" i="24"/>
  <c r="AG19" i="24" s="1"/>
  <c r="AH42" i="24"/>
  <c r="AG42" i="24" s="1"/>
  <c r="AH22" i="24"/>
  <c r="AG22" i="24" s="1"/>
  <c r="AH48" i="24"/>
  <c r="AG48" i="24" s="1"/>
  <c r="AH61" i="24"/>
  <c r="AG61" i="24" s="1"/>
  <c r="AH16" i="24"/>
  <c r="AG16" i="24" s="1"/>
  <c r="AH33" i="24"/>
  <c r="AG33" i="24" s="1"/>
  <c r="AH65" i="24"/>
  <c r="AG65" i="24" s="1"/>
  <c r="AH20" i="24"/>
  <c r="AG20" i="24" s="1"/>
  <c r="AH26" i="24"/>
  <c r="AG26" i="24" s="1"/>
  <c r="AH70" i="24"/>
  <c r="AG70" i="24" s="1"/>
  <c r="AH11" i="24"/>
  <c r="AG11" i="24" s="1"/>
  <c r="AH75" i="22"/>
  <c r="AH76" i="22"/>
  <c r="AH74" i="22"/>
  <c r="AI2" i="22"/>
  <c r="AH2" i="22"/>
  <c r="AM40" i="26"/>
  <c r="X40" i="26" s="1"/>
  <c r="I3" i="22" l="1"/>
  <c r="I2" i="22"/>
  <c r="AG16" i="26"/>
  <c r="X16" i="26"/>
  <c r="AG22" i="26"/>
  <c r="X22" i="26"/>
  <c r="AG19" i="26"/>
  <c r="Q19" i="26" s="1"/>
  <c r="X19" i="26"/>
  <c r="AG12" i="26"/>
  <c r="Q12" i="26" s="1"/>
  <c r="X12" i="26"/>
  <c r="AG21" i="26"/>
  <c r="Q21" i="26" s="1"/>
  <c r="X21" i="26"/>
  <c r="AG32" i="26"/>
  <c r="Q32" i="26" s="1"/>
  <c r="X32" i="26"/>
  <c r="AG33" i="26"/>
  <c r="Q33" i="26" s="1"/>
  <c r="X33" i="26"/>
  <c r="AG13" i="26"/>
  <c r="Q13" i="26" s="1"/>
  <c r="X13" i="26"/>
  <c r="AG26" i="26"/>
  <c r="Q26" i="26" s="1"/>
  <c r="X26" i="26"/>
  <c r="AG27" i="26"/>
  <c r="Q27" i="26" s="1"/>
  <c r="X27" i="26"/>
  <c r="AG15" i="26"/>
  <c r="Q15" i="26" s="1"/>
  <c r="X15" i="26"/>
  <c r="AG24" i="26"/>
  <c r="Q24" i="26" s="1"/>
  <c r="X24" i="26"/>
  <c r="AG29" i="26"/>
  <c r="X29" i="26"/>
  <c r="U29" i="26" s="1"/>
  <c r="AG23" i="26"/>
  <c r="Q23" i="26" s="1"/>
  <c r="X23" i="26"/>
  <c r="AG36" i="26"/>
  <c r="Q36" i="26" s="1"/>
  <c r="X36" i="26"/>
  <c r="AG38" i="26"/>
  <c r="Q38" i="26" s="1"/>
  <c r="X38" i="26"/>
  <c r="U38" i="26" s="1"/>
  <c r="AG25" i="26"/>
  <c r="Q25" i="26" s="1"/>
  <c r="X25" i="26"/>
  <c r="AG14" i="26"/>
  <c r="Q14" i="26" s="1"/>
  <c r="X14" i="26"/>
  <c r="Q22" i="16"/>
  <c r="Q27" i="16"/>
  <c r="Q29" i="16"/>
  <c r="Q24" i="16"/>
  <c r="Q33" i="16"/>
  <c r="Q21" i="16"/>
  <c r="Q25" i="16"/>
  <c r="Q28" i="16"/>
  <c r="Q38" i="16"/>
  <c r="Q34" i="16"/>
  <c r="AG9" i="26"/>
  <c r="Q9" i="26" s="1"/>
  <c r="X9" i="26"/>
  <c r="AG11" i="26"/>
  <c r="Q11" i="26" s="1"/>
  <c r="X11" i="26"/>
  <c r="AG30" i="26"/>
  <c r="Q30" i="26" s="1"/>
  <c r="X30" i="26"/>
  <c r="AG31" i="26"/>
  <c r="Q31" i="26" s="1"/>
  <c r="X31" i="26"/>
  <c r="AG35" i="26"/>
  <c r="Q35" i="26" s="1"/>
  <c r="X35" i="26"/>
  <c r="Q15" i="28"/>
  <c r="AE15" i="28"/>
  <c r="AE10" i="28"/>
  <c r="Q16" i="28"/>
  <c r="AE16" i="28"/>
  <c r="AE13" i="28"/>
  <c r="AE12" i="28"/>
  <c r="AE19" i="28"/>
  <c r="AE22" i="28"/>
  <c r="AE9" i="28"/>
  <c r="AE14" i="28"/>
  <c r="AE20" i="28"/>
  <c r="AE21" i="28"/>
  <c r="Q11" i="28"/>
  <c r="AE11" i="28"/>
  <c r="I2" i="31"/>
  <c r="AN117" i="27"/>
  <c r="AQ110" i="27"/>
  <c r="AQ91" i="27"/>
  <c r="AQ129" i="27"/>
  <c r="AO93" i="27"/>
  <c r="AP70" i="27"/>
  <c r="AO133" i="27"/>
  <c r="AP126" i="27"/>
  <c r="AO109" i="27"/>
  <c r="AN122" i="27"/>
  <c r="Q20" i="27"/>
  <c r="Q46" i="27"/>
  <c r="AP64" i="27"/>
  <c r="AO118" i="27"/>
  <c r="AO106" i="27"/>
  <c r="Q56" i="27"/>
  <c r="AO71" i="27"/>
  <c r="Q37" i="27"/>
  <c r="AO68" i="27"/>
  <c r="AP112" i="27"/>
  <c r="AP121" i="27"/>
  <c r="Q41" i="27"/>
  <c r="AN108" i="27"/>
  <c r="AQ103" i="27"/>
  <c r="AN95" i="27"/>
  <c r="AO99" i="27"/>
  <c r="Q59" i="27"/>
  <c r="AN123" i="27"/>
  <c r="Q33" i="27"/>
  <c r="AP128" i="27"/>
  <c r="Q13" i="27"/>
  <c r="AN113" i="27"/>
  <c r="AO61" i="27"/>
  <c r="AP101" i="27"/>
  <c r="Q58" i="27"/>
  <c r="Q40" i="27"/>
  <c r="AP66" i="27"/>
  <c r="Q30" i="27"/>
  <c r="Q42" i="27"/>
  <c r="AN119" i="27"/>
  <c r="AP97" i="27"/>
  <c r="Q38" i="25"/>
  <c r="X38" i="25"/>
  <c r="X37" i="25"/>
  <c r="X87" i="25"/>
  <c r="Q23" i="25"/>
  <c r="X23" i="25"/>
  <c r="Q80" i="25"/>
  <c r="X80" i="25"/>
  <c r="X10" i="25"/>
  <c r="Q91" i="25"/>
  <c r="X91" i="25"/>
  <c r="Q22" i="25"/>
  <c r="X22" i="25"/>
  <c r="Q12" i="25"/>
  <c r="X12" i="25"/>
  <c r="X55" i="25"/>
  <c r="Q97" i="25"/>
  <c r="X97" i="25"/>
  <c r="Q86" i="25"/>
  <c r="X86" i="25"/>
  <c r="Q18" i="25"/>
  <c r="X18" i="25"/>
  <c r="X62" i="25"/>
  <c r="Q41" i="25"/>
  <c r="X41" i="25"/>
  <c r="Q30" i="25"/>
  <c r="X30" i="25"/>
  <c r="Q54" i="25"/>
  <c r="X54" i="25"/>
  <c r="X52" i="25"/>
  <c r="Q76" i="25"/>
  <c r="X76" i="25"/>
  <c r="Q26" i="25"/>
  <c r="X26" i="25"/>
  <c r="Q36" i="25"/>
  <c r="X36" i="25"/>
  <c r="X25" i="25"/>
  <c r="X83" i="25"/>
  <c r="Q49" i="25"/>
  <c r="X49" i="25"/>
  <c r="Q59" i="25"/>
  <c r="X59" i="25"/>
  <c r="X19" i="25"/>
  <c r="Q77" i="25"/>
  <c r="X77" i="25"/>
  <c r="Q65" i="25"/>
  <c r="X65" i="25"/>
  <c r="Q70" i="25"/>
  <c r="X70" i="25"/>
  <c r="X73" i="25"/>
  <c r="Q63" i="25"/>
  <c r="X63" i="25"/>
  <c r="Q71" i="25"/>
  <c r="X71" i="25"/>
  <c r="X34" i="25"/>
  <c r="X17" i="25"/>
  <c r="Q78" i="25"/>
  <c r="X78" i="25"/>
  <c r="Q94" i="25"/>
  <c r="X94" i="25"/>
  <c r="Q11" i="25"/>
  <c r="X11" i="25"/>
  <c r="X51" i="25"/>
  <c r="Q21" i="25"/>
  <c r="X21" i="25"/>
  <c r="Q13" i="25"/>
  <c r="X13" i="25"/>
  <c r="X67" i="25"/>
  <c r="X29" i="25"/>
  <c r="Q66" i="25"/>
  <c r="X66" i="25"/>
  <c r="Q57" i="25"/>
  <c r="X57" i="25"/>
  <c r="X84" i="25"/>
  <c r="Q33" i="25"/>
  <c r="X33" i="25"/>
  <c r="Q82" i="25"/>
  <c r="X82" i="25"/>
  <c r="Q61" i="25"/>
  <c r="X61" i="25"/>
  <c r="Q9" i="25"/>
  <c r="X9" i="25"/>
  <c r="X64" i="25"/>
  <c r="X15" i="25"/>
  <c r="Q50" i="25"/>
  <c r="X50" i="25"/>
  <c r="Q44" i="25"/>
  <c r="X44" i="25"/>
  <c r="X60" i="25"/>
  <c r="X56" i="25"/>
  <c r="Q32" i="25"/>
  <c r="X32" i="25"/>
  <c r="Q68" i="25"/>
  <c r="X68" i="25"/>
  <c r="X40" i="25"/>
  <c r="X96" i="25"/>
  <c r="Q53" i="25"/>
  <c r="X53" i="25"/>
  <c r="Q14" i="25"/>
  <c r="X14" i="25"/>
  <c r="X85" i="25"/>
  <c r="Q75" i="25"/>
  <c r="X75" i="25"/>
  <c r="Q35" i="25"/>
  <c r="X35" i="25"/>
  <c r="Q81" i="25"/>
  <c r="X81" i="25"/>
  <c r="X46" i="25"/>
  <c r="Q16" i="25"/>
  <c r="X16" i="25"/>
  <c r="Q92" i="25"/>
  <c r="X92" i="25"/>
  <c r="Q88" i="25"/>
  <c r="X88" i="25"/>
  <c r="X24" i="25"/>
  <c r="X31" i="25"/>
  <c r="Q48" i="25"/>
  <c r="X48" i="25"/>
  <c r="Q42" i="25"/>
  <c r="X42" i="25"/>
  <c r="X95" i="25"/>
  <c r="X74" i="25"/>
  <c r="Q90" i="25"/>
  <c r="X90" i="25"/>
  <c r="Q45" i="25"/>
  <c r="X45" i="25"/>
  <c r="X28" i="25"/>
  <c r="AG14" i="22"/>
  <c r="Q14" i="22" s="1"/>
  <c r="AG11" i="22"/>
  <c r="Q11" i="22" s="1"/>
  <c r="AG32" i="22"/>
  <c r="Q32" i="22" s="1"/>
  <c r="AG15" i="22"/>
  <c r="Q15" i="22" s="1"/>
  <c r="AG65" i="22"/>
  <c r="Q65" i="22" s="1"/>
  <c r="AG64" i="22"/>
  <c r="Q64" i="22" s="1"/>
  <c r="AG62" i="22"/>
  <c r="Q62" i="22" s="1"/>
  <c r="AG60" i="22"/>
  <c r="Q60" i="22" s="1"/>
  <c r="AG34" i="22"/>
  <c r="Q34" i="22" s="1"/>
  <c r="AG52" i="22"/>
  <c r="Q52" i="22" s="1"/>
  <c r="AG9" i="22"/>
  <c r="Q9" i="22" s="1"/>
  <c r="AG55" i="22"/>
  <c r="Q55" i="22" s="1"/>
  <c r="AG69" i="22"/>
  <c r="Q69" i="22" s="1"/>
  <c r="AG71" i="22"/>
  <c r="Q71" i="22" s="1"/>
  <c r="AG12" i="22"/>
  <c r="Q12" i="22" s="1"/>
  <c r="AG22" i="22"/>
  <c r="Q22" i="22" s="1"/>
  <c r="AG45" i="22"/>
  <c r="Q45" i="22" s="1"/>
  <c r="AG68" i="22"/>
  <c r="Q68" i="22" s="1"/>
  <c r="AG16" i="22"/>
  <c r="Q16" i="22" s="1"/>
  <c r="AG40" i="22"/>
  <c r="Q40" i="22" s="1"/>
  <c r="AG19" i="22"/>
  <c r="Q19" i="22" s="1"/>
  <c r="AG35" i="22"/>
  <c r="Q35" i="22" s="1"/>
  <c r="AG26" i="22"/>
  <c r="Q26" i="22" s="1"/>
  <c r="AG17" i="22"/>
  <c r="Q17" i="22" s="1"/>
  <c r="AG73" i="22"/>
  <c r="Q73" i="22" s="1"/>
  <c r="AG44" i="22"/>
  <c r="Q44" i="22" s="1"/>
  <c r="AG33" i="22"/>
  <c r="Q33" i="22" s="1"/>
  <c r="AG53" i="22"/>
  <c r="Q53" i="22" s="1"/>
  <c r="AG25" i="22"/>
  <c r="Q25" i="22" s="1"/>
  <c r="AG47" i="22"/>
  <c r="Q47" i="22" s="1"/>
  <c r="AG18" i="22"/>
  <c r="Q18" i="22" s="1"/>
  <c r="AG10" i="22"/>
  <c r="Q10" i="22" s="1"/>
  <c r="AG37" i="22"/>
  <c r="Q37" i="22" s="1"/>
  <c r="AG56" i="22"/>
  <c r="Q56" i="22" s="1"/>
  <c r="AG21" i="22"/>
  <c r="Q21" i="22" s="1"/>
  <c r="AG51" i="22"/>
  <c r="Q51" i="22" s="1"/>
  <c r="AG42" i="22"/>
  <c r="Q42" i="22" s="1"/>
  <c r="AG72" i="22"/>
  <c r="Q72" i="22" s="1"/>
  <c r="AG29" i="22"/>
  <c r="Q29" i="22" s="1"/>
  <c r="AG61" i="22"/>
  <c r="Q61" i="22" s="1"/>
  <c r="AG58" i="22"/>
  <c r="Q58" i="22" s="1"/>
  <c r="AG49" i="22"/>
  <c r="Q49" i="22" s="1"/>
  <c r="AG30" i="22"/>
  <c r="Q30" i="22" s="1"/>
  <c r="AG28" i="22"/>
  <c r="AG48" i="22"/>
  <c r="Q48" i="22" s="1"/>
  <c r="AG41" i="22"/>
  <c r="Q41" i="22" s="1"/>
  <c r="AG54" i="22"/>
  <c r="Q54" i="22" s="1"/>
  <c r="AG36" i="22"/>
  <c r="Q36" i="22" s="1"/>
  <c r="AG59" i="22"/>
  <c r="Q59" i="22" s="1"/>
  <c r="AG38" i="22"/>
  <c r="Q38" i="22" s="1"/>
  <c r="AG66" i="22"/>
  <c r="Q66" i="22" s="1"/>
  <c r="AG57" i="22"/>
  <c r="Q57" i="22" s="1"/>
  <c r="AG23" i="22"/>
  <c r="Q23" i="22" s="1"/>
  <c r="AG31" i="22"/>
  <c r="Q31" i="22" s="1"/>
  <c r="AG43" i="22"/>
  <c r="Q43" i="22" s="1"/>
  <c r="AG24" i="22"/>
  <c r="Q24" i="22" s="1"/>
  <c r="AG39" i="22"/>
  <c r="Q39" i="22" s="1"/>
  <c r="AG46" i="22"/>
  <c r="Q46" i="22" s="1"/>
  <c r="Q10" i="16"/>
  <c r="Q20" i="16"/>
  <c r="Q18" i="16"/>
  <c r="Q13" i="16"/>
  <c r="Q9" i="16"/>
  <c r="AJ76" i="22"/>
  <c r="AK76" i="22"/>
  <c r="Q93" i="25"/>
  <c r="Q72" i="24"/>
  <c r="Q30" i="31"/>
  <c r="Q21" i="23"/>
  <c r="Q29" i="31"/>
  <c r="AK78" i="22"/>
  <c r="AJ78" i="22"/>
  <c r="BB31" i="31"/>
  <c r="AJ74" i="22"/>
  <c r="AJ75" i="22"/>
  <c r="Q90" i="23"/>
  <c r="Q63" i="23"/>
  <c r="V130" i="27"/>
  <c r="AR130" i="27" s="1"/>
  <c r="Q29" i="25"/>
  <c r="Q35" i="23"/>
  <c r="Q32" i="23"/>
  <c r="Q68" i="27"/>
  <c r="Q64" i="23"/>
  <c r="Q73" i="23"/>
  <c r="Q9" i="23"/>
  <c r="Q103" i="27"/>
  <c r="Q71" i="27"/>
  <c r="Q19" i="25"/>
  <c r="Q16" i="26"/>
  <c r="Q94" i="23"/>
  <c r="Q51" i="23"/>
  <c r="Q16" i="23"/>
  <c r="Q27" i="23"/>
  <c r="Q100" i="23"/>
  <c r="Q129" i="27"/>
  <c r="Q12" i="23"/>
  <c r="Q68" i="23"/>
  <c r="Q65" i="27"/>
  <c r="Q83" i="23"/>
  <c r="Q14" i="23"/>
  <c r="Q26" i="16"/>
  <c r="Q37" i="23"/>
  <c r="Q60" i="25"/>
  <c r="Q30" i="16"/>
  <c r="Q59" i="23"/>
  <c r="Q86" i="23"/>
  <c r="Q34" i="23"/>
  <c r="Q36" i="23"/>
  <c r="Q70" i="23"/>
  <c r="Q134" i="27"/>
  <c r="Q113" i="27"/>
  <c r="Q66" i="23"/>
  <c r="Q30" i="23"/>
  <c r="Q108" i="27"/>
  <c r="Q93" i="27"/>
  <c r="Q75" i="23"/>
  <c r="Q28" i="23"/>
  <c r="Q10" i="23"/>
  <c r="Q53" i="23"/>
  <c r="Q11" i="23"/>
  <c r="Q31" i="16"/>
  <c r="Q44" i="23"/>
  <c r="Q39" i="23"/>
  <c r="Q82" i="23"/>
  <c r="Q26" i="23"/>
  <c r="Q39" i="16"/>
  <c r="Q45" i="21"/>
  <c r="Q132" i="27"/>
  <c r="Q27" i="21"/>
  <c r="Q61" i="27"/>
  <c r="Q22" i="26"/>
  <c r="Q40" i="25"/>
  <c r="Q96" i="23"/>
  <c r="Q45" i="23"/>
  <c r="Q74" i="23"/>
  <c r="Q62" i="23"/>
  <c r="Q85" i="23"/>
  <c r="Q55" i="25"/>
  <c r="Q91" i="27"/>
  <c r="Q64" i="25"/>
  <c r="Q47" i="23"/>
  <c r="Q56" i="25"/>
  <c r="Q46" i="23"/>
  <c r="Q47" i="21"/>
  <c r="Q101" i="23"/>
  <c r="Q43" i="23"/>
  <c r="Q24" i="21"/>
  <c r="Q9" i="21"/>
  <c r="Q58" i="23"/>
  <c r="Q48" i="21"/>
  <c r="Q67" i="25"/>
  <c r="Q98" i="23"/>
  <c r="Q119" i="27"/>
  <c r="Q97" i="27"/>
  <c r="Q101" i="27"/>
  <c r="Q107" i="27"/>
  <c r="Q25" i="25"/>
  <c r="Q31" i="25"/>
  <c r="Q24" i="23"/>
  <c r="Q123" i="27"/>
  <c r="Q95" i="27"/>
  <c r="Q23" i="23"/>
  <c r="Q81" i="23"/>
  <c r="Q17" i="23"/>
  <c r="Q80" i="23"/>
  <c r="Q109" i="27"/>
  <c r="Q120" i="27"/>
  <c r="Q103" i="23"/>
  <c r="Q93" i="23"/>
  <c r="Q22" i="23"/>
  <c r="Q19" i="23"/>
  <c r="Q88" i="23"/>
  <c r="Q84" i="23"/>
  <c r="Q89" i="23"/>
  <c r="Q18" i="23"/>
  <c r="Q42" i="23"/>
  <c r="Q76" i="23"/>
  <c r="Q104" i="23"/>
  <c r="Q55" i="23"/>
  <c r="Q61" i="23"/>
  <c r="Q57" i="23"/>
  <c r="Q65" i="23"/>
  <c r="Q77" i="23"/>
  <c r="Q71" i="23"/>
  <c r="Q50" i="23"/>
  <c r="Q40" i="23"/>
  <c r="Q92" i="23"/>
  <c r="Q118" i="27"/>
  <c r="Q57" i="24"/>
  <c r="Q43" i="21"/>
  <c r="Q79" i="23"/>
  <c r="Q13" i="23"/>
  <c r="Q102" i="23"/>
  <c r="AJ40" i="26"/>
  <c r="AI40" i="26" s="1"/>
  <c r="AG40" i="26" s="1"/>
  <c r="Q84" i="25"/>
  <c r="Q41" i="23"/>
  <c r="Q20" i="23"/>
  <c r="Q72" i="23"/>
  <c r="Q99" i="23"/>
  <c r="Q48" i="23"/>
  <c r="Q126" i="27"/>
  <c r="Q110" i="27"/>
  <c r="Q66" i="21"/>
  <c r="Q95" i="25"/>
  <c r="Q85" i="25"/>
  <c r="Q25" i="23"/>
  <c r="Q15" i="23"/>
  <c r="Q54" i="23"/>
  <c r="AK75" i="22"/>
  <c r="AK74" i="22"/>
  <c r="Q35" i="16"/>
  <c r="Q21" i="21"/>
  <c r="V87" i="27"/>
  <c r="AR87" i="27" s="1"/>
  <c r="Q44" i="21"/>
  <c r="Q121" i="27"/>
  <c r="Q11" i="16"/>
  <c r="Q17" i="21"/>
  <c r="Q14" i="21"/>
  <c r="Q46" i="25"/>
  <c r="Q83" i="25"/>
  <c r="Q35" i="21"/>
  <c r="Q22" i="21"/>
  <c r="Q34" i="21"/>
  <c r="Q36" i="16"/>
  <c r="Q74" i="25"/>
  <c r="Q67" i="24"/>
  <c r="Q23" i="16"/>
  <c r="Q29" i="26"/>
  <c r="Q68" i="24"/>
  <c r="Q75" i="24"/>
  <c r="Q15" i="24"/>
  <c r="Q9" i="24"/>
  <c r="Q47" i="24"/>
  <c r="Q43" i="24"/>
  <c r="Q30" i="24"/>
  <c r="Q55" i="24"/>
  <c r="Q23" i="31"/>
  <c r="Q12" i="21"/>
  <c r="Q51" i="25"/>
  <c r="Q87" i="25"/>
  <c r="Q25" i="21"/>
  <c r="Q51" i="21"/>
  <c r="Q26" i="21"/>
  <c r="Q41" i="21"/>
  <c r="Q42" i="21"/>
  <c r="Q50" i="21"/>
  <c r="Q28" i="25"/>
  <c r="Q65" i="21"/>
  <c r="Q16" i="21"/>
  <c r="Q32" i="21"/>
  <c r="Q68" i="21"/>
  <c r="Q64" i="21"/>
  <c r="Q10" i="21"/>
  <c r="Q38" i="21"/>
  <c r="Q10" i="25"/>
  <c r="Q15" i="25"/>
  <c r="Q13" i="21"/>
  <c r="Q49" i="21"/>
  <c r="Q11" i="21"/>
  <c r="Q15" i="21"/>
  <c r="Q96" i="25"/>
  <c r="Q63" i="21"/>
  <c r="Q29" i="21"/>
  <c r="Q17" i="25"/>
  <c r="Q73" i="25"/>
  <c r="Q37" i="25"/>
  <c r="Q52" i="25"/>
  <c r="Q19" i="21"/>
  <c r="Q39" i="21"/>
  <c r="Q28" i="21"/>
  <c r="Q40" i="21"/>
  <c r="Q30" i="21"/>
  <c r="Q62" i="25"/>
  <c r="Q23" i="21"/>
  <c r="Q56" i="21"/>
  <c r="Q33" i="21"/>
  <c r="Q24" i="25"/>
  <c r="Q34" i="25"/>
  <c r="Q55" i="21"/>
  <c r="Q53" i="21"/>
  <c r="Q37" i="21"/>
  <c r="AJ15" i="31"/>
  <c r="Q15" i="31" s="1"/>
  <c r="AO121" i="27"/>
  <c r="AO129" i="27"/>
  <c r="Q87" i="27"/>
  <c r="Q96" i="27"/>
  <c r="V96" i="27"/>
  <c r="Q83" i="27"/>
  <c r="V83" i="27"/>
  <c r="Q102" i="27"/>
  <c r="V102" i="27"/>
  <c r="Q85" i="27"/>
  <c r="V85" i="27"/>
  <c r="AN71" i="27"/>
  <c r="Q18" i="27"/>
  <c r="AO66" i="27"/>
  <c r="Q117" i="27"/>
  <c r="Q15" i="27"/>
  <c r="AQ68" i="27"/>
  <c r="Q27" i="27"/>
  <c r="AO103" i="27"/>
  <c r="Q25" i="31"/>
  <c r="Q92" i="27"/>
  <c r="V92" i="27"/>
  <c r="AR92" i="27" s="1"/>
  <c r="Q106" i="27"/>
  <c r="Q62" i="27"/>
  <c r="Q133" i="27"/>
  <c r="Q79" i="27"/>
  <c r="V79" i="27"/>
  <c r="AR79" i="27" s="1"/>
  <c r="AN109" i="27"/>
  <c r="AQ109" i="27"/>
  <c r="Q67" i="27"/>
  <c r="Q13" i="28"/>
  <c r="AN67" i="27"/>
  <c r="AO67" i="27"/>
  <c r="AN89" i="27"/>
  <c r="AQ89" i="27"/>
  <c r="Q100" i="27"/>
  <c r="V100" i="27"/>
  <c r="AR100" i="27" s="1"/>
  <c r="V141" i="27"/>
  <c r="AR141" i="27" s="1"/>
  <c r="Q141" i="27"/>
  <c r="Q112" i="27"/>
  <c r="Q136" i="27"/>
  <c r="V136" i="27"/>
  <c r="AR136" i="27" s="1"/>
  <c r="Q22" i="27"/>
  <c r="AP93" i="27"/>
  <c r="AQ93" i="27"/>
  <c r="Q29" i="27"/>
  <c r="Q49" i="27"/>
  <c r="AO123" i="27"/>
  <c r="Q63" i="27"/>
  <c r="V63" i="27"/>
  <c r="AR63" i="27" s="1"/>
  <c r="AQ120" i="27"/>
  <c r="Q19" i="31"/>
  <c r="Q26" i="31"/>
  <c r="Q11" i="31"/>
  <c r="Q21" i="28"/>
  <c r="Q10" i="28"/>
  <c r="Q115" i="27"/>
  <c r="Q75" i="27"/>
  <c r="V75" i="27"/>
  <c r="AR75" i="27" s="1"/>
  <c r="Q89" i="27"/>
  <c r="Q24" i="27"/>
  <c r="AN97" i="27"/>
  <c r="AQ107" i="27"/>
  <c r="AN107" i="27"/>
  <c r="AO112" i="27"/>
  <c r="AN112" i="27"/>
  <c r="Q124" i="27"/>
  <c r="Q116" i="27"/>
  <c r="Q77" i="27"/>
  <c r="V77" i="27"/>
  <c r="AR77" i="27" s="1"/>
  <c r="Q128" i="27"/>
  <c r="Q34" i="27"/>
  <c r="AQ108" i="27"/>
  <c r="AP108" i="27"/>
  <c r="Q10" i="31"/>
  <c r="Q24" i="31"/>
  <c r="Q19" i="28"/>
  <c r="Q14" i="28"/>
  <c r="Q86" i="27"/>
  <c r="V86" i="27"/>
  <c r="AR86" i="27" s="1"/>
  <c r="AO126" i="27"/>
  <c r="Q52" i="27"/>
  <c r="AQ126" i="27"/>
  <c r="AN126" i="27"/>
  <c r="Q43" i="27"/>
  <c r="AQ117" i="27"/>
  <c r="AO117" i="27"/>
  <c r="AP117" i="27"/>
  <c r="Q32" i="27"/>
  <c r="AN106" i="27"/>
  <c r="AP106" i="27"/>
  <c r="AQ106" i="27"/>
  <c r="Q94" i="27"/>
  <c r="V94" i="27"/>
  <c r="AR94" i="27" s="1"/>
  <c r="V73" i="27"/>
  <c r="AR73" i="27" s="1"/>
  <c r="Q73" i="27"/>
  <c r="Q12" i="31"/>
  <c r="Q12" i="28"/>
  <c r="Q80" i="27"/>
  <c r="V80" i="27"/>
  <c r="AR80" i="27" s="1"/>
  <c r="AN114" i="27"/>
  <c r="AO114" i="27"/>
  <c r="AQ114" i="27"/>
  <c r="AP114" i="27"/>
  <c r="Q99" i="27"/>
  <c r="Q14" i="27"/>
  <c r="Q45" i="27"/>
  <c r="AO119" i="27"/>
  <c r="AQ119" i="27"/>
  <c r="AP119" i="27"/>
  <c r="Q84" i="27"/>
  <c r="V84" i="27"/>
  <c r="AR84" i="27" s="1"/>
  <c r="AQ116" i="27"/>
  <c r="AO116" i="27"/>
  <c r="AN116" i="27"/>
  <c r="AP116" i="27"/>
  <c r="Q88" i="27"/>
  <c r="V88" i="27"/>
  <c r="AR88" i="27" s="1"/>
  <c r="Q78" i="27"/>
  <c r="V78" i="27"/>
  <c r="AR78" i="27" s="1"/>
  <c r="Q114" i="27"/>
  <c r="Q74" i="27"/>
  <c r="V74" i="27"/>
  <c r="AR74" i="27" s="1"/>
  <c r="Q142" i="27"/>
  <c r="V142" i="27"/>
  <c r="AR142" i="27" s="1"/>
  <c r="Q21" i="31"/>
  <c r="Q20" i="31"/>
  <c r="Q20" i="28"/>
  <c r="Q90" i="27"/>
  <c r="V90" i="27"/>
  <c r="AR90" i="27" s="1"/>
  <c r="Q140" i="27"/>
  <c r="V140" i="27"/>
  <c r="Q64" i="27"/>
  <c r="Q70" i="27"/>
  <c r="Q76" i="27"/>
  <c r="V76" i="27"/>
  <c r="AR76" i="27" s="1"/>
  <c r="Q50" i="27"/>
  <c r="AP133" i="27"/>
  <c r="AQ133" i="27"/>
  <c r="AN133" i="27"/>
  <c r="AN64" i="27"/>
  <c r="AQ64" i="27"/>
  <c r="AO64" i="27"/>
  <c r="Q23" i="27"/>
  <c r="AO95" i="27"/>
  <c r="AQ95" i="27"/>
  <c r="AP95" i="27"/>
  <c r="Q27" i="31"/>
  <c r="BA32" i="31"/>
  <c r="Q14" i="31"/>
  <c r="Q9" i="28"/>
  <c r="Q139" i="27"/>
  <c r="V139" i="27"/>
  <c r="AR139" i="27" s="1"/>
  <c r="Q66" i="27"/>
  <c r="Q131" i="27"/>
  <c r="Q104" i="27"/>
  <c r="V104" i="27"/>
  <c r="AR104" i="27" s="1"/>
  <c r="AQ62" i="27"/>
  <c r="AN62" i="27"/>
  <c r="AP62" i="27"/>
  <c r="AO62" i="27"/>
  <c r="Q111" i="27"/>
  <c r="Q137" i="27"/>
  <c r="V137" i="27"/>
  <c r="Q122" i="27"/>
  <c r="Q22" i="28"/>
  <c r="AP65" i="27"/>
  <c r="AO65" i="27"/>
  <c r="AN65" i="27"/>
  <c r="Q11" i="27"/>
  <c r="AQ65" i="27"/>
  <c r="V138" i="27"/>
  <c r="AR138" i="27" s="1"/>
  <c r="Q138" i="27"/>
  <c r="V82" i="27"/>
  <c r="AR82" i="27" s="1"/>
  <c r="Q82" i="27"/>
  <c r="Q9" i="31"/>
  <c r="V98" i="27"/>
  <c r="AR98" i="27" s="1"/>
  <c r="Q98" i="27"/>
  <c r="AO113" i="27"/>
  <c r="Q81" i="27"/>
  <c r="V81" i="27"/>
  <c r="AR81" i="27" s="1"/>
  <c r="AN91" i="27"/>
  <c r="AO91" i="27"/>
  <c r="AP91" i="27"/>
  <c r="Q21" i="27"/>
  <c r="Q70" i="24"/>
  <c r="Q20" i="24"/>
  <c r="Q19" i="24"/>
  <c r="Q54" i="24"/>
  <c r="Q63" i="24"/>
  <c r="Q27" i="24"/>
  <c r="Q49" i="24"/>
  <c r="Q65" i="24"/>
  <c r="Q48" i="24"/>
  <c r="Q25" i="24"/>
  <c r="Q45" i="24"/>
  <c r="Q71" i="24"/>
  <c r="Q35" i="24"/>
  <c r="Q14" i="24"/>
  <c r="Q69" i="24"/>
  <c r="Q28" i="24"/>
  <c r="Q51" i="24"/>
  <c r="Q23" i="24"/>
  <c r="Q44" i="24"/>
  <c r="Q36" i="24"/>
  <c r="Q26" i="24"/>
  <c r="Q33" i="24"/>
  <c r="Q22" i="24"/>
  <c r="Q29" i="24"/>
  <c r="Q50" i="24"/>
  <c r="Q17" i="24"/>
  <c r="Q13" i="24"/>
  <c r="Q60" i="24"/>
  <c r="Q40" i="24"/>
  <c r="Q76" i="24"/>
  <c r="Q74" i="24"/>
  <c r="Q34" i="24"/>
  <c r="Q37" i="24"/>
  <c r="Q24" i="24"/>
  <c r="Q11" i="24"/>
  <c r="Q16" i="24"/>
  <c r="Q53" i="24"/>
  <c r="Q31" i="24"/>
  <c r="Q39" i="24"/>
  <c r="Q64" i="24"/>
  <c r="Q62" i="24"/>
  <c r="Q77" i="24"/>
  <c r="Q61" i="24"/>
  <c r="Q42" i="24"/>
  <c r="Q46" i="24"/>
  <c r="Q59" i="24"/>
  <c r="Q41" i="24"/>
  <c r="Q18" i="24"/>
  <c r="Q66" i="24"/>
  <c r="Q52" i="24"/>
  <c r="Q12" i="24"/>
  <c r="I3" i="26" l="1"/>
  <c r="H3" i="26" s="1"/>
  <c r="B41" i="1" s="1"/>
  <c r="I2" i="26"/>
  <c r="H2" i="26" s="1"/>
  <c r="AQ61" i="27"/>
  <c r="AP115" i="27"/>
  <c r="AQ97" i="27"/>
  <c r="AQ66" i="27"/>
  <c r="AN118" i="27"/>
  <c r="Q12" i="27"/>
  <c r="Q10" i="27"/>
  <c r="AO108" i="27"/>
  <c r="AT108" i="27" s="1"/>
  <c r="V108" i="27" s="1"/>
  <c r="AR108" i="27" s="1"/>
  <c r="Q38" i="27"/>
  <c r="AN93" i="27"/>
  <c r="AO89" i="27"/>
  <c r="AT89" i="27" s="1"/>
  <c r="AN68" i="27"/>
  <c r="AQ71" i="27"/>
  <c r="AN121" i="27"/>
  <c r="AP107" i="27"/>
  <c r="AP120" i="27"/>
  <c r="AP89" i="27"/>
  <c r="AP61" i="27"/>
  <c r="AP68" i="27"/>
  <c r="AP71" i="27"/>
  <c r="Q39" i="27"/>
  <c r="Q57" i="27"/>
  <c r="AO107" i="27"/>
  <c r="AT107" i="27" s="1"/>
  <c r="AO120" i="27"/>
  <c r="AP109" i="27"/>
  <c r="AP113" i="27"/>
  <c r="AN120" i="27"/>
  <c r="AQ67" i="27"/>
  <c r="Q35" i="27"/>
  <c r="AQ121" i="27"/>
  <c r="AP131" i="27"/>
  <c r="Q9" i="27"/>
  <c r="AO97" i="27"/>
  <c r="AP67" i="27"/>
  <c r="AN66" i="27"/>
  <c r="Q47" i="27"/>
  <c r="AQ112" i="27"/>
  <c r="Q36" i="27"/>
  <c r="Q26" i="27"/>
  <c r="AQ118" i="27"/>
  <c r="AO128" i="27"/>
  <c r="AQ99" i="27"/>
  <c r="Q17" i="27"/>
  <c r="Q48" i="27"/>
  <c r="AN115" i="27"/>
  <c r="AO101" i="27"/>
  <c r="AP118" i="27"/>
  <c r="Q54" i="27"/>
  <c r="AO70" i="27"/>
  <c r="AQ122" i="27"/>
  <c r="AQ115" i="27"/>
  <c r="AN131" i="27"/>
  <c r="Q44" i="27"/>
  <c r="AO115" i="27"/>
  <c r="AP110" i="27"/>
  <c r="AO131" i="27"/>
  <c r="AN99" i="27"/>
  <c r="AO111" i="27"/>
  <c r="AO110" i="27"/>
  <c r="AN101" i="27"/>
  <c r="AQ131" i="27"/>
  <c r="AQ128" i="27"/>
  <c r="Q25" i="27"/>
  <c r="AN70" i="27"/>
  <c r="AP122" i="27"/>
  <c r="AQ111" i="27"/>
  <c r="AN110" i="27"/>
  <c r="AQ101" i="27"/>
  <c r="AN128" i="27"/>
  <c r="AP99" i="27"/>
  <c r="AQ70" i="27"/>
  <c r="AO122" i="27"/>
  <c r="AP111" i="27"/>
  <c r="AN61" i="27"/>
  <c r="AT61" i="27" s="1"/>
  <c r="V61" i="27" s="1"/>
  <c r="AR61" i="27" s="1"/>
  <c r="AN111" i="27"/>
  <c r="AT111" i="27" s="1"/>
  <c r="AQ113" i="27"/>
  <c r="AN129" i="27"/>
  <c r="Q55" i="27"/>
  <c r="AP123" i="27"/>
  <c r="AT123" i="27" s="1"/>
  <c r="AN103" i="27"/>
  <c r="AP129" i="27"/>
  <c r="AQ123" i="27"/>
  <c r="AP103" i="27"/>
  <c r="AI76" i="22"/>
  <c r="AG76" i="22" s="1"/>
  <c r="Q76" i="22" s="1"/>
  <c r="Q14" i="16"/>
  <c r="Q16" i="16"/>
  <c r="H3" i="27"/>
  <c r="B42" i="1" s="1"/>
  <c r="H2" i="27"/>
  <c r="H2" i="25"/>
  <c r="H3" i="25"/>
  <c r="B40" i="1" s="1"/>
  <c r="H3" i="24"/>
  <c r="B39" i="1" s="1"/>
  <c r="H2" i="24"/>
  <c r="H2" i="23"/>
  <c r="H3" i="23"/>
  <c r="B38" i="1" s="1"/>
  <c r="H2" i="21"/>
  <c r="H3" i="21"/>
  <c r="B37" i="1" s="1"/>
  <c r="H3" i="20"/>
  <c r="B35" i="1" s="1"/>
  <c r="H2" i="20"/>
  <c r="H2" i="16"/>
  <c r="BA31" i="31"/>
  <c r="AI74" i="22"/>
  <c r="AG74" i="22" s="1"/>
  <c r="Q74" i="22" s="1"/>
  <c r="AI75" i="22"/>
  <c r="AG75" i="22" s="1"/>
  <c r="Q75" i="22" s="1"/>
  <c r="H3" i="16"/>
  <c r="B34" i="1" s="1"/>
  <c r="AS130" i="27"/>
  <c r="Q18" i="28"/>
  <c r="AS87" i="27"/>
  <c r="AS86" i="27"/>
  <c r="AS136" i="27"/>
  <c r="AS73" i="27"/>
  <c r="AT95" i="27"/>
  <c r="V95" i="27" s="1"/>
  <c r="AR95" i="27" s="1"/>
  <c r="AS139" i="27"/>
  <c r="AS92" i="27"/>
  <c r="AS84" i="27"/>
  <c r="AS104" i="27"/>
  <c r="BB32" i="31"/>
  <c r="AS76" i="27"/>
  <c r="AS63" i="27"/>
  <c r="AT117" i="27"/>
  <c r="V117" i="27" s="1"/>
  <c r="AR117" i="27" s="1"/>
  <c r="AT93" i="27"/>
  <c r="V93" i="27" s="1"/>
  <c r="AR93" i="27" s="1"/>
  <c r="AS141" i="27"/>
  <c r="AS81" i="27"/>
  <c r="AS88" i="27"/>
  <c r="AS75" i="27"/>
  <c r="AS79" i="27"/>
  <c r="AR140" i="27"/>
  <c r="AS140" i="27"/>
  <c r="AS74" i="27"/>
  <c r="AT119" i="27"/>
  <c r="AT112" i="27"/>
  <c r="AR102" i="27"/>
  <c r="AS102" i="27"/>
  <c r="AS98" i="27"/>
  <c r="AT133" i="27"/>
  <c r="AS90" i="27"/>
  <c r="AT106" i="27"/>
  <c r="AT126" i="27"/>
  <c r="AS100" i="27"/>
  <c r="AS94" i="27"/>
  <c r="AS77" i="27"/>
  <c r="AT71" i="27"/>
  <c r="AS83" i="27"/>
  <c r="AR83" i="27"/>
  <c r="AT116" i="27"/>
  <c r="AT114" i="27"/>
  <c r="AT132" i="27"/>
  <c r="V132" i="27" s="1"/>
  <c r="AS132" i="27" s="1"/>
  <c r="AT109" i="27"/>
  <c r="V109" i="27" s="1"/>
  <c r="AR109" i="27" s="1"/>
  <c r="AT134" i="27"/>
  <c r="V134" i="27" s="1"/>
  <c r="AR134" i="27" s="1"/>
  <c r="AS142" i="27"/>
  <c r="AS78" i="27"/>
  <c r="AT101" i="27"/>
  <c r="V101" i="27" s="1"/>
  <c r="AR101" i="27" s="1"/>
  <c r="AS96" i="27"/>
  <c r="AR96" i="27"/>
  <c r="AR137" i="27"/>
  <c r="AS137" i="27"/>
  <c r="AT62" i="27"/>
  <c r="AT64" i="27"/>
  <c r="AT124" i="27"/>
  <c r="AS80" i="27"/>
  <c r="AR85" i="27"/>
  <c r="AS85" i="27"/>
  <c r="AS82" i="27"/>
  <c r="AT91" i="27"/>
  <c r="AS138" i="27"/>
  <c r="AT65" i="27"/>
  <c r="Q40" i="26"/>
  <c r="AT110" i="27" l="1"/>
  <c r="V110" i="27" s="1"/>
  <c r="AS110" i="27" s="1"/>
  <c r="AT66" i="27"/>
  <c r="AT68" i="27"/>
  <c r="AT97" i="27"/>
  <c r="AT121" i="27"/>
  <c r="V121" i="27" s="1"/>
  <c r="AR121" i="27" s="1"/>
  <c r="AT113" i="27"/>
  <c r="V113" i="27" s="1"/>
  <c r="AR113" i="27" s="1"/>
  <c r="AT67" i="27"/>
  <c r="V67" i="27" s="1"/>
  <c r="AR67" i="27" s="1"/>
  <c r="AT122" i="27"/>
  <c r="V122" i="27" s="1"/>
  <c r="AR122" i="27" s="1"/>
  <c r="AT99" i="27"/>
  <c r="V99" i="27" s="1"/>
  <c r="AR99" i="27" s="1"/>
  <c r="AT70" i="27"/>
  <c r="AT118" i="27"/>
  <c r="V118" i="27" s="1"/>
  <c r="AR118" i="27" s="1"/>
  <c r="AT120" i="27"/>
  <c r="AT129" i="27"/>
  <c r="V129" i="27" s="1"/>
  <c r="AR129" i="27" s="1"/>
  <c r="AT131" i="27"/>
  <c r="V131" i="27" s="1"/>
  <c r="AR131" i="27" s="1"/>
  <c r="AT128" i="27"/>
  <c r="V128" i="27" s="1"/>
  <c r="AR128" i="27" s="1"/>
  <c r="AT115" i="27"/>
  <c r="V115" i="27" s="1"/>
  <c r="AR115" i="27" s="1"/>
  <c r="AT103" i="27"/>
  <c r="V103" i="27" s="1"/>
  <c r="AR103" i="27" s="1"/>
  <c r="H3" i="22"/>
  <c r="B36" i="1" s="1"/>
  <c r="H2" i="31"/>
  <c r="H3" i="31"/>
  <c r="B33" i="1" s="1"/>
  <c r="AS121" i="27"/>
  <c r="AS134" i="27"/>
  <c r="AS117" i="27"/>
  <c r="AR132" i="27"/>
  <c r="AS99" i="27"/>
  <c r="AS109" i="27"/>
  <c r="AS118" i="27"/>
  <c r="V111" i="27"/>
  <c r="AR111" i="27" s="1"/>
  <c r="AS95" i="27"/>
  <c r="AS61" i="27"/>
  <c r="V107" i="27"/>
  <c r="AR107" i="27" s="1"/>
  <c r="V116" i="27"/>
  <c r="AR116" i="27" s="1"/>
  <c r="V126" i="27"/>
  <c r="AR126" i="27" s="1"/>
  <c r="V112" i="27"/>
  <c r="AR112" i="27" s="1"/>
  <c r="V62" i="27"/>
  <c r="AR62" i="27" s="1"/>
  <c r="V106" i="27"/>
  <c r="AR106" i="27" s="1"/>
  <c r="V97" i="27"/>
  <c r="AR97" i="27" s="1"/>
  <c r="V68" i="27"/>
  <c r="AR68" i="27" s="1"/>
  <c r="V123" i="27"/>
  <c r="AR123" i="27" s="1"/>
  <c r="V124" i="27"/>
  <c r="AR124" i="27" s="1"/>
  <c r="V120" i="27"/>
  <c r="AR120" i="27" s="1"/>
  <c r="V119" i="27"/>
  <c r="AR119" i="27" s="1"/>
  <c r="AS101" i="27"/>
  <c r="V70" i="27"/>
  <c r="AR70" i="27" s="1"/>
  <c r="V64" i="27"/>
  <c r="AR64" i="27" s="1"/>
  <c r="V71" i="27"/>
  <c r="AR71" i="27" s="1"/>
  <c r="V133" i="27"/>
  <c r="AR133" i="27" s="1"/>
  <c r="V66" i="27"/>
  <c r="AR66" i="27" s="1"/>
  <c r="AS108" i="27"/>
  <c r="AS93" i="27"/>
  <c r="V114" i="27"/>
  <c r="AR114" i="27" s="1"/>
  <c r="V89" i="27"/>
  <c r="AR89" i="27" s="1"/>
  <c r="V91" i="27"/>
  <c r="AR91" i="27" s="1"/>
  <c r="V65" i="27"/>
  <c r="AR65" i="27" s="1"/>
  <c r="AS129" i="27"/>
  <c r="AR110" i="27" l="1"/>
  <c r="AS113" i="27"/>
  <c r="AS128" i="27"/>
  <c r="AS115" i="27"/>
  <c r="H2" i="22"/>
  <c r="AS111" i="27"/>
  <c r="AS120" i="27"/>
  <c r="AS70" i="27"/>
  <c r="AS133" i="27"/>
  <c r="AS64" i="27"/>
  <c r="AS119" i="27"/>
  <c r="AS62" i="27"/>
  <c r="AS114" i="27"/>
  <c r="AS122" i="27"/>
  <c r="AS89" i="27"/>
  <c r="AS67" i="27"/>
  <c r="AS91" i="27"/>
  <c r="AS126" i="27"/>
  <c r="AS65" i="27"/>
  <c r="AS131" i="27"/>
  <c r="AS124" i="27"/>
  <c r="AS97" i="27"/>
  <c r="AS106" i="27"/>
  <c r="AS103" i="27"/>
  <c r="AS123" i="27"/>
  <c r="AS112" i="27"/>
  <c r="AS116" i="27"/>
  <c r="AS107" i="27"/>
  <c r="AS66" i="27"/>
  <c r="AS71" i="27"/>
  <c r="AS68" i="27"/>
  <c r="Q17" i="28" l="1"/>
  <c r="H2" i="28" l="1"/>
  <c r="H3" i="28"/>
  <c r="B43" i="1" s="1"/>
</calcChain>
</file>

<file path=xl/sharedStrings.xml><?xml version="1.0" encoding="utf-8"?>
<sst xmlns="http://schemas.openxmlformats.org/spreadsheetml/2006/main" count="7803" uniqueCount="2696">
  <si>
    <t xml:space="preserve">Table of Contents </t>
  </si>
  <si>
    <t>Instructions</t>
  </si>
  <si>
    <t>Cover Sheet</t>
  </si>
  <si>
    <t xml:space="preserve">Contract Completeness </t>
  </si>
  <si>
    <t>I.A.1 Contract Completeness</t>
  </si>
  <si>
    <t>Enrollment and Disenrollment</t>
  </si>
  <si>
    <t>I.B.1 No Discrimination</t>
  </si>
  <si>
    <t>I.B.2 Choice of Doctor</t>
  </si>
  <si>
    <t>I.B.3 Opt-Out</t>
  </si>
  <si>
    <t>I.B.4 Reenrollment</t>
  </si>
  <si>
    <t>I.B.5 Disenrollment</t>
  </si>
  <si>
    <t>I.B.6 Disenrollment Request Process</t>
  </si>
  <si>
    <t>I.B.7 Special Rules for American Indians</t>
  </si>
  <si>
    <t>Beneficiary Notification</t>
  </si>
  <si>
    <t>I.C.1 Language and Format</t>
  </si>
  <si>
    <t>I.C.2 Enrollee Handbook</t>
  </si>
  <si>
    <t>I.C.3 Enrollee Handbook Dissemination</t>
  </si>
  <si>
    <t>I.C.4 Network Provider Directory</t>
  </si>
  <si>
    <t>I.C.5 Formulary</t>
  </si>
  <si>
    <t>I.C.6 Provider Terminations and Incentives</t>
  </si>
  <si>
    <t>I.C.7 Marketing</t>
  </si>
  <si>
    <t>I.C.8 General Information Requirements</t>
  </si>
  <si>
    <t>I.C.9 Sales and Transactions</t>
  </si>
  <si>
    <t>Payment</t>
  </si>
  <si>
    <t>I.D.1 General</t>
  </si>
  <si>
    <t>I.D.2 Incentive Arrangements</t>
  </si>
  <si>
    <t>I.D.3 Withhold Arrangements</t>
  </si>
  <si>
    <t>I.D.4 Medical Loss Ratio (MLR)</t>
  </si>
  <si>
    <t>I.D.5 Payment for Indian Health Care Providers (IHCP)</t>
  </si>
  <si>
    <t>I.D.6 Timely Payout</t>
  </si>
  <si>
    <t>I.D.7 Pass-through Payments</t>
  </si>
  <si>
    <t>Providers and Provider Network</t>
  </si>
  <si>
    <t>I.E.1 Network Adequacy</t>
  </si>
  <si>
    <t>I.E.2 No Discrimination</t>
  </si>
  <si>
    <t>I.E.3 Provider Selection</t>
  </si>
  <si>
    <t>I.E.4 Anti-gag</t>
  </si>
  <si>
    <t>I.E.5 Network Adequacy Standards</t>
  </si>
  <si>
    <t>I.E.6 Provider Notification of Grievance and Appeals Rights</t>
  </si>
  <si>
    <t>I.E.7 Balance Billing</t>
  </si>
  <si>
    <t>I.E.8 Physician Incentive Plan</t>
  </si>
  <si>
    <t>I.E.9 Network Requirements Involving Indians, IHCPs, and Indian Managed Care Entities (IMCEs)</t>
  </si>
  <si>
    <t>I.E.10 Practice Guidelines</t>
  </si>
  <si>
    <t>Coverage</t>
  </si>
  <si>
    <t>I.F.1 Emergency and Post-Stabilization Services</t>
  </si>
  <si>
    <t>I.F.2 Family Planning</t>
  </si>
  <si>
    <t>I.F.3 Abortions</t>
  </si>
  <si>
    <t>I.F.4 Delivery Network</t>
  </si>
  <si>
    <t>I.F.5 Services Not Covered Based on Moral Objections</t>
  </si>
  <si>
    <t>I.F.6 Amount, Duration, and Scope</t>
  </si>
  <si>
    <t>I.F.7 Provider Preventable Conditions</t>
  </si>
  <si>
    <t>I.F.8 Cost Sharing</t>
  </si>
  <si>
    <t>I.F.9 Nonpayment</t>
  </si>
  <si>
    <t>I.F.10 Federally Qualified Health Center (FQHC) Payments</t>
  </si>
  <si>
    <t>I.F.11 Outpatient/Prescription Drugs</t>
  </si>
  <si>
    <t>I.F.12 Parity in Mental Health and Substance Use Disorder (MH/SUD) Benefits</t>
  </si>
  <si>
    <t>I.F.13 Long-Term Services and Supports (LTSS)</t>
  </si>
  <si>
    <t>I.F.14 Advance Directives</t>
  </si>
  <si>
    <t>I.F.15 Moral Objections</t>
  </si>
  <si>
    <t>I.F.16 Enrollee Rights</t>
  </si>
  <si>
    <t>Quality and Utilization Management</t>
  </si>
  <si>
    <t>I.G.1 External Quality Review (EQR)</t>
  </si>
  <si>
    <t>I.G.2 Care Coordination</t>
  </si>
  <si>
    <t>I.G.3 Authorization and Utilization Management</t>
  </si>
  <si>
    <t>I.G.4 Practice Guidelines</t>
  </si>
  <si>
    <t>I.G.5 Quality</t>
  </si>
  <si>
    <t>I.G.6 Cultural Competence</t>
  </si>
  <si>
    <t>I.G.7 Special Health Care Needs: Assessment and Treatment Plans</t>
  </si>
  <si>
    <t>I.G.8 Accreditation</t>
  </si>
  <si>
    <t>Grievances and Appeals</t>
  </si>
  <si>
    <t>I.H.1 Grievance and Appeals System</t>
  </si>
  <si>
    <t>I.H.2 Notice of Adverse Benefit Determination Requirements</t>
  </si>
  <si>
    <t>I.H.3 Notice of Adverse Benefit Determination Timing</t>
  </si>
  <si>
    <t>I.H.4 Who May File Appeals and Grievances</t>
  </si>
  <si>
    <t>I.H.5 Timeframes for Filing Appeals</t>
  </si>
  <si>
    <t>I.H.6 Process for Filing an Appeal or Expedited Appeal Request</t>
  </si>
  <si>
    <t>I.H.7 Timeframes for Resolving Appeals and Expedited Appeals</t>
  </si>
  <si>
    <t>I.H.8 Notice of Resolution for Appeals</t>
  </si>
  <si>
    <t>I.H.9 Continuation of Benefits</t>
  </si>
  <si>
    <t>I.H.10 Grievances</t>
  </si>
  <si>
    <t>I.H.11 Grievance and Appeal Recordkeeping Requirements</t>
  </si>
  <si>
    <t>Program Integrity</t>
  </si>
  <si>
    <t>I.I.1 Exclusions</t>
  </si>
  <si>
    <t>I.I.2 Requirements, Procedures, and Reporting</t>
  </si>
  <si>
    <t>I.I.3 Disclosure</t>
  </si>
  <si>
    <t>I.I.4 Reporting Transactions</t>
  </si>
  <si>
    <t>I.I.5 Compliance Program</t>
  </si>
  <si>
    <t>I.I.6 Treatment of Recoveries</t>
  </si>
  <si>
    <t>I.I.7 Program/Activity No Longer Authorized by Law</t>
  </si>
  <si>
    <t>General Terms and Conditions</t>
  </si>
  <si>
    <t>I.J.1 Inspection</t>
  </si>
  <si>
    <t>I.J.2 Compliance with State and Federal Laws</t>
  </si>
  <si>
    <t>I.J.3 Subcontracts</t>
  </si>
  <si>
    <t>I.J.4 Third Partly Liability (TPL) Activities</t>
  </si>
  <si>
    <t>I.J.5 Sanctions</t>
  </si>
  <si>
    <t>I.J.6 Termination</t>
  </si>
  <si>
    <t>I.J.7 Insolvency</t>
  </si>
  <si>
    <t>Health Information Systems and Enrollee Data</t>
  </si>
  <si>
    <t xml:space="preserve">   I.K Health Information Systems and Enrollee Data</t>
  </si>
  <si>
    <t>Summary</t>
  </si>
  <si>
    <t>Glossary</t>
  </si>
  <si>
    <t>Note to Analysts</t>
  </si>
  <si>
    <t>Regulations at 42 Code of Federal Regulations (CFR) 438.3(a) specify that the Centers for Medicare &amp; Medicaid Services (CMS) must review and approve all managed care organization (MCO), prepaid inpatient health plan (PIHP), and prepaid ambulatory health plan (PAHP) contracts, including those risk and non-risk contracts that, on the basis of their value (less than $1,000,000) are not subject to prior approval requirements in 42 CFR 438.806. 42 CFR 438.3(r) requires CMS review and approval of primary care case management (PCCM) entity contracts for provisions related to 42 CFR 438.3(q), 42 CFR 438.10 and 42 CFR 438.310(c)(2). 
The CMS Contract Checklist is intended for use by Division of Managed Care Operations (DMCO) staff in evaluating state Medicaid managed care contracts. The checklist contains references and contract requirements collected from the CFR, State Medicaid Director (SMD) letters, the Social Security Act (the Act), the American Reinvestment and Recovery Act of 2009 (ARRA), and the Patient Protection and Affordable Care Act (ACA). The citations are arranged in order of precedence, with the statutory cite being primary.</t>
  </si>
  <si>
    <t>Getting Started</t>
  </si>
  <si>
    <t>Complete the cover sheet in its entirety before moving on to the other tabs. If prompted in the Excel header, please select “enable editing” or “enable content” to enable the functionality in this workbook.</t>
  </si>
  <si>
    <t>Reminder</t>
  </si>
  <si>
    <t xml:space="preserve">NEVER copy and paste information from one cell into another cell. This will cause issues with functionality and create errors. </t>
  </si>
  <si>
    <t xml:space="preserve">Cover Sheet </t>
  </si>
  <si>
    <t>About this Review</t>
  </si>
  <si>
    <t xml:space="preserve">Based on the information the analyst enters on the cover sheet, the Excel spreadsheet will shade out requirements that are not applicable to the contract action. Please follow the instructions in the cover sheet to fill in all applicable information. </t>
  </si>
  <si>
    <r>
      <rPr>
        <b/>
        <sz val="10"/>
        <rFont val="Arial"/>
        <family val="2"/>
      </rPr>
      <t>Does the contract cover Medicaid or both Medicaid and CHIP? (cell B4).</t>
    </r>
    <r>
      <rPr>
        <sz val="10"/>
        <rFont val="Arial"/>
        <family val="2"/>
      </rPr>
      <t xml:space="preserve"> Please select "Medicaid" if the managed care contract covers only Medicaid enrollees, including Medicaid expansion CHIP (Title XIX) enrollees. Select "Both" if the contract covers both Medicaid and separate CHIP enrollees. </t>
    </r>
  </si>
  <si>
    <r>
      <rPr>
        <b/>
        <sz val="10"/>
        <rFont val="Arial"/>
        <family val="2"/>
      </rPr>
      <t>Type of Review (cell B6).</t>
    </r>
    <r>
      <rPr>
        <sz val="10"/>
        <rFont val="Arial"/>
        <family val="2"/>
      </rPr>
      <t xml:space="preserve"> Select either base contract or contract amendment. </t>
    </r>
  </si>
  <si>
    <r>
      <rPr>
        <b/>
        <sz val="10"/>
        <rFont val="Arial"/>
        <family val="2"/>
      </rPr>
      <t>Start Date of Review (cell B7).</t>
    </r>
    <r>
      <rPr>
        <sz val="10"/>
        <rFont val="Arial"/>
        <family val="2"/>
      </rPr>
      <t xml:space="preserve"> The date of review must be entered for every review.</t>
    </r>
  </si>
  <si>
    <r>
      <rPr>
        <b/>
        <sz val="10"/>
        <rFont val="Arial"/>
        <family val="2"/>
      </rPr>
      <t>Medicaid Federal Operating Authority(ies) (cell B10).</t>
    </r>
    <r>
      <rPr>
        <sz val="10"/>
        <rFont val="Arial"/>
        <family val="2"/>
      </rPr>
      <t xml:space="preserve"> Choose all options that apply: 1915(a)(1)(A) voluntary, State Plan Amendment (Title XIX), 1915(b) waiver, 1115 waiver, and/or Other. </t>
    </r>
  </si>
  <si>
    <r>
      <rPr>
        <b/>
        <sz val="10"/>
        <rFont val="Arial"/>
        <family val="2"/>
      </rPr>
      <t xml:space="preserve">Type of Entity (cell B13-B18). </t>
    </r>
    <r>
      <rPr>
        <sz val="10"/>
        <rFont val="Arial"/>
        <family val="2"/>
      </rPr>
      <t>Select the appropriate entity type(s): MCO, health insuring organization (HIO), PIHP, PAHP, non-emergency medical transportation (NEMT) PAHP, or PCCM entity. When an analyst selects an entity type, the tool will shade out any items that do not apply to that entity type. For example, if the analyst selects PIHP, the tool will shade out any requirements that do not apply to PIHPs. Note: 42 CFR Part 438 does not require CMS review and approval of PCCM managed care contracts.</t>
    </r>
  </si>
  <si>
    <r>
      <rPr>
        <b/>
        <sz val="10"/>
        <color rgb="FF000000"/>
        <rFont val="Arial"/>
        <family val="2"/>
      </rPr>
      <t xml:space="preserve">Is the entity risk-bearing or non-risk bearing? (cell B19). </t>
    </r>
    <r>
      <rPr>
        <sz val="10"/>
        <color rgb="FF000000"/>
        <rFont val="Arial"/>
        <family val="2"/>
      </rPr>
      <t>MCOs are always risk bearing in accordance with 42 CFR 438.2 and 42 CFR 457.10; however, for non-risk bearing entities, the managed care plan (MCP) is not at financial risk for changes in utilization or for costs that do not exceed the upper payment limits. Therefore, PIHPs, PAHPs, and NEMT PAHPs may be risk-based or non-risk-based. Note: This field must be completed in every review for the base and amendment start and end date features to function correctly.</t>
    </r>
  </si>
  <si>
    <r>
      <rPr>
        <b/>
        <sz val="10"/>
        <color rgb="FF000000"/>
        <rFont val="Arial"/>
        <family val="2"/>
      </rPr>
      <t xml:space="preserve">Base Contract Period Start and End Dates (cells B21 and B22). </t>
    </r>
    <r>
      <rPr>
        <sz val="10"/>
        <color rgb="FF000000"/>
        <rFont val="Arial"/>
        <family val="2"/>
      </rPr>
      <t>The base contract start and end dates must be entered in every review (including reviews of contract amendments). If the contract action implements a contract extension, the base contract end date entered should be the date on which the extension period ends.</t>
    </r>
  </si>
  <si>
    <r>
      <rPr>
        <b/>
        <sz val="10"/>
        <color rgb="FF000000"/>
        <rFont val="Arial"/>
        <family val="2"/>
      </rPr>
      <t xml:space="preserve">Amendment Start and End Dates (cells B23 and B24). </t>
    </r>
    <r>
      <rPr>
        <sz val="10"/>
        <color rgb="FF000000"/>
        <rFont val="Arial"/>
        <family val="2"/>
      </rPr>
      <t>The amendment start and end dates must be entered in every review of a contract amendment(s) to determine whether requirements effective after a certain date should be evaluated or shaded out. If the contract amendment implements a contract extension, the amendment end date should be the date on which the extension period ends. If the contract amendment has no end date, the amendment end date entered should be the date on which the base contract ends.</t>
    </r>
  </si>
  <si>
    <r>
      <rPr>
        <b/>
        <sz val="10"/>
        <color rgb="FF000000"/>
        <rFont val="Arial"/>
        <family val="2"/>
      </rPr>
      <t>Rating Period Start and End Dates (cells B25 and B26)</t>
    </r>
    <r>
      <rPr>
        <sz val="10"/>
        <color rgb="FF000000"/>
        <rFont val="Arial"/>
        <family val="2"/>
      </rPr>
      <t>. A rating period start date and rating period end date must be entered for all risk-based Medicaid managed care contract reviews to determine whether requirements that phase in after a certain date should be evaluated or shaded out. For contract actions that do not implement rates, the rating period start and end dates should reflect the annual rating period during which the start date of the contract action falls. Example: If a state uses a July</t>
    </r>
    <r>
      <rPr>
        <sz val="10"/>
        <color rgb="FF000000"/>
        <rFont val="Aptos Narrow"/>
        <family val="2"/>
      </rPr>
      <t>–</t>
    </r>
    <r>
      <rPr>
        <sz val="10"/>
        <color rgb="FF000000"/>
        <rFont val="Arial"/>
        <family val="2"/>
      </rPr>
      <t xml:space="preserve">June annual rating period and executes a contract action to modify access requirements effective 10/01/17, a rating period start date of 07/01/17 and a rating period end date of 06/30/18 should be entered. For non-risk based contracts, enter "N/A" in this field. </t>
    </r>
  </si>
  <si>
    <r>
      <rPr>
        <b/>
        <sz val="10"/>
        <color rgb="FF000000"/>
        <rFont val="Arial"/>
        <family val="2"/>
      </rPr>
      <t>Is this an entirely new managed care program? (cell B27)</t>
    </r>
    <r>
      <rPr>
        <sz val="10"/>
        <color rgb="FF000000"/>
        <rFont val="Arial"/>
        <family val="2"/>
      </rPr>
      <t>. For new managed care programs, a comprehensive review of the contract must be completed. If it is not a new managed care program and a comprehensive review has been completed within the past five years, a streamlined review may be completed.</t>
    </r>
  </si>
  <si>
    <r>
      <rPr>
        <b/>
        <sz val="10"/>
        <color rgb="FF000000"/>
        <rFont val="Arial"/>
        <family val="2"/>
      </rPr>
      <t>Has it been more than five years since the last comprehensive review? (cell B28)</t>
    </r>
    <r>
      <rPr>
        <sz val="10"/>
        <color rgb="FF000000"/>
        <rFont val="Arial"/>
        <family val="2"/>
      </rPr>
      <t>.</t>
    </r>
    <r>
      <rPr>
        <sz val="10"/>
        <color rgb="FF000000"/>
        <rFont val="Arial"/>
        <family val="2"/>
      </rPr>
      <t xml:space="preserve"> For contracts that have not had a comprehensive review within the past five years, a comprehensive review must be completed. If a comprehensive review has been completed within the past five years and it is not a new managed care program, a streamlined review may be completed.</t>
    </r>
  </si>
  <si>
    <r>
      <rPr>
        <b/>
        <sz val="10"/>
        <color rgb="FF000000"/>
        <rFont val="Arial"/>
        <family val="2"/>
      </rPr>
      <t>Comprehensive Review or Streamlined Review? (cell B29)</t>
    </r>
    <r>
      <rPr>
        <sz val="10"/>
        <color rgb="FF000000"/>
        <rFont val="Arial"/>
        <family val="2"/>
      </rPr>
      <t>.</t>
    </r>
    <r>
      <rPr>
        <sz val="10"/>
        <color rgb="FF000000"/>
        <rFont val="Arial"/>
        <family val="2"/>
      </rPr>
      <t xml:space="preserve"> Denotes whether the review will be a comprehensive or streamlined review.</t>
    </r>
  </si>
  <si>
    <t>Status of Review by Section Dashboard</t>
  </si>
  <si>
    <r>
      <rPr>
        <b/>
        <sz val="10"/>
        <color rgb="FF000000"/>
        <rFont val="Arial"/>
        <family val="2"/>
      </rPr>
      <t xml:space="preserve">(Cells B29-C41): </t>
    </r>
    <r>
      <rPr>
        <sz val="10"/>
        <color rgb="FF000000"/>
        <rFont val="Arial"/>
        <family val="2"/>
      </rPr>
      <t>This section indicates the status of the Medicaid requirements in each tab of the checklist. This section is intended to help the analyst completing this checklist review which tabs they have completed, and which tabs remain to be completed. The status section is intended primarily to support the review of entire contracts. If the analyst is completing a review of an amendment, only the provisions pertaining to the amendment should be completed.
The Medicaid requirements status is populated based on the analyst’s progress through tab A</t>
    </r>
    <r>
      <rPr>
        <sz val="10"/>
        <color rgb="FF000000"/>
        <rFont val="Aptos Narrow"/>
        <family val="2"/>
      </rPr>
      <t>–</t>
    </r>
    <r>
      <rPr>
        <sz val="10"/>
        <color rgb="FF000000"/>
        <rFont val="Arial"/>
        <family val="2"/>
      </rPr>
      <t>K of the checklist. The "Decision" fields in tabs A</t>
    </r>
    <r>
      <rPr>
        <sz val="10"/>
        <color rgb="FF000000"/>
        <rFont val="Aptos Narrow"/>
        <family val="2"/>
      </rPr>
      <t>–</t>
    </r>
    <r>
      <rPr>
        <sz val="10"/>
        <color rgb="FF000000"/>
        <rFont val="Arial"/>
        <family val="2"/>
      </rPr>
      <t xml:space="preserve">K (columns G and H in the upper right-hand corner of each tab) determine the statuses that appear in the Status of Review by Section Dashboard. Status options include: "Not started", "Revisions needed", "Section review N/A", or "Approved". Note that entire sections of the checklist may be “N/A.”                                                                                                                                                                                                                                                                                                                                                                                                                                                                                                                                                                                                                   </t>
    </r>
  </si>
  <si>
    <r>
      <t>Tabs A</t>
    </r>
    <r>
      <rPr>
        <b/>
        <sz val="10"/>
        <color theme="0"/>
        <rFont val="Aptos Narrow"/>
        <family val="2"/>
      </rPr>
      <t>–</t>
    </r>
    <r>
      <rPr>
        <b/>
        <sz val="10"/>
        <color theme="0"/>
        <rFont val="Arial"/>
        <family val="2"/>
      </rPr>
      <t>K</t>
    </r>
  </si>
  <si>
    <t>Status Indicators</t>
  </si>
  <si>
    <t>Status of Medicaid  Section</t>
  </si>
  <si>
    <r>
      <t>A group of cells in the upper right-hand corner of sections A</t>
    </r>
    <r>
      <rPr>
        <sz val="10"/>
        <rFont val="Aptos Narrow"/>
        <family val="2"/>
      </rPr>
      <t>–</t>
    </r>
    <r>
      <rPr>
        <sz val="10"/>
        <rFont val="Arial"/>
        <family val="2"/>
      </rPr>
      <t xml:space="preserve">K of the checklist display an analyst's progress through each tab, and its outcome (i.e., “decision”). 
</t>
    </r>
    <r>
      <rPr>
        <b/>
        <sz val="10"/>
        <rFont val="Arial"/>
        <family val="2"/>
      </rPr>
      <t>Status of Medicaid Section:</t>
    </r>
    <r>
      <rPr>
        <sz val="10"/>
        <rFont val="Arial"/>
        <family val="2"/>
      </rPr>
      <t xml:space="preserve"> The "Status of Section" fields indicate an analyst’s progress through the Medicaid requirements within the tab. This tab will display one of the following values: “Not Started”, “In Progress”, “Section Review Complete”, or “Section Review N/A”. In most cases, when at least one field in column E contains a valid value, the "Status of Section Review" will change from “Not Started” to “In Progress." 
</t>
    </r>
    <r>
      <rPr>
        <b/>
        <sz val="10"/>
        <rFont val="Arial"/>
        <family val="2"/>
      </rPr>
      <t>Completing tabs A</t>
    </r>
    <r>
      <rPr>
        <b/>
        <sz val="10"/>
        <rFont val="Aptos Narrow"/>
        <family val="2"/>
      </rPr>
      <t>–</t>
    </r>
    <r>
      <rPr>
        <b/>
        <sz val="10"/>
        <rFont val="Arial"/>
        <family val="2"/>
      </rPr>
      <t>K.</t>
    </r>
    <r>
      <rPr>
        <sz val="10"/>
        <rFont val="Arial"/>
        <family val="2"/>
      </rPr>
      <t xml:space="preserve"> The “Status of Section” indicator will display “Section Review Complete” when all requirements in the section are: 
(1) Marked as “Met” with appropriate documentation provided within the “Where Found” cell; 
(2) Marked as “N/A” with appropriate documentation provided within the “General Comments” cell; documentation should describe why a given requirement is not applicable to the managed care contract;
(3) Marked as "Unsure" with information provided in the "Follow-up Required" cell; or 
(4) Marked as "Not met" with information provided in the "Follow-up Required" cell. 
In tab A (Completeness), options of "Yes", "No", and "No, submission is in draft" are also available. 
(5) For "Yes", information must be provided in the "Where found" cell. 
(6) For "No" and "No, submission is in draft", information must be provided in the "Follow-up Required" cell.</t>
    </r>
  </si>
  <si>
    <t>Status of Medicaid Decision</t>
  </si>
  <si>
    <r>
      <rPr>
        <b/>
        <sz val="10"/>
        <rFont val="Arial"/>
        <family val="2"/>
      </rPr>
      <t xml:space="preserve">Medicaid Decision. </t>
    </r>
    <r>
      <rPr>
        <sz val="10"/>
        <rFont val="Arial"/>
        <family val="2"/>
      </rPr>
      <t>While a section is “In Progress” or “Not Started,” the “Medicaid Decision" fields will mirror the Status of Medicaid Review. Once the review is complete  (meaning a status and any required detail has been entered for every requirement, as described in</t>
    </r>
    <r>
      <rPr>
        <i/>
        <sz val="10"/>
        <rFont val="Arial"/>
        <family val="2"/>
      </rPr>
      <t xml:space="preserve"> Status Indicators: (1) Status of Medicaid Section</t>
    </r>
    <r>
      <rPr>
        <sz val="10"/>
        <rFont val="Arial"/>
        <family val="2"/>
      </rPr>
      <t>)</t>
    </r>
    <r>
      <rPr>
        <i/>
        <sz val="10"/>
        <rFont val="Arial"/>
        <family val="2"/>
      </rPr>
      <t xml:space="preserve">, </t>
    </r>
    <r>
      <rPr>
        <sz val="10"/>
        <rFont val="Arial"/>
        <family val="2"/>
      </rPr>
      <t xml:space="preserve">the “Medicaid Decision" fields will display one of the following statuses:
(1) “Approved” if all of the status fields are:
     (a) Marked "Met" or "Yes" with appropriate documentation provided within the “Where Found” cell; or 
     (b) Marked as “N/A” with appropriate documentation provided within the “General Comments” cell; documentation should describe why a given requirement is not applicable to the managed care contract. 
(2) “Revisions needed,” if the status fields contain at least one instance of a requirement that is "Not met" or "Unsure."  
</t>
    </r>
  </si>
  <si>
    <t>Column Descriptions</t>
  </si>
  <si>
    <t>(A) Item</t>
  </si>
  <si>
    <t>Item number aligns with the numbering in the State Guide to CMS Requirements for Medicaid Managed Care Contract Review and Approval.</t>
  </si>
  <si>
    <t>(B) Legal Cite</t>
  </si>
  <si>
    <t>Statutory and regulatory citations that further clarify the requirement are listed in this column. Other citations, such as SMD letters, are listed below the statutory and regulatory references so that an evaluator may refer to other resources for further clarification.</t>
  </si>
  <si>
    <t>(C) Requirement</t>
  </si>
  <si>
    <t>Includes the statutory and/or regulatory language for each legal citation.</t>
  </si>
  <si>
    <t>(D) Tip</t>
  </si>
  <si>
    <t>Some items have tips that provide more information about the requirement.</t>
  </si>
  <si>
    <t>(E) Status</t>
  </si>
  <si>
    <t xml:space="preserve">Choices include "Met", "Not met", "Unsure", or "N/A" for each requirement. If the row is shaded out, the requirement does not apply and the analyst will be unable to select a status. 
A section of the checklist will not be listed as “Complete” unless each requirement within that section is either: (1) marked as “Met” with appropriate documentation provided within the “Where Found” cell; (2) marked as “N/A” with appropriate documentation provided within the “General Comments” cell describing why a given requirement is not applicable to the managed care contract; (3) marked as "Unsure" with information provided in the "Follow-up Required" cell; or (4) marked as "Not met" with information provided in the "Follow-up Required" cell. 
In tab A (Completeness), options of "Yes", "No", and "No, submission is in draft" are also available. For "Yes", information must be provided in the "Where Found" cell. For "No" and "No, submission is in draft", information must be provided in the "Follow-up Required" cell.
In some circumstances, information in the cover sheet will allow analysts to mark entire sections as “N/A.” For example, this option appears when the section requirements do not apply to the “Type of Entity." Analysts must verify whether any items in the section are applicable before selecting “N/A” for a given section. </t>
  </si>
  <si>
    <t>(F) Where Found</t>
  </si>
  <si>
    <t>Analysts may use this column to fill in the contract section and page number (or other citation) that indicates or provides documentation that the requirement has been met. Page numbers can change between different versions of the same contract, so using section references is preferred. This documentation is required for a given federal requirement to be appropriately considered “Met.”</t>
  </si>
  <si>
    <t>(G) Follow-up Required</t>
  </si>
  <si>
    <t xml:space="preserve">Analysts may use this column to include notes on any follow-up actions needed to bring a requirement from "Unsure" or "Not met" to "Met." If a given requirement is listed as "Not met" or "Unsure", the analyst must provide information in this column. 
</t>
  </si>
  <si>
    <t>(H) General Comments</t>
  </si>
  <si>
    <t xml:space="preserve">Analysts may use this column to record any additional notes that have not been captured elsewhere. If a given requirement is listed as “N/A", the analyst must use this column to document the rationale for indicating that the requirement is not applicable.
</t>
  </si>
  <si>
    <t>(C:3) Marking an Entire Tab as "N/A"</t>
  </si>
  <si>
    <r>
      <t>Tabs B</t>
    </r>
    <r>
      <rPr>
        <sz val="10"/>
        <rFont val="Aptos Narrow"/>
        <family val="2"/>
      </rPr>
      <t>–</t>
    </r>
    <r>
      <rPr>
        <sz val="10"/>
        <rFont val="Arial"/>
        <family val="2"/>
      </rPr>
      <t xml:space="preserve">K have a field in A3 that reads: “Mark all requirements as “N/A?” There are two potential corresponding values in cell C3: (1) “No, section requirements must be reviewed” or (2) “yes, section requirements are not applicable.” Note that option (1) “No, section requirements must be reviewed” is the default value and option (2) “yes, section requirements are not applicable” must be selected in order to mark the entire tab as "N/A."
</t>
    </r>
  </si>
  <si>
    <t>General Guidance for Using the Checklist</t>
  </si>
  <si>
    <t>Model Contracts</t>
  </si>
  <si>
    <t xml:space="preserve">If the state uses a model contract with multiple contractors, the lead analyst may complete a single review tool. However, if the start dates differ amongst contractors, analysts should complete a separate review tool for each start date to ensure all newly effective requirements are captured in the review. 
</t>
  </si>
  <si>
    <t>Summary of Review</t>
  </si>
  <si>
    <t>Run the summary by following the instructions at the top of the page. The summary provides a list of all "Unsure" and "Unmet" provisions. These items should be followed up on immediately with the state and monitored for additional follow-up action as needed.</t>
  </si>
  <si>
    <t>Guidance for Evaluating Contracts</t>
  </si>
  <si>
    <r>
      <t>In each applicable tab A</t>
    </r>
    <r>
      <rPr>
        <sz val="10"/>
        <rFont val="Aptos Narrow"/>
        <family val="2"/>
      </rPr>
      <t>–</t>
    </r>
    <r>
      <rPr>
        <sz val="10"/>
        <rFont val="Arial"/>
        <family val="2"/>
      </rPr>
      <t>K, analysts should evaluate the contract language and compare it to the “Requirement” column (C) in the table to determine whether the required language is contained in the contract. Column “Where Found” (F) is provided for the analyst's use in noting where the required language is found in the contract or other document. If the language is present and fulfills the requirement, analysts should use the drop-down “Status” menus (Column E) to select "Met" in the appropriate row. If the language is absent, evaluators should select "Not met" or indicate that they are "Unsure" and enter information in the "Follow-up Required” column (G). Resolution of issues concerning absent or incomplete requirements is left up to the discretion of the evaluation team. 
Note: Because the statements referred to in this checklist are federal requirements, it is not sufficient to have generic contract language saying the contractor must comply with all federal statutes and regulations. Where any discrepancies exist between an SMD or State Health Official (SHO) letter and the Medicaid/</t>
    </r>
    <r>
      <rPr>
        <strike/>
        <sz val="10"/>
        <rFont val="Arial"/>
        <family val="2"/>
      </rPr>
      <t>CHIP</t>
    </r>
    <r>
      <rPr>
        <sz val="10"/>
        <rFont val="Arial"/>
        <family val="2"/>
      </rPr>
      <t xml:space="preserve"> managed care regulations, regulations supersede the SMD and SHO letter. All items in this checklist are applicable to the designated entity types regardless of the operating authority in effect unless the requirement is specifically waived in the authorizing documents, including the state plan or a waiver.
 </t>
    </r>
  </si>
  <si>
    <t>Tips &amp; Comment Flags</t>
  </si>
  <si>
    <t xml:space="preserve">Within each tab of the checklist, some items may have tips that provide more information about a requirement. Tips should be reviewed by the analyst when evaluating a particular item. Tips are noted with a numeric citation in column D and are linked to the corresponding tip at the bottom of the tab. 
If a cell contains a comment flag, it will be indicated by a red triangle in the upper right hand corner of a given cell. Content for comment flags will display when a user hovers the mouse over the cell. To view all comments, a user can right-click on the tab and select "Show/Hide Comments."
</t>
  </si>
  <si>
    <t>Changing Cell Size to Show Text</t>
  </si>
  <si>
    <t>Column widths are fixed. However, analysts may modify row heights to show any hidden text in a cell or to show text that analysts have entered in the checklist.</t>
  </si>
  <si>
    <t xml:space="preserve">A glossary tab provides definitions of commonly used terms and acronyms. </t>
  </si>
  <si>
    <t>CMS Review Tool for Medicaid Managed Care Contract Approval</t>
  </si>
  <si>
    <t>Values for Form Fields - Do not modify</t>
  </si>
  <si>
    <t>Headers for B15:18</t>
  </si>
  <si>
    <t>Headers for A21:A22</t>
  </si>
  <si>
    <t>Base contract</t>
  </si>
  <si>
    <t>state</t>
  </si>
  <si>
    <t>1915(a)(1)(A) voluntary</t>
  </si>
  <si>
    <t>Draft</t>
  </si>
  <si>
    <t>MCO</t>
  </si>
  <si>
    <t>Approved</t>
  </si>
  <si>
    <t>Risk</t>
  </si>
  <si>
    <t>Complete the boxes below. Select from drop-down menu where applicable</t>
  </si>
  <si>
    <t>Analyst Notes</t>
  </si>
  <si>
    <t>Description/Instructions</t>
  </si>
  <si>
    <t>Contract amendment</t>
  </si>
  <si>
    <t>Alabama</t>
  </si>
  <si>
    <t>State Plan Amendment (Title XIX)</t>
  </si>
  <si>
    <t>Executed</t>
  </si>
  <si>
    <t>HIO</t>
  </si>
  <si>
    <t>Revisions needed</t>
  </si>
  <si>
    <t>Non-risk</t>
  </si>
  <si>
    <t>Does the contract cover Medicaid or both Medicaid and CHIP? (Required)</t>
  </si>
  <si>
    <t xml:space="preserve">Select “Medicaid” if the managed care contract covers only Medicaid enrollees, including Medicaid expansion CHIP (Title XIX) enrollees. Select “Both” if the contract covers both Medicaid and separate CHIP enrollees. </t>
  </si>
  <si>
    <t>Alaska</t>
  </si>
  <si>
    <t>1115 waiver</t>
  </si>
  <si>
    <t>PIHP</t>
  </si>
  <si>
    <t>Reviewer</t>
  </si>
  <si>
    <t>Enter each reviewer's first and last name.</t>
  </si>
  <si>
    <t>Arizona</t>
  </si>
  <si>
    <t>1915(b) waiver</t>
  </si>
  <si>
    <t>PAHP</t>
  </si>
  <si>
    <t>Type of Review (Required)</t>
  </si>
  <si>
    <t>A base contract is the state's full contract with an MCP; a contract amendment changes an existing base contract.</t>
  </si>
  <si>
    <t>Arkansas</t>
  </si>
  <si>
    <t>Other</t>
  </si>
  <si>
    <t>NEMT PAHP</t>
  </si>
  <si>
    <t>Start Date of Review (Required if not crosshatched)</t>
  </si>
  <si>
    <t>Enter date in 00/00/0000 format.</t>
  </si>
  <si>
    <t>California</t>
  </si>
  <si>
    <t>State Plan Amendment (Title XXI)</t>
  </si>
  <si>
    <t>PCCME</t>
  </si>
  <si>
    <t xml:space="preserve">State </t>
  </si>
  <si>
    <t>Select name of state.</t>
  </si>
  <si>
    <t>Colorado</t>
  </si>
  <si>
    <t>Name of Program(s)</t>
  </si>
  <si>
    <t>Enter the name of the program(s) included in this contract.</t>
  </si>
  <si>
    <t>Connecticut</t>
  </si>
  <si>
    <t>Yes</t>
  </si>
  <si>
    <t>Medicaid Federal Operating Authority (select all that apply)</t>
  </si>
  <si>
    <t>Select the Medicaid federal operating authority.</t>
  </si>
  <si>
    <t>Delaware</t>
  </si>
  <si>
    <t>No</t>
  </si>
  <si>
    <t>Contract Start Date</t>
  </si>
  <si>
    <t xml:space="preserve">The date on which the full contract began/will begin. If the contract being submitted for review is an amendment to an existing contract, the start date is the date on which the amendment will/did go into effect. </t>
  </si>
  <si>
    <t>Dist. of Col.</t>
  </si>
  <si>
    <t>Name of Model Contract/Name of MCP</t>
  </si>
  <si>
    <t xml:space="preserve">Enter "model contract" if the state uses this same contract language for more than one MCP contract.  If the contract language is unique, enter the name of the MCP. </t>
  </si>
  <si>
    <t>Florida</t>
  </si>
  <si>
    <t>Does the contract apply to an MCO?</t>
  </si>
  <si>
    <t>An MCP that has, or is seeking to qualify for, a comprehensive risk contract.</t>
  </si>
  <si>
    <t>Georgia</t>
  </si>
  <si>
    <t>Does the contract apply to an HIO?</t>
  </si>
  <si>
    <t>With the exception of California, please select “No” under the drop-down menu. A county operated MCP that, in exchange for capitation payments, covers services for beneficiaries.</t>
  </si>
  <si>
    <t>Hawaii</t>
  </si>
  <si>
    <t xml:space="preserve"> </t>
  </si>
  <si>
    <t>Does the contract apply to a PIHP?</t>
  </si>
  <si>
    <t xml:space="preserve">An MCP that provides inpatient hospital or institutional services, does not have a comprehensive risk contract, and receives capitation payments or other payment arrangements that do not use state plan rates. </t>
  </si>
  <si>
    <t>Idaho</t>
  </si>
  <si>
    <t>Does the contract apply to a PAHP?</t>
  </si>
  <si>
    <t xml:space="preserve">An MCP that provides services, but is not responsible for inpatient hospital or institutional services and receives capitation payments, or other payment arrangements that do not use state plan rates. </t>
  </si>
  <si>
    <t>Illinois</t>
  </si>
  <si>
    <t>Does the contract apply to a NEMT PAHP?</t>
  </si>
  <si>
    <t>An MCP that provides only NEMT services to enrollees, and receives capitation payments, or other payment arrangements that do not use state plan rates.</t>
  </si>
  <si>
    <t>Indiana</t>
  </si>
  <si>
    <t>Does the contract apply to a PCCM Entity?</t>
  </si>
  <si>
    <t>An MCP that provides services as defined in regulation in addition to PCCM services for the state.</t>
  </si>
  <si>
    <t>Iowa</t>
  </si>
  <si>
    <t>Is MCP risk-bearing or non-risk bearing? (Required)</t>
  </si>
  <si>
    <t>MCOs are always risk bearing in accordance with 42 CFR 438.2 and 42 CFR 457.10. PIHPs, PAHPs, and NEMT PAHPs may be risk-based or non-risk-based. This does not need to be completed for PCCM-entity.</t>
  </si>
  <si>
    <t>Kansas</t>
  </si>
  <si>
    <t>Type of Contract (Required)</t>
  </si>
  <si>
    <t>Is the contract in draft form or has it been executed?</t>
  </si>
  <si>
    <t>Kentucky</t>
  </si>
  <si>
    <t>The date on which the base contract begins.</t>
  </si>
  <si>
    <t>Louisiana</t>
  </si>
  <si>
    <t>Comprehensive Review</t>
  </si>
  <si>
    <t>The date on which the base contract ends.</t>
  </si>
  <si>
    <t>Maine</t>
  </si>
  <si>
    <t>Streamlined Review</t>
  </si>
  <si>
    <t>The date on which the contract amendment begins.</t>
  </si>
  <si>
    <t>Maryland</t>
  </si>
  <si>
    <t>The date on which the contract amendment ends.</t>
  </si>
  <si>
    <t>Massachusetts</t>
  </si>
  <si>
    <t>Rating Period Start Date</t>
  </si>
  <si>
    <t>The date on which the associated contract rating period begins. For contract actions that do not implement rates, the rating period start and end dates should reflect the annual rating period during which the start date of the contract action falls.</t>
  </si>
  <si>
    <t>Michigan</t>
  </si>
  <si>
    <t>Rating Period End Date</t>
  </si>
  <si>
    <t>The date on which the associated contract rating period ends.</t>
  </si>
  <si>
    <t>Minnesota</t>
  </si>
  <si>
    <t>Is this an entirely new managed care program? (Required)</t>
  </si>
  <si>
    <t>Comprehensive review is required for new managed care programs.</t>
  </si>
  <si>
    <t>Mississippi</t>
  </si>
  <si>
    <t>Has it been more than five years since the last comprehensive review was completed? (Required)</t>
  </si>
  <si>
    <t>Comprehensive review is required for contracts that have not had a comprehensive review within the past five years.</t>
  </si>
  <si>
    <t>Missouri</t>
  </si>
  <si>
    <t>Comprehensive Review or Streamlined Review? (Required)</t>
  </si>
  <si>
    <t>Denotes whether the review will be a comprehensive or streamlined review.</t>
  </si>
  <si>
    <t>Montana</t>
  </si>
  <si>
    <t>Nebraska</t>
  </si>
  <si>
    <t>Medicaid Requirements</t>
  </si>
  <si>
    <t>(Please provide additional comments)</t>
  </si>
  <si>
    <t>Nevada</t>
  </si>
  <si>
    <t xml:space="preserve">
(Status/Decision fields below will update automatically) </t>
  </si>
  <si>
    <t>Ohio</t>
  </si>
  <si>
    <t>A. Completeness</t>
  </si>
  <si>
    <t>Oklahoma</t>
  </si>
  <si>
    <t>B. Enrollment and Disenrollment</t>
  </si>
  <si>
    <t>Oregon</t>
  </si>
  <si>
    <t>C. Beneficiary Notification</t>
  </si>
  <si>
    <t>Pennsylvania</t>
  </si>
  <si>
    <t>D. Payment</t>
  </si>
  <si>
    <t>Puerto Rico</t>
  </si>
  <si>
    <t>E. Providers and Provider Networks</t>
  </si>
  <si>
    <t>New Hampshire</t>
  </si>
  <si>
    <t xml:space="preserve">F. Coverage </t>
  </si>
  <si>
    <t>New Jersey</t>
  </si>
  <si>
    <t>G. Quality and Utilization Management (UM)</t>
  </si>
  <si>
    <t>New Mexico</t>
  </si>
  <si>
    <t>H. Grievances and Appeals</t>
  </si>
  <si>
    <t>New York</t>
  </si>
  <si>
    <t>I. Program Integrity</t>
  </si>
  <si>
    <t>North Carolina</t>
  </si>
  <si>
    <t>J. General Terms and Conditions</t>
  </si>
  <si>
    <t>North Dakota</t>
  </si>
  <si>
    <t>K. Health Information Systems and Enrollee Data</t>
  </si>
  <si>
    <t>Rhode Island</t>
  </si>
  <si>
    <t>Checklist version date: 1/24/2022; revised 9/3/2024</t>
  </si>
  <si>
    <t>South Carolina</t>
  </si>
  <si>
    <t>Password for corresponding locked checklist: mmc2019</t>
  </si>
  <si>
    <t>South Dakota</t>
  </si>
  <si>
    <t>Tennessee</t>
  </si>
  <si>
    <t>Texas</t>
  </si>
  <si>
    <t>Utah</t>
  </si>
  <si>
    <t>Vermont</t>
  </si>
  <si>
    <t>Virginia</t>
  </si>
  <si>
    <t>Washington</t>
  </si>
  <si>
    <t>West Virginia</t>
  </si>
  <si>
    <t>Wisconsin</t>
  </si>
  <si>
    <t>Wyoming</t>
  </si>
  <si>
    <t>*</t>
  </si>
  <si>
    <t>Subpart A - Contract Completeness</t>
  </si>
  <si>
    <t>Met</t>
  </si>
  <si>
    <t xml:space="preserve">Risk v non-risk? </t>
  </si>
  <si>
    <t>This contract applies to the following entity types</t>
  </si>
  <si>
    <t>Contract/RP start dates NOT supplied in cover sheet?</t>
  </si>
  <si>
    <t>Contract Period Start Date</t>
  </si>
  <si>
    <t>Review date NOT supplied in cover sheet</t>
  </si>
  <si>
    <t>Review Date</t>
  </si>
  <si>
    <t>Does the review include Medicaid and CHIP?</t>
  </si>
  <si>
    <t>N/A</t>
  </si>
  <si>
    <t>Type of Review:</t>
  </si>
  <si>
    <t xml:space="preserve">Status of Medicaid Section: </t>
  </si>
  <si>
    <t>Unsure</t>
  </si>
  <si>
    <t>Yes, section requirements are not applicable</t>
  </si>
  <si>
    <t>Mark all requirements as "N/A"?</t>
  </si>
  <si>
    <t>No, section requirements must be reviewed</t>
  </si>
  <si>
    <t>Medicaid Decision:</t>
  </si>
  <si>
    <t>Not met</t>
  </si>
  <si>
    <t>No, submission is in draft</t>
  </si>
  <si>
    <t>Yes, all requirements on the sheet are crosshatched</t>
  </si>
  <si>
    <t>_EFFECTIVE</t>
  </si>
  <si>
    <t>Medicaid_Only</t>
  </si>
  <si>
    <t>Std type (EXISTING or NEW)</t>
  </si>
  <si>
    <t>List</t>
  </si>
  <si>
    <t>NR Ind</t>
  </si>
  <si>
    <t>(b4) Reasons to Crosshatch</t>
  </si>
  <si>
    <t>For logic check only:</t>
  </si>
  <si>
    <t>Item</t>
  </si>
  <si>
    <t>Legal Cite</t>
  </si>
  <si>
    <t>Requirement</t>
  </si>
  <si>
    <t>Tip</t>
  </si>
  <si>
    <t>Status</t>
  </si>
  <si>
    <t>Where Found</t>
  </si>
  <si>
    <t>Follow-up Required</t>
  </si>
  <si>
    <t>General Comments</t>
  </si>
  <si>
    <t>PCCM</t>
  </si>
  <si>
    <t>Effective</t>
  </si>
  <si>
    <t>Contract start date (DATE) or rating period start date (RP)?</t>
  </si>
  <si>
    <t>Row Completed? (1 if status = Unsure; status = Met and column G &lt;&gt;blank; or status = Not Met and column I&lt;&gt;not blank;  OR parallel medicaid requirement = Met)</t>
  </si>
  <si>
    <t>If risk, use RP effective date. If non-risk, use CY date.</t>
  </si>
  <si>
    <t>Entire section marked NA</t>
  </si>
  <si>
    <t>Shaded</t>
  </si>
  <si>
    <t>Entity Not Applied</t>
  </si>
  <si>
    <t>If CHIP linking and no information in rows with gray shading in columns E through H; code as complete. If rows with gray shading have information in one or more cells, the status of the row will be counted as if gray shading did not appear. (See Column Descriptions for more information)</t>
  </si>
  <si>
    <t>(a) Crosshatch b/c entity type not applicable? (True=Yes,False=No)</t>
  </si>
  <si>
    <t>(b1) Crosshatch b/c requirement not in effect? Default is DO NOT crosshatch; if values in the following columns = TRUE, apply crosshatching</t>
  </si>
  <si>
    <t>(b2a) Reason Exists To Not Crosshatch?
Will be TRUE if Missing Any dates.</t>
  </si>
  <si>
    <t>(b2b) Reason Exists To Crosshatch?</t>
  </si>
  <si>
    <t>(b4a) ''DATE" - Effective Date of Req &gt; Contract Period Start Date</t>
  </si>
  <si>
    <t xml:space="preserve">(b4b) "RP" - Effective Date of Req  &gt; Rating Period Start Date  </t>
  </si>
  <si>
    <t>(b4d) TRUE - Non-Risk in cover sheet and indicator=1</t>
  </si>
  <si>
    <t>(b4c) Section I vs II</t>
  </si>
  <si>
    <t>CHIP Requirement</t>
  </si>
  <si>
    <t>Does the CHIP section have a corresponding Medicaid section (Yes=1)</t>
  </si>
  <si>
    <t>If yes, link the Medicaid section item:</t>
  </si>
  <si>
    <t>If yes, link the Medicaid Requirement:</t>
  </si>
  <si>
    <t>Is the text the exact same?</t>
  </si>
  <si>
    <t>Shading code</t>
  </si>
  <si>
    <t>section1_no_link</t>
  </si>
  <si>
    <t>Linked Medicaid Requirement Status</t>
  </si>
  <si>
    <t>Linked Medicaid Requirement Where Found</t>
  </si>
  <si>
    <t>Linked Medicaid Requirement Followup Required</t>
  </si>
  <si>
    <t>Linked Medicaid General Comments</t>
  </si>
  <si>
    <t>Row Started (1 if row has been started)</t>
  </si>
  <si>
    <t>Requirement Met</t>
  </si>
  <si>
    <t>All Required Medicaid Cols Filled (1=True)</t>
  </si>
  <si>
    <t>Streamlined</t>
  </si>
  <si>
    <t>Rating Period</t>
  </si>
  <si>
    <t>I.A.1.01</t>
  </si>
  <si>
    <t>The contract submission is signed and dated by all parties.</t>
  </si>
  <si>
    <t>EXISTING</t>
  </si>
  <si>
    <t>I.A.1.02</t>
  </si>
  <si>
    <t>The contract submission is complete, meaning:
• All pages, appendices, attachments, etc. were submitted to CMS.
• Any documents incorporated by reference (including, but not limited to, state statute, state regulation, or other binding document, such as a member handbook) to comply with federal regulations and the requirements of this review tool were submitted to CMS.</t>
  </si>
  <si>
    <t>If the contract submission is an amendment, CMS has approved the base contract, and all previous amendments have been approved that are related to or modifying the same provision(s), or are assumed to be implemented.</t>
  </si>
  <si>
    <t>I.A.1.03</t>
  </si>
  <si>
    <t>42 CFR 438.7(a)</t>
  </si>
  <si>
    <t>If the contract submission implements capitation rates or a change in the contract may impact 42 CFR 438.4, CMS has received a rate certification from the state.</t>
  </si>
  <si>
    <t>2,3,5,6</t>
  </si>
  <si>
    <t>I.A.1.04</t>
  </si>
  <si>
    <t>42 CFR 438.7(c)(3); 42 CFR 438.7(b)(6)</t>
  </si>
  <si>
    <t>If the state is increasing or decreasing previously certified rates without submitting a rate certification, the rate change must be within 1.5% per rate cell of the rates previously certified for the applicable rating period, and the change that accompanies this de minimis rate change must not be for a change in special contract provisions related to payment in 42 CFR 438.6 that is applied to the contract (e.g., state directed payment).</t>
  </si>
  <si>
    <t>1,2,6,7,19</t>
  </si>
  <si>
    <t>If the state is increasing or decreasing previously certified rates without submitting a rate certification, the rate change must be within 1.5% per rate cell of the rates previously certified for the applicable rating period, and the change that accompanies this de minimis rate change must not be for a change in special contract provisions related to payment in 42 CFR 438.6 or in lieu of services and settings (ILOSs) that is applied to the contract (e.g., state directed payment).</t>
  </si>
  <si>
    <t>I.A.1.05</t>
  </si>
  <si>
    <t>42 CFR 438.4(c)(2)(iii)</t>
  </si>
  <si>
    <t>If the state is increasing or decreasing rates within a previously certified rate range without submitting a rate certification, the rate change must be within 1% per rate cell within the rate range previously certified for the applicable rating period in accordance with the requirements in 42 CFR 438.4(c)(2)(iii).</t>
  </si>
  <si>
    <t>8,9,10,19</t>
  </si>
  <si>
    <t>NEW</t>
  </si>
  <si>
    <t>RP</t>
  </si>
  <si>
    <t>I.A.1.06</t>
  </si>
  <si>
    <t>42 CFR 7(c)(4)</t>
  </si>
  <si>
    <t>If the state is making any changes to the capitation rate per rate cell for state directed payments not already described in the rate certification, regardless of the size of the change in the capitation rate per rate cell, the state has submitted a revised rate certification.</t>
  </si>
  <si>
    <t>If the state is making any changes to the capitation rate per rate cell for state directed payments or ILOSs not already described in the rate certification, regardless of the size of the change in the capitation rate per rate cell, the state has submitted a revised rate certification.</t>
  </si>
  <si>
    <t>I.A.1.07</t>
  </si>
  <si>
    <t xml:space="preserve">42 CFR 438.74(a) </t>
  </si>
  <si>
    <t xml:space="preserve">If the contract submission implements capitation rates for the state’s annual rating period, DMCO received the state's summary description of medical loss ratio (MLR) reports received from the MCPs under contract with the state. </t>
  </si>
  <si>
    <t>2,3,4,11</t>
  </si>
  <si>
    <t>If the contract submission implements capitation rates for the state’s annual rating period, DMCO received the state's summary description of medical loss ratio (MLR) reports received from the MCPs under contract with the state. The summary description must be provided for each MCP under contract with the state.</t>
  </si>
  <si>
    <t>I.A.1.08</t>
  </si>
  <si>
    <t>42 CFR 438.1(b)</t>
  </si>
  <si>
    <t xml:space="preserve">The contract submission complies with the federal authority(ies) approved by CMS. For example, if the contractor delivers services for a program authorized under section 1915(b)/1915(c) concurrent authority, the contract is in compliance with the approved section 1915(b)/1915(c) waivers. If the contract action includes a new benefit, the state has submitted a state plan amendment (SPA) or waiver amendment, requesting authority to cover the benefit. </t>
  </si>
  <si>
    <t>I.A.1.09</t>
  </si>
  <si>
    <t>42 CFR 438.3(n); 42 CFR 438.920(b)</t>
  </si>
  <si>
    <t>If the MCP delivers services to Medicaid MCO enrollees, and:
• This is either a new MCO program or a new MCP contracting with the state, the state has submitted parity analysis(ies) to CMS in accordance with 42 CFR 438.3(n) and 920(b), and the analyst has completed the Parity Analysis Review Tool and determined the submission to be compliant with federal requirements.  
• The contract includes changes to benefits, financial requirements, quantitative treatment limitations (QTLs), and/or non-quantitative treatment limitations (NQTLs) that could affect compliance with parity, the state has submitted revised parity analysis(ies) to CMS in accordance with 42 CFR 438.3(n) and 920(b), and the analyst has completed the Parity Analysis Review Tool and determined the submission to be compliant with federal requirements.
• The contract includes corrections to parity compliance deficiencies, the state has submitted revised parity analysis(ies) to CMS in accordance with 42 CFR 438.3(n) and 920(b), and the analyst has completed the Parity Analysis Review Tool and determined the submission to be compliant with federal requirements.</t>
  </si>
  <si>
    <t>I.A.1.10</t>
  </si>
  <si>
    <t xml:space="preserve">42 CFR 438.6(c)(1); 42 CFR 438.6(c)(2) </t>
  </si>
  <si>
    <t>If the contract submission includes state directed payment initiatives other than the adoption of a minimum fee schedule using state plan approved rates under 42 CFR 438.6(c), CMS has approved a Section 438.6(c) Preprint prior to the arrangement being implemented. Each state directed payment arrangement must be described in the MCP contract and the description must be consistent with the CMS-approved Section 438.6(c) Preprint. 
Note: If the contract includes adoption of a minimum fee schedule using state plan approved rates under 42 CFR 438.6(c)(1)(iii)(A), the state directed payment must be described in the MCP contract, but CMS approval of a preprint is not applicable.</t>
  </si>
  <si>
    <t>14,15,16, 17</t>
  </si>
  <si>
    <t>If the contract submission includes state directed payment initiatives other than (1) the adoption of a minimum fee schedule using state plan approved rates under 42 CFR 438.6(c), or (2) a total published Medicare payment rate that was in effect no more than three years prior to the start of the rating period and the minimum fee schedule to be used by the MCP is equivalent to 100 percent of the specified total published Medicare payment rate, CMS has approved a Section 438.6(c) Preprint prior to the arrangement being implemented. Each state directed payment arrangement must be described in the MCP contract and the description must be consistent with the CMS-approved Section 438.6(c) Preprint. 
Note: If the contract includes adoption of a minimum fee schedule using state plan approved rates under 42 CFR 438.6(c)(1)(iii)(A), the state directed payment must be described in the MCP contract, but CMS approval of a preprint is not applicable.</t>
  </si>
  <si>
    <t>I.A.1.12</t>
  </si>
  <si>
    <t>42 CFR 438.6(b)(1)</t>
  </si>
  <si>
    <r>
      <t xml:space="preserve">If the contract submission implements risk-sharing mechanisms (such as reinsurance, risk corridors, or stop-loss limits), the mechanism(s) must be documented in the contract and rate certification documents for the rating period </t>
    </r>
    <r>
      <rPr>
        <u/>
        <sz val="10"/>
        <rFont val="Arial"/>
        <family val="2"/>
      </rPr>
      <t>prior</t>
    </r>
    <r>
      <rPr>
        <sz val="10"/>
        <rFont val="Arial"/>
        <family val="2"/>
      </rPr>
      <t xml:space="preserve"> to the start of the rating period. Risk-sharing mechanisms may not be added or modified after the start of the rating period. See the applicable tips section for more information as states adjust to this new policy.</t>
    </r>
  </si>
  <si>
    <t>I.A.1.13</t>
  </si>
  <si>
    <t>42 CFR 438.66(d)(1)(i)</t>
  </si>
  <si>
    <r>
      <t>If the state is implementing a managed care program, whether the program is voluntary or mandatory, the state has submitted a readiness review in accordance with 42 CFR 438.66(d)(2)</t>
    </r>
    <r>
      <rPr>
        <sz val="10"/>
        <color theme="1"/>
        <rFont val="Aptos Narrow"/>
        <family val="2"/>
      </rPr>
      <t>–</t>
    </r>
    <r>
      <rPr>
        <sz val="10"/>
        <color theme="1"/>
        <rFont val="Arial"/>
        <family val="2"/>
      </rPr>
      <t>(4).</t>
    </r>
  </si>
  <si>
    <t>I.A.1.14</t>
  </si>
  <si>
    <t>42 CFR 438.66(d)(1)(ii)</t>
  </si>
  <si>
    <r>
      <t>If the MCP has not previously contracted with the state, the state has submitted a readiness review in accordance with 42 CFR 438.66(d)(2)</t>
    </r>
    <r>
      <rPr>
        <sz val="10"/>
        <color theme="1"/>
        <rFont val="Aptos Narrow"/>
        <family val="2"/>
      </rPr>
      <t>–(</t>
    </r>
    <r>
      <rPr>
        <sz val="10"/>
        <color theme="1"/>
        <rFont val="Arial"/>
        <family val="2"/>
      </rPr>
      <t>4).</t>
    </r>
  </si>
  <si>
    <t>I.A.1.15</t>
  </si>
  <si>
    <t>42 CFR 438.66(d)(1)(iii)</t>
  </si>
  <si>
    <r>
      <t>If the MCP currently contracting with the state will provide or arrange for the provision of covered benefits to new eligibility groups, the state has submitted a readiness review in accordance with 42 CFR 438.66(d)(2)</t>
    </r>
    <r>
      <rPr>
        <sz val="10"/>
        <color theme="1"/>
        <rFont val="Aptos Narrow"/>
        <family val="2"/>
      </rPr>
      <t>–</t>
    </r>
    <r>
      <rPr>
        <sz val="10"/>
        <color theme="1"/>
        <rFont val="Arial"/>
        <family val="2"/>
      </rPr>
      <t>(4).</t>
    </r>
  </si>
  <si>
    <t>I.A.1.16</t>
  </si>
  <si>
    <t>42 CFR 438.16(d)(2)</t>
  </si>
  <si>
    <t xml:space="preserve">If the MCP contract includes ILOSs and the projected ILOS cost percentage exceeds 1.5%, the state has submitted the following documentation:  
• A description of the process and supporting evidence the state used to determine that each ILOS is a medically appropriate service or setting for the clinically defined target population(s). 
• A description of the process and supporting data the state used to determine that each ILOS is a cost-effective substitute for the clinically defined target population(s). </t>
  </si>
  <si>
    <t>42 CFR 438.74(a); 42 CFR 457.1203(e)</t>
  </si>
  <si>
    <t>If the contract submission implements capitation rates or a change in the contract may impact 42 CFR 438.4, DMCO received the state's summary description of MLR reports received from MCOs, PIHPs, and PAHPs under contract with the state.</t>
  </si>
  <si>
    <t>If the contract submission implements capitation rates or a change in the contract may impact 42 CFR 438.4, and if CMS’s Office of the Actuary (OACT) reviewed the rate certification, the rate liaison has indicated that OACT's review is complete.</t>
  </si>
  <si>
    <t>2,3</t>
  </si>
  <si>
    <t>42 CFR 457.940(c)</t>
  </si>
  <si>
    <t xml:space="preserve">The contract includes provisions that define a sound and complete procurement contract, as required by 45 CFR Part 75, as applicable. </t>
  </si>
  <si>
    <r>
      <t>42 CFR 438.207(a)</t>
    </r>
    <r>
      <rPr>
        <sz val="10"/>
        <rFont val="Aptos Narrow"/>
        <family val="2"/>
      </rPr>
      <t>–</t>
    </r>
    <r>
      <rPr>
        <sz val="10"/>
        <rFont val="Arial"/>
        <family val="2"/>
      </rPr>
      <t xml:space="preserve">(d)  </t>
    </r>
  </si>
  <si>
    <t>The Network Adequacy and Access Assurances Report (NAAAR) was submitted in accordance with requirements at 42 CFR 438.207.</t>
  </si>
  <si>
    <t>Tips and Additional Guidance</t>
  </si>
  <si>
    <t>This item may be marked N/A if submission is a base contract.</t>
  </si>
  <si>
    <r>
      <rPr>
        <sz val="10"/>
        <color theme="1"/>
        <rFont val="Arial"/>
        <family val="2"/>
      </rPr>
      <t xml:space="preserve">This item may be marked N/A if submission does not include risk-based capitation rates. </t>
    </r>
    <r>
      <rPr>
        <strike/>
        <sz val="10"/>
        <color theme="1"/>
        <rFont val="Arial"/>
        <family val="2"/>
      </rPr>
      <t xml:space="preserve">
</t>
    </r>
  </si>
  <si>
    <t>If the contract action revises covered populations, services furnished under the contract or other changes that could reasonably change the rate development, and the state does not submit a new actuarial certification for capitation rates, the state and its actuary must provide actuarial documentation indicating the rationale as to why the rates continue to be actuarially sound in accordance with 42 CFR 438.4.</t>
  </si>
  <si>
    <t>42 CFR 438.4(a) requires that capitation rates are projected to provide for all reasonable, appropriate, and attainable costs that are required under the terms of the contract and for the operation of the MCP for the time period and the population covered the terms of the contract. Therefore, if the contract terms are changing in a way that could impact capitation rates (such as services, populations are being amended), the state must submit a new rate certification or rate-setting documentation from the actuary explaining the rationale as to why the contract change is immaterial to rate development unless otherwise allowable under 42 CFR 438.4(b)(4) or 42 CFR 438.7(c)(3). See related tips 6 and 7.</t>
  </si>
  <si>
    <t>States have the option to develop rate ranges or capitation rates specific to payments for each rate cell under the MCP contract. The documentation on which option the state's actuary is certifying will be outlined in the rate certification. States have the option to make a rate change by a certain percentage under either option without the need for a rate certification; however, there are very clear requirements for each (see Items I.A.1.05 and I.A.1.6). The analyst also does not need to complete the CMS rate-setting review tool when an rate certification is not required for a de minimis rate change. However, the analyst must confirm that the rate change is within the actuarially sound rate range of a CMS approved rate certification for the same rating period.</t>
  </si>
  <si>
    <t>For rating periods beginning on or after July 1, 2018, if the state certifies capitation rates and is choosing to increase or decrease the capitation rate per rate cell up to 1.5%, as allowed by 42 CFR 438.7(c)(3), the state is not required to submit a revised rate certification. The capitation rate per cell may be modified up to 1.5% without submission of a revised rate certification only once during the applicable rating period. The analyst also does not need to complete the CMS rate-setting review tool. However, the analyst must confirm that the rate change is within 1.5% per rate cell of a CMS approved rate certification for the same rating period.</t>
  </si>
  <si>
    <t>The analyst should review the increase or decrease of the capitation rate per rate cell for compliance with 42 CFR 438.7(c)(3) and assess the reasonableness and appropriateness of the change as it relates to the terms of the contract. For example, the rate change should not solely be for Medicaid populations with an enhanced Federal Medical Assistance Percentage (FMAP) should be reasonable for any changes to the terms of the contract (such as benefit changes). Additionally, the de minimis rate change flexibility cannot be utilized for changes to special contract provisions related to payment (such as state directed payments) as 42 CFR 438.7(c)(6) requires these provisions to be documented in the rate certification. If the analyst has concerns about the reasonableness and/or appropriateness of the rate change utilizing the state option outlined in 42 CFR 438.7(c)(3), please consult your DMCO rate liaison.</t>
  </si>
  <si>
    <t>When a state certifies rate ranges, any modification to the capitation rates within the rate range greater than the permissible 1% requires the state to provide a revised rate certification for CMS approval consistent with 42 CFR 438.4(c)(2)(iii).</t>
  </si>
  <si>
    <t>When a state develops and certifies a range of capitation rates per rate cell as actuarially sound, the state must post on the website required by 42 CFR 438.10(c)(3) the following information prior to executing a MCP contract or contract amendment that includes or modifies a rate range:
(1) The upper and lower bounds of each rate cell;
(2) A description of all assumptions that vary between the upper and lower bounds of each rate cell, including for the assumptions that vary, the specific assumptions used for the upper and lower bounds of each rate cell; and
(3) A description of the data and methodologies that vary between the upper and lower bounds of each rate cell, including for the data and methodologies that vary, the specific data and methodologies used for the upper and lower bounds of each rate cell.</t>
  </si>
  <si>
    <t>When a state develops and certifies a range of capitation rates per rate cell as actuarially sound, the state may not utilize the 42 CFR 438.7(c)(3) option to modify capitation rates up to 1.5% without submitting a revised rate certification.</t>
  </si>
  <si>
    <t>Effective with the rating period beginning on or after 07/01/17, 42 CFR 438.8(k) requires the MCO, PIHP, or PAHP to submit a MLR report in a timeframe and manner determined by the state, which must be within 12 months of the end of the MLR reporting year. The state is then responsible for submitting a summary description of the report(s) to CMS. The MLR report must be submitted by the state in the Medicaid Data Collection Tool Managed Care Reporting (MDCT-MCR) portal for rating periods beginning on or after July 1, 2024 though states have the option to utilize MDCT earlier.</t>
  </si>
  <si>
    <t>The analyst should review the contract for compliance with the program design approved by CMS. For instance, the covered services described in the contract should align with the services included in the approved Section 1915(b)/1915(c) concurrent authority. The enrollment process described in the contract should be consistent with the type of enrollment (i.e., mandatory, voluntary) described in the Section 1915(b) waiver.</t>
  </si>
  <si>
    <t>If the contract relates to a new Medicaid managed care program or any of the circumstances noted in Item I.A.1.09, the contract submission should include a new or updated parity analysis from either the state or the MCO, as applicable. States are required to provide documentation to CMS in accordance with 42 CFR 438.3(n)(2) when any medical/surgical, mental health, or substance use disorder benefits are not included in an MCO’s Medicaid contract and are provided using another delivery system or through a different managed care plan. Alternatively, when the state’s contract requires an MCO to provide all medical/surgical, mental health, and substance use disorder benefits for a Medicaid population, states analyze the MCO's analyses of Medicaid parity in mental health and substance use disorder benefits to comply with 42 CFR 438.920(b)(2), and submit these to CMS.  Parity requirements do not apply to Medicaid Fee-for-Service (FFS) beneficiaries (unless they are enrolled in an Alternative Benefit Plan [ABP], which is overseen by the Division of Benefits and Coverage), or to PIHP or PAHP enrollees unless the PIHP or PAHP delivers services to MCO enrollees.</t>
  </si>
  <si>
    <t xml:space="preserve">In accordance with 42 CFR 438.6(c), the state may require the HIO, MCO, PIHP, or PAHP to implement value-based purchasing models for provider reimbursement, such as pay-for-performance arrangements, bundled payments, or other service payment models intended to recognize value or outcomes over volume of services. The state may also require the MCP to participate in a multi-payer or Medicaid-specific delivery system reform or performance improvement initiative, adopt a minimum fee schedule, provide a uniform dollar or percentage increase, or adopt a maximum fee schedule. </t>
  </si>
  <si>
    <r>
      <t>Contract arrangements that adopt a minimum fee schedule using approved state plan rates under 42 CFR 438.6(c)(1)(iii)(A) do not require written approval prior to implementation but are required to meet the criteria under 42 CFR 438.6(c)(2)(ii)(A)</t>
    </r>
    <r>
      <rPr>
        <sz val="10"/>
        <rFont val="Aptos Narrow"/>
        <family val="2"/>
      </rPr>
      <t>–</t>
    </r>
    <r>
      <rPr>
        <sz val="10"/>
        <rFont val="Arial"/>
        <family val="2"/>
      </rPr>
      <t>(F). State plan approved rates do not include supplemental payments, which the regulation defines as “amounts paid by the state in its FFS Medicaid delivery system to providers that are described and approved in the State Plan or under a demonstration authority or waiver thereof and are in addition to state plan approved rates." Disproportionate Share Hospital (DSH) and Graduate Medical Education (GME) payments are not, and do not constitute, supplemental payments.</t>
    </r>
  </si>
  <si>
    <t>Approvals for value-based purchasing, delivery system reform or performance improvement initiatives are approved for one rating period, unless certain criteria allows them to be approved for a multi-year period. Approvals for adoption of a minimum fee schedule, provision of a uniform dollar, or percentage increase for a particular service or adoption of a maximum fee schedule are approved for one rating period.</t>
  </si>
  <si>
    <t>Contractual requirements for state directed payments should be sufficiently detailed for plans to operationalize each payment arrangement in alignment with the approved preprint(s). Examples of details from the approved preprint to consider including in such contract requirements would be, but are not limited to: the provider class(es) for the state directed payment; how the state will operationalize the payment with the plans (e.g., whether plans will use a separate payment term or not and if so, how much is each separate payment term); how the plan is to operationalize the payment to the provider (e.g., uniform increase of $x to be paid per claim); and any reporting the state may require to ensure compliance with the state directed payment. To ensure clarity, the state may wish to include the control name of the CMS-approved Section 438.6(c) Preprint for each contract arrangement that directs the MCP's expenditures under 42 CFR 438.6(c).</t>
  </si>
  <si>
    <r>
      <t>States planning to implement one or more risk mitigation strategy(ies) for a future rating period must submit documentation to CMS prior to the start of the rating period. This documentation must include contract and rate certification documents that incorporate the risk mitigation strategy into the contract between the state and the MCP. States must supply this information even if the state implemented the risk corridor (or other risk mitigation provision) in a prior rating period. Examples of risk mitigation include reinsurance, stop loss limits, risk corridors, and a minimum MLR with a remittance.</t>
    </r>
    <r>
      <rPr>
        <sz val="10"/>
        <color rgb="FFFF0000"/>
        <rFont val="Arial"/>
        <family val="2"/>
      </rPr>
      <t xml:space="preserve"> 
</t>
    </r>
    <r>
      <rPr>
        <sz val="10"/>
        <rFont val="Arial"/>
        <family val="2"/>
      </rPr>
      <t>For rating periods starting on or after January 1, 2021, submission of documentation of the final risk mitigation arrangement(s) prior to the start of the rating period is required to meet the regulatory standard of documenting those arrangement(s) to CMS in the contract and rate certification documents for the rating period prior to the start of the rating period. CMS will accept states’ submissions of draft managed care contract actions that are not officially executed and documentation from a state’s actuary that may not reflect final full rate development or is limited to a description of the risk sharing arrangement(s). States must submit both contract and rate certification documentation prior to the start of the rating period. The risk mitigation arrangement(s) in the final, executed contract and rate certification documents must be unchanged from the submission to CMS prior to the start of the rating period for the risk mitigation arrangement(s) to be approved under 42 CFR 438.6(b)(1).</t>
    </r>
  </si>
  <si>
    <t>States are permitted to either use the rate range option under 42 CFR 438.4(c)(1) or use the de minimis rate adjustment under 42 CFR 438.7(c)(3), but states are not permitted to use both mechanisms in combination.</t>
  </si>
  <si>
    <t>42 CFR 438.207(d) requires states to submit an assurance of compliance to CMS that each MCO, PIHP, and PAHP meets the state’s requirement for availability of services and include documentation of an analysis that supports the assurance of the adequacy of the network for each contracted MCO, PIHP, or PAHP related to its provider network. The requirement for states to submit this information to CMS began with all contracts with rating periods beginning on or after July 1, 2018. As of October 1, 2022, states are required to use the NAAAR.</t>
  </si>
  <si>
    <t>Subpart B - Enrollment and Disenrollment</t>
  </si>
  <si>
    <t>Status of Medicaid Section</t>
  </si>
  <si>
    <t>Medicaid Decision</t>
  </si>
  <si>
    <t>Applies to:</t>
  </si>
  <si>
    <t>Row Completed? (1 if status = Unsure; status = Met and column G &lt;&gt;blank; or status = Not Met and column I&lt;&gt;not blank)</t>
  </si>
  <si>
    <t>Does the CHIP section have a corresponding Medicaid section (Y=1)</t>
  </si>
  <si>
    <t>I.B.1.01</t>
  </si>
  <si>
    <t>42 CFR 438.3(d)(1)</t>
  </si>
  <si>
    <t>The contract requires the MCP to accept new enrollment from individuals in the order in which they apply without restriction, unless authorized by CMS, up to the limits set under the contract.</t>
  </si>
  <si>
    <t xml:space="preserve">I.B.1.02 </t>
  </si>
  <si>
    <t>42 CFR 438.3(d)(3); 42 CFR 438.3(r)</t>
  </si>
  <si>
    <t>The contract prohibits the MCP from discriminating against individuals eligible to enroll or from discriminating in enrollment, disenrollment, and re-enrollment on the basis of health status or need for health care services.</t>
  </si>
  <si>
    <t>I.B.1.03</t>
  </si>
  <si>
    <t>42 CFR 438.3(d)(4)</t>
  </si>
  <si>
    <t>The contract prohibits the MCP from discriminating against individuals eligible to enroll, and from using any policy or practice that has the effect of discriminating on the basis of race, color, national origin, sex, or disability.</t>
  </si>
  <si>
    <t>I.B.2.01</t>
  </si>
  <si>
    <r>
      <t>42 CFR 438.52(b)</t>
    </r>
    <r>
      <rPr>
        <sz val="10"/>
        <color theme="1"/>
        <rFont val="Aptos Narrow"/>
        <family val="2"/>
      </rPr>
      <t>–</t>
    </r>
    <r>
      <rPr>
        <sz val="10"/>
        <color theme="1"/>
        <rFont val="Arial"/>
        <family val="2"/>
      </rPr>
      <t>(d); 42 CFR 438.56(c)</t>
    </r>
  </si>
  <si>
    <t>The contract requires that for enrollees who qualify under the rural resident exception (under which a state may limit a rural area resident to a single MCP), the limitation on the enrollee’s freedom to change between Primary Care Providers (PCPs) can only be as restrictive as the limitations on disenrollment from the MCP as requested by the enrollee in accordance with 42 CFR 438.56(c).</t>
  </si>
  <si>
    <t>I.B.2.02</t>
  </si>
  <si>
    <t>42 CFR 438.3(l)</t>
  </si>
  <si>
    <t>The contract requires the MCP to allow each enrollee to choose his or her network provider to the extent possible and appropriate.</t>
  </si>
  <si>
    <t>I.B.3.01</t>
  </si>
  <si>
    <t>42 CFR 438.3(d)(2)</t>
  </si>
  <si>
    <t>The contract provides that MCP enrollment is voluntary, except when CMS has approved federal authority allowing the state to mandate enrollment.</t>
  </si>
  <si>
    <t>I.B.4.01</t>
  </si>
  <si>
    <t>42 CFR 438.56(g)</t>
  </si>
  <si>
    <t>If specified by the federal authority (SPA or waiver) approved by CMS, the contract provides for automatic reenrollment of a recipient who is disenrolled solely because he or she loses Medicaid eligibility for a period of 2 months or less.</t>
  </si>
  <si>
    <r>
      <t>I.B.5.01</t>
    </r>
    <r>
      <rPr>
        <sz val="10"/>
        <color theme="1"/>
        <rFont val="Aptos Narrow"/>
        <family val="2"/>
      </rPr>
      <t>–</t>
    </r>
    <r>
      <rPr>
        <sz val="10"/>
        <color theme="1"/>
        <rFont val="Arial"/>
        <family val="2"/>
      </rPr>
      <t xml:space="preserve">05 </t>
    </r>
  </si>
  <si>
    <r>
      <t>Section 1903(m)(2)(A)(v) of the Act; 42 CFR 438.56(b)(1)</t>
    </r>
    <r>
      <rPr>
        <sz val="10"/>
        <color theme="1"/>
        <rFont val="Aptos Narrow"/>
        <family val="2"/>
      </rPr>
      <t>–</t>
    </r>
    <r>
      <rPr>
        <sz val="10"/>
        <color theme="1"/>
        <rFont val="Arial"/>
        <family val="2"/>
      </rPr>
      <t>(2)</t>
    </r>
  </si>
  <si>
    <t>The contract specifies the reasons for which the MCP may request disenrollment and provides that the MCP may not request disenrollment because of: an adverse change in the enrollee's health status, utilization of medical services, diminished mental capacity, or uncooperative or disruptive behavior resulting from his or her special needs.</t>
  </si>
  <si>
    <t>I.B.5.06</t>
  </si>
  <si>
    <t>42 CFR 438.56(b)(3)</t>
  </si>
  <si>
    <t>The contract specifies the methods by which the MCP assures the state that it does not request disenrollment for reasons other than those permitted under the contract.</t>
  </si>
  <si>
    <t>I.B.5.07</t>
  </si>
  <si>
    <t>42 CFR 438.3(q)(5); 42 CFR 438.3(r); 42 CFR 438.56(c)(1)</t>
  </si>
  <si>
    <t>For states that limit disenrollment, the contract requires that enrollees have the right to disenroll from their MCP for cause, at any time.</t>
  </si>
  <si>
    <t>I.B.5.08</t>
  </si>
  <si>
    <t>42 CFR 438.3(q)(5); 42 CFR 438.3(r); 42 CFR 438.56(c)(2)(i)</t>
  </si>
  <si>
    <t>For states that limit disenrollment, the contract requires that enrollees have the right to disenroll from their MCP without cause 90 days after initial enrollment or during the 90 days following notification of enrollment, whichever is later.</t>
  </si>
  <si>
    <t>I.B.5.09</t>
  </si>
  <si>
    <t>42 CFR 438.3(q)(5); 42 CFR 438.3(r); 42 CFR 438.56(c)(2)(ii)</t>
  </si>
  <si>
    <t>For states that limit disenrollment, the contract requires that enrollees have the right to disenroll from their MCP without cause at least once every 12 months.</t>
  </si>
  <si>
    <t>I.B.5.10</t>
  </si>
  <si>
    <t>42 CFR 438.3(q)(5); 42 CFR 438.3(r); 42 CFR 438.56(c)(2)(iii)</t>
  </si>
  <si>
    <t>For states that limit disenrollment, the contract requires that enrollees have the right to disenroll from their MCP without cause upon reenrollment if a temporary loss of enrollment has caused the enrollee to miss the annual disenrollment period.</t>
  </si>
  <si>
    <t>I.B.5.11</t>
  </si>
  <si>
    <t>42 CFR 438.3(q)(5); 42 CFR 438.3(r); 42 CFR 438.56(c)(2)(iv)</t>
  </si>
  <si>
    <t>For states that limit disenrollment, the contract requires that enrollees have the right to disenroll from their MCP without cause when the state imposes intermediate sanctions on the MCP.</t>
  </si>
  <si>
    <t>I.B.5.12</t>
  </si>
  <si>
    <t>42 CFR 438.56(d)(2)(i)</t>
  </si>
  <si>
    <t>The contract allows enrollees to request disenrollment if the enrollee moves out of the service area.</t>
  </si>
  <si>
    <t>I.B.5.13</t>
  </si>
  <si>
    <t>42 CFR 438.56(d)(2)(ii)</t>
  </si>
  <si>
    <t>The contract allows enrollees to request disenrollment if the plan does not cover the service the enrollee seeks because of moral or religious objections.</t>
  </si>
  <si>
    <t>I.B.5.14</t>
  </si>
  <si>
    <t>42 CFR 438.56(d)(2)(iii)</t>
  </si>
  <si>
    <t>The contract allows enrollees to request disenrollment if the enrollee needs related services to be performed at the same time and not all related services are available within the provider network. The enrollee's PCP or another provider must determine that receiving the services separately would subject the enrollee to unnecessary risk.</t>
  </si>
  <si>
    <t>I.B.5.15</t>
  </si>
  <si>
    <t>42 CFR 438.56(d)(2)(iv)</t>
  </si>
  <si>
    <t>The contract allows enrollees who use Managed Long-Term Services and Supports (MLTSS) to request disenrollment if a provider's change in status from an in-network to an out-of-network provider with the MCP would cause the enrollee to have to change their residential, institutional, or employment supports provider, and, as a result, the enrollee would experience a disruption in their residence or employment.</t>
  </si>
  <si>
    <t>I.B.5.16</t>
  </si>
  <si>
    <t>42 CFR 438.56(d)(2)(v)</t>
  </si>
  <si>
    <t>The contract allows enrollees to request disenrollment for other reasons, including poor quality of care, lack of access to services covered under the contract, or lack of access to providers experienced in dealing with the enrollee's care needs.</t>
  </si>
  <si>
    <t>I.B.6.01</t>
  </si>
  <si>
    <r>
      <t>42 CFR 438.56(d)(1)(i)</t>
    </r>
    <r>
      <rPr>
        <sz val="10"/>
        <color theme="1"/>
        <rFont val="Aptos Narrow"/>
        <family val="2"/>
      </rPr>
      <t>–</t>
    </r>
    <r>
      <rPr>
        <sz val="10"/>
        <color theme="1"/>
        <rFont val="Arial"/>
        <family val="2"/>
      </rPr>
      <t>(ii)</t>
    </r>
  </si>
  <si>
    <t>The contract specifies that a recipient (or his or her representative) must request disenrollment by submitting an oral or written request, as required by the state, to the state (or its agent) or the MCP, if the state allows the MCP to process disenrollment requests.</t>
  </si>
  <si>
    <t>I.B.6.02</t>
  </si>
  <si>
    <t>42 CFR 438.56(d)(3)(i)</t>
  </si>
  <si>
    <t>The contract specifies that the MCP may approve a request for disenrollment by or on behalf of the enrollee, if the state allows the MCP to process disenrollment requests, or refer the request to the state.</t>
  </si>
  <si>
    <t>I.B.6.03</t>
  </si>
  <si>
    <r>
      <t>42 CFR 438.56(e)(1)</t>
    </r>
    <r>
      <rPr>
        <sz val="10"/>
        <color theme="1"/>
        <rFont val="Aptos Narrow"/>
        <family val="2"/>
      </rPr>
      <t>–</t>
    </r>
    <r>
      <rPr>
        <sz val="10"/>
        <color theme="1"/>
        <rFont val="Arial"/>
        <family val="2"/>
      </rPr>
      <t>(2); 42 CFR 438.56(d)(3)(ii); 42 CFR 438.3(q); 42 CFR 438.3(r); 42 CFR 438.56(c)</t>
    </r>
  </si>
  <si>
    <t>The contract requires that the effective date of an approved disenrollment must be no later than the first day of the second month following the month in which the enrollee requests disenrollment or the MCP refers the request to the state.</t>
  </si>
  <si>
    <t>I.B.6.04</t>
  </si>
  <si>
    <t>The contract requires that if the entity or state agency (whichever is responsible) fails to make a disenrollment determination within the specified timeframes (i.e., the first day of the second month following the month in which the enrollee requests disenrollment or the MCP refers the request to the state), the disenrollment is considered approved for the effective date that would have been established had the state or MCP made a determination in the specified timeframe.</t>
  </si>
  <si>
    <t>I.B.7.01</t>
  </si>
  <si>
    <t>Section 1932(h)(3) of the Act; 42 CFR 438.14(d); SMD #10-001</t>
  </si>
  <si>
    <t>For Indian Managed Care Entities (IMCEs), the contract allows the MCP to restrict enrollment of Indians in the same manner as Indian Health Programs may restrict the delivery of services to Indians.</t>
  </si>
  <si>
    <t>I.B.7.02</t>
  </si>
  <si>
    <t>American Reinvestment and Recovery Act (ARRA) Section 5006(d); 42 CFR 438.14(b)(3); SMD #10-001</t>
  </si>
  <si>
    <t>The contract requires that any Indian enrolled in an MCP, that is not a IMCE, and eligible to receive services from an IHCP PCP participating as a network provider, is permitted to choose that IHCP as their PCP, as long as that provider has capacity to provide the services.</t>
  </si>
  <si>
    <t xml:space="preserve">For information on whether a particular county is rural pursuant to 42 CFR 438.52(b), see the current Health Services Delivery (HSD) file here: </t>
  </si>
  <si>
    <t>https://www.cms.gov/Medicare/Medicare-Advantage/MedicareAdvantageApps/Downloads/HSD_Reference_File_01-10-2017.zip</t>
  </si>
  <si>
    <t xml:space="preserve">A status of N/A is appropriate for PCCM entities if the state does not limit disenrollment and/or does not impose intermediate sanctions on PCCM entities.  </t>
  </si>
  <si>
    <t>Under 42 CFR 438.56(d)(2)(iii), an example of “related services” is a cesarean section and a tubal ligation.</t>
  </si>
  <si>
    <t>Under 42 CFR 438.14(d), a status of “N/A” is appropriate for this item only when the MCP is not an IMCE.</t>
  </si>
  <si>
    <t>Subpart C - Beneficiary Notification</t>
  </si>
  <si>
    <t>I.C.1.01</t>
  </si>
  <si>
    <t>42 CFR 438.10(c)(1)</t>
  </si>
  <si>
    <t xml:space="preserve">The contract requires the MCP to provide all required information to enrollees and potential enrollees in a manner and format that may be easily understood and is readily accessible by such enrollees and potential enrollees. </t>
  </si>
  <si>
    <t>I.C.1.02</t>
  </si>
  <si>
    <t>42 CFR 438.10(c)(7)</t>
  </si>
  <si>
    <t>The contract requires the MCP to have in place mechanisms to help enrollees and potential enrollees understand the requirements and benefits of their plan.</t>
  </si>
  <si>
    <t>I.C.1.03</t>
  </si>
  <si>
    <t>42 CFR 438.10(d)(3)</t>
  </si>
  <si>
    <t xml:space="preserve">The contract requires the MCP to make its written materials that are critical to obtaining services, including, at a minimum, provider directories, enrollee handbooks, appeal and grievance notices, and denial and termination notices, available in the prevalent non-English languages in its particular service area. </t>
  </si>
  <si>
    <t>I.C.1.04</t>
  </si>
  <si>
    <t>The contract requires that the MCP’s written materials that are critical to obtaining services are available in alternative formats upon request of the potential enrollee or enrollee at no cost.</t>
  </si>
  <si>
    <t>I.C.1.05</t>
  </si>
  <si>
    <t>The contract requires that the MCP’s written materials that are critical to obtaining services include taglines in the prevalent non-English languages in the state and are in a conspicuously visible font size explaining the availability of written translation or oral interpretation to understand the information provided.</t>
  </si>
  <si>
    <t>I.C.1.06</t>
  </si>
  <si>
    <t>The contract requires that the MCP’s written materials that are critical to obtaining services include taglines in the prevalent non-English languages in the state and are in a conspicuously visible font size that provide information on how to request auxiliary aids and services.</t>
  </si>
  <si>
    <t>I.C.1.07</t>
  </si>
  <si>
    <t>The contract requires that the MCP’s written materials that are critical to obtaining services include taglines in the prevalent non-English languages in the state and are in a conspicuously visible font size that provide the toll-free and Teletypewriter Telephone/Text Telephone (TTY/TDY) telephone number of the MCP's member/customer service unit.</t>
  </si>
  <si>
    <t>I.C.1.08</t>
  </si>
  <si>
    <t xml:space="preserve">The contract requires the MCP to make auxiliary aids and services available upon request of the potential enrollee or enrollee at no cost. </t>
  </si>
  <si>
    <t>I.C.1.09</t>
  </si>
  <si>
    <t>42 CFR 438.10(d)(4)</t>
  </si>
  <si>
    <t xml:space="preserve">The contract requires the MCP to make interpretation services, including oral interpretation and the use of auxiliary aids such as TTY/TDY and American Sign Language (ASL), free of charge to each enrollee. </t>
  </si>
  <si>
    <t>I.C.1.10</t>
  </si>
  <si>
    <t>42 CFR 438.10(d)(5)(i) and (iii)</t>
  </si>
  <si>
    <t>The contract requires the MCP to notify its enrollees that oral interpretation is available for any language, and how to access those services.</t>
  </si>
  <si>
    <t>I.C.1.11</t>
  </si>
  <si>
    <t>The contract requires the MCP to notify its enrollees that written translation is available in prevalent languages, and how to access those services.</t>
  </si>
  <si>
    <t>I.C.1.12</t>
  </si>
  <si>
    <r>
      <t>42 CFR 438.10(d)(5)(ii)</t>
    </r>
    <r>
      <rPr>
        <sz val="10"/>
        <color theme="1"/>
        <rFont val="Aptos Narrow"/>
        <family val="2"/>
      </rPr>
      <t>–</t>
    </r>
    <r>
      <rPr>
        <sz val="10"/>
        <color theme="1"/>
        <rFont val="Arial"/>
        <family val="2"/>
      </rPr>
      <t>(iii)</t>
    </r>
  </si>
  <si>
    <t>The contract requires the MCP to notify its enrollees that auxiliary aids and services are available upon request at no cost for enrollees with disabilities, and how to access those services.</t>
  </si>
  <si>
    <t>I.C.1.13</t>
  </si>
  <si>
    <t>42 CFR 438.10(d)(6)(i)</t>
  </si>
  <si>
    <t xml:space="preserve">The contract requires the MCP to provide all written materials for potential enrollees and enrollees in an easily understood language and format. </t>
  </si>
  <si>
    <t>I.C.1.14</t>
  </si>
  <si>
    <t>42 CFR 438.10(d)(6)(ii)</t>
  </si>
  <si>
    <t xml:space="preserve">The contract requires the MCP to provide all written materials for potential enrollees and enrollees in a font size no smaller than 12 point. </t>
  </si>
  <si>
    <t>I.C.1.15</t>
  </si>
  <si>
    <t>42 CFR 438.10(d)(6)(iii)</t>
  </si>
  <si>
    <t>The contract requires the MCP to make written materials for potential enrollees and enrollees available in alternative formats in an appropriate manner that takes into consideration the special needs of enrollees or potential enrollees with disabilities or limited English proficiency.</t>
  </si>
  <si>
    <t>I.C.1.16</t>
  </si>
  <si>
    <t xml:space="preserve">The contract requires the MCP to make written materials for potential enrollees and enrollees available through auxiliary aids and services in an appropriate manner that takes into consideration the special needs of enrollees or potential enrollees with disabilities or limited English proficiency. </t>
  </si>
  <si>
    <t>I.C.2.01</t>
  </si>
  <si>
    <t>42 CFR 438.10(c)(4)(ii)</t>
  </si>
  <si>
    <t>The contract requires the MCP to use the state developed model enrollee handbook.</t>
  </si>
  <si>
    <t>I.C.2.02</t>
  </si>
  <si>
    <t xml:space="preserve">42 CFR 438.10(g)(1); 45 CFR 147.200(a) </t>
  </si>
  <si>
    <t xml:space="preserve">The contract requires the MCP to provide each enrollee an enrollee handbook, which serves as a summary of benefits and coverage, within a reasonable time after receiving notice of the beneficiary's enrollment. </t>
  </si>
  <si>
    <t>I.C.2.03</t>
  </si>
  <si>
    <t>42 CFR 438.10(g)(2)</t>
  </si>
  <si>
    <t xml:space="preserve">The content of the enrollee handbook must include information that enables the enrollee to understand how to effectively use the managed care program. </t>
  </si>
  <si>
    <t>I.C.2.04</t>
  </si>
  <si>
    <t>42 CFR 438.10(g)(2)(i)</t>
  </si>
  <si>
    <t>The MCP is required to utilize the model enrollee handbook developed by the state that includes information on benefits provided by the MCP. This includes information about the Early and Periodic Screening, Diagnostic and Treatment (EPSDT) benefit and how to access component services if individuals under age 21 entitled to the EPSDT benefit are enrolled in the MCP.</t>
  </si>
  <si>
    <t>I.C.2.05</t>
  </si>
  <si>
    <t>42 CFR 438.10(g)(2)(ii)</t>
  </si>
  <si>
    <t>The MCP is required to utilize the model enrollee handbook developed by the state that includes information about how and where to access any benefits provided by the state, including EPSDT benefits delivered outside the MCP, if any.</t>
  </si>
  <si>
    <t>I.C.2.06</t>
  </si>
  <si>
    <t>The MCP is required to utilize the model enrollee handbook developed by the state that includes information about cost sharing on any benefits carved out of the MCP contract and provided by the state.</t>
  </si>
  <si>
    <t>I.C.2.07</t>
  </si>
  <si>
    <t>The MCP is required to utilize the model enrollee handbook developed by the state that includes information about how transportation is provided for any benefits carved out of the MCP contract and provided by the state.</t>
  </si>
  <si>
    <t>I.C.2.08</t>
  </si>
  <si>
    <r>
      <t>42 CFR 438.10(g)(2)(ii)(A)</t>
    </r>
    <r>
      <rPr>
        <sz val="10"/>
        <color theme="1"/>
        <rFont val="Aptos Narrow"/>
        <family val="2"/>
      </rPr>
      <t>–</t>
    </r>
    <r>
      <rPr>
        <sz val="10"/>
        <color theme="1"/>
        <rFont val="Arial"/>
        <family val="2"/>
      </rPr>
      <t>(B); 42 CFR 438.102(b)(2)</t>
    </r>
  </si>
  <si>
    <t>The MCP is required to utilize the model enrollee handbook developed by the state that includes detail that in the case of a counseling or referral service that the MCP does not cover because of moral or religious objections, the MCP informs enrollees that:
1) That the service is not covered by the MCP; and 
2) How they can obtain information from the state about how to access those services.</t>
  </si>
  <si>
    <t>I.C.2.10</t>
  </si>
  <si>
    <t xml:space="preserve">42 CFR 438.10(g)(2)(iii) </t>
  </si>
  <si>
    <t>The MCP is required to utilize the model enrollee handbook developed by the state that includes the amount, duration, and scope of benefits available under the contract in sufficient detail to ensure that enrollees understand the benefits to which they are entitled.</t>
  </si>
  <si>
    <t>I.C.2.11</t>
  </si>
  <si>
    <t>42 CFR 438.10(g)(2)(iv)</t>
  </si>
  <si>
    <t>The MCP is required to utilize the model enrollee handbook developed by the state that includes procedures for obtaining benefits, including any requirements for service authorizations and/or referrals for specialty care and for other benefits not furnished by the enrollee's PCP.</t>
  </si>
  <si>
    <t>I.C.2.12</t>
  </si>
  <si>
    <t>42 CFR 438.10(g)(2)(v)</t>
  </si>
  <si>
    <t xml:space="preserve">The MCP is required to utilize the model enrollee handbook developed by the state that includes the extent to which, and how, after-hours care is provided. </t>
  </si>
  <si>
    <t>1,2</t>
  </si>
  <si>
    <t>I.C.2.13</t>
  </si>
  <si>
    <t>The MCP is required to utilize the model enrollee handbook developed by the state that includes how emergency care is provided.</t>
  </si>
  <si>
    <t>I.C.2.14</t>
  </si>
  <si>
    <t>The MCP is required to utilize the model enrollee handbook developed by the state that includes information regarding what constitutes an emergency medical condition.</t>
  </si>
  <si>
    <t>I.C.2.15</t>
  </si>
  <si>
    <t>The MCP is required to utilize the model enrollee handbook developed by the state that includes information regarding what constitutes an emergency service.</t>
  </si>
  <si>
    <t>I.C.2.16</t>
  </si>
  <si>
    <t>The MCP is required to utilize the model enrollee handbook developed by the state that includes the fact that prior authorization is not required for emergency services.</t>
  </si>
  <si>
    <t>I.C.2.17</t>
  </si>
  <si>
    <t>The MCP is required to utilize the model enrollee handbook developed by the state that includes the fact that the enrollee has a right to use any hospital or other setting for emergency care.</t>
  </si>
  <si>
    <t>I.C.2.18</t>
  </si>
  <si>
    <t>42 CFR 438.10(g)(2)(vi)</t>
  </si>
  <si>
    <t>The MCP is required to utilize the model enrollee handbook developed by the state that includes any restrictions on the enrollee's freedom of choice among network providers.</t>
  </si>
  <si>
    <t>I.C.2.19</t>
  </si>
  <si>
    <t>42 CFR 438.10(g)(2)(vii)</t>
  </si>
  <si>
    <t>The MCP is required to utilize the model enrollee handbook developed by the state that includes the extent to which, and how, enrollees may obtain benefits, including family planning services and supplies from out-of-network providers.</t>
  </si>
  <si>
    <t>I.C.2.20</t>
  </si>
  <si>
    <t xml:space="preserve">The MCP is required to utilize the model enrollee handbook developed by the state that includes an explanation that the MCP cannot require an enrollee to obtain a referral before choosing a family planning provider. </t>
  </si>
  <si>
    <t>I.C.2.21</t>
  </si>
  <si>
    <t>42 CFR 438.10(g)(2)(viii)</t>
  </si>
  <si>
    <t xml:space="preserve">The MCP is required to utilize the model enrollee handbook developed by the state that includes cost sharing for services furnished by the MCP, if any is imposed under the state plan. </t>
  </si>
  <si>
    <t>I.C.2.22</t>
  </si>
  <si>
    <t>42 CFR 438.10(g)(2)(ix); 42 CFR 438.100(b)(2)(i)</t>
  </si>
  <si>
    <t>The MCP is required to utilize the model enrollee handbook developed by the state that includes enrollee rights and responsibilities, including the enrollee’s right to receive information on beneficiary and plan information.</t>
  </si>
  <si>
    <t>I.C.2.23</t>
  </si>
  <si>
    <t>42 CFR 438.10(g)(2)(ix); 42 CFR 438.100(b)(2)(ii)</t>
  </si>
  <si>
    <t>The MCP is required to utilize the model enrollee handbook developed by the state that includes enrollee rights and responsibilities, including the enrollee’s right to be treated with respect and with due consideration for his or her dignity and privacy.</t>
  </si>
  <si>
    <t>I.C.2.24</t>
  </si>
  <si>
    <t>42 CFR 438.10(g)(2)(ix); 42 CFR 438.100(b)(2)(iii)</t>
  </si>
  <si>
    <t>The MCP is required to utilize the model enrollee handbook developed by the state that includes enrollee rights and responsibilities, including the enrollee’s right to receive information on available treatment options and alternatives, presented in a manner appropriate to the enrollee's condition and ability to understand.</t>
  </si>
  <si>
    <t>I.C.2.25</t>
  </si>
  <si>
    <t>42 CFR 438.10(g)(2)(ix); 42 CFR 438.100(b)(2)(iv)</t>
  </si>
  <si>
    <t>The MCP is required to utilize the model enrollee handbook developed by the state that includes enrollee rights and responsibilities, including the enrollee’s right to participate in decisions regarding his or her health care, including the right to refuse treatment.</t>
  </si>
  <si>
    <t>I.C.2.26</t>
  </si>
  <si>
    <t>42 CFR 438.10(g)(2)(ix); 42 CFR 438.100(b)(2)(v)</t>
  </si>
  <si>
    <t>The MCP is required to utilize the model enrollee handbook developed by the state that includes enrollee rights and responsibilities, including the enrollee’s right to be free from any form of restraint or seclusion used as a means of coercion, discipline, convenience or retaliation.</t>
  </si>
  <si>
    <t>I.C.2.27</t>
  </si>
  <si>
    <t>42 CFR 438.10(g)(2)(ix); 42 CFR 438.100(b)(2)(vi)</t>
  </si>
  <si>
    <t>The MCP is required to utilize the model enrollee handbook developed by the state that includes enrollee rights and responsibilities, including the enrollee’s right to request and receive a copy of their medical records and request that they be amended or corrected.</t>
  </si>
  <si>
    <t>I.C.2.28</t>
  </si>
  <si>
    <t>42 CFR 438.10(g)(2)(ix); 42 CFR 438.3(e)(2)(ii)</t>
  </si>
  <si>
    <t xml:space="preserve">If the MCP contract includes ILOSs, the MCP is required to utilize the model enrollee handbook developed by the state that includes the following enrollee rights and responsibilities: 
1) The enrollee retains all rights and protections afforded under 42 CFR Part 438 if the enrollee is offered or utilizes an ILOS as a substitute for a covered service or setting under the state plan;  
2) If the enrollee chooses not to receive an ILOS, they retain their right to receive the service or setting covered under the state plan on the same terms as would apply if an ILOS was not an option; and 
3) An ILOS may not be used to reduce, discourage, or jeopardize an enrollee’s access to services and settings covered under the state plan, and an MCP may not deny access to a service or setting covered under the state plan, on the basis that the enrollee has been offered an ILOS as an optional substitute for a service or setting covered under the state plan, is currently receiving an ILOS as a substitute for a service or setting covered under the state plan, or has utilized an ILOS in the past. </t>
  </si>
  <si>
    <t>I.C.2.29</t>
  </si>
  <si>
    <t>42 CFR 438.10(g)(2)(ix); 42 CFR 438.100(b)(3)</t>
  </si>
  <si>
    <t>The MCP is required to utilize the model enrollee handbook developed by the state that includes enrollee rights and responsibilities, including the enrollee's right to obtain available and accessible health care services covered under the MCP contract.</t>
  </si>
  <si>
    <t>1,3</t>
  </si>
  <si>
    <t>I.C.2.30</t>
  </si>
  <si>
    <t>42 CFR 438.10(g)(2)(x)</t>
  </si>
  <si>
    <t xml:space="preserve">The MCP is required to utilize the model enrollee handbook developed by the state that includes the process of selecting and changing the enrollee's PCP. </t>
  </si>
  <si>
    <r>
      <t>I.C.2.31</t>
    </r>
    <r>
      <rPr>
        <sz val="10"/>
        <color theme="1"/>
        <rFont val="Aptos Narrow"/>
        <family val="2"/>
      </rPr>
      <t>–</t>
    </r>
    <r>
      <rPr>
        <sz val="10"/>
        <color theme="1"/>
        <rFont val="Arial"/>
        <family val="2"/>
      </rPr>
      <t>36</t>
    </r>
  </si>
  <si>
    <r>
      <t>42 CFR 438.10(g)(2)(xi)(A)</t>
    </r>
    <r>
      <rPr>
        <sz val="10"/>
        <color theme="1"/>
        <rFont val="Aptos Narrow"/>
        <family val="2"/>
      </rPr>
      <t>–</t>
    </r>
    <r>
      <rPr>
        <sz val="10"/>
        <color theme="1"/>
        <rFont val="Arial"/>
        <family val="2"/>
      </rPr>
      <t xml:space="preserve">(E) </t>
    </r>
  </si>
  <si>
    <t>The MCP is required to utilize the model enrollee handbook developed by the state that includes grievance, appeal, and fair hearing procedures and timeframes in a state-developed or state-approved description.</t>
  </si>
  <si>
    <t>1,4</t>
  </si>
  <si>
    <t>I.C.2.37</t>
  </si>
  <si>
    <t>42 CFR 438.10(g)(2)(xii); 42 CFR 438.3(j)</t>
  </si>
  <si>
    <t>The MCP is required to utilize the model enrollee handbook developed by the state that includes how to exercise an advance directive.</t>
  </si>
  <si>
    <t>I.C.2.38</t>
  </si>
  <si>
    <t>42 CFR 438.10(g)(2)(xii); 42 CFR 438.3(j); 42 CFR 489.102(a)</t>
  </si>
  <si>
    <t>The MCP is required to utilize the model enrollee handbook developed by the state that includes how to exercise an advance directive, if the MCP includes any of the following providers in its network: hospitals, critical access hospitals, home health agencies, providers of home health care (and for Medicaid purposes, providers of personal care services), hospices, and religious nonmedical health care institutions.</t>
  </si>
  <si>
    <t>I.C.2.39</t>
  </si>
  <si>
    <t>42 CFR 438.10(g)(2)(xiii)</t>
  </si>
  <si>
    <t>The MCP is required to utilize the model enrollee handbook developed by the state that includes how to access auxiliary aids and services, including additional information in alternative formats or languages.</t>
  </si>
  <si>
    <t>I.C.2.40</t>
  </si>
  <si>
    <t>42 CFR 438.10(g)(2)(xiv)</t>
  </si>
  <si>
    <t>The MCP is required to utilize the model enrollee handbook developed by the state that includes the toll-free telephone number for member services.</t>
  </si>
  <si>
    <t>I.C.2.41</t>
  </si>
  <si>
    <t>The MCP is required to utilize the model enrollee handbook developed by the state that includes the toll-free telephone number for medical management.</t>
  </si>
  <si>
    <t>I.C.2.42</t>
  </si>
  <si>
    <t>The MCP is required to utilize the model enrollee handbook developed by the state that includes the toll-free telephone number for any other unit providing services directly to enrollees.</t>
  </si>
  <si>
    <t>I.C.2.43</t>
  </si>
  <si>
    <t>42 CFR 438.10(g)(2)(xv)</t>
  </si>
  <si>
    <t>The MCP is required to utilize the model enrollee handbook developed by the state that includes information on how to report suspected fraud or abuse.</t>
  </si>
  <si>
    <t>I.C.2.44</t>
  </si>
  <si>
    <t>42 CFR 438.10(g)(2)(xvi)</t>
  </si>
  <si>
    <t>The MCP is required to utilize the model enrollee handbook developed by the state that includes any other content required by the state.</t>
  </si>
  <si>
    <t>I.C.2.45</t>
  </si>
  <si>
    <t>42 CFR 438.10(g)(4)</t>
  </si>
  <si>
    <t>The contract requires the MCP to provide each enrollee notice of any significant change, as defined by the state, in the information specified in the enrollee handbook at least 30 days before the intended effective date of the change.</t>
  </si>
  <si>
    <t>I.C.2.46</t>
  </si>
  <si>
    <t>42 CFR 438.62(b)(3)</t>
  </si>
  <si>
    <t>The contract specifies that the MCP is required to utilize the model enrollee handbook and notices that describe the transition of care policies for enrollees and potential enrollees.</t>
  </si>
  <si>
    <t>I.C.3.01</t>
  </si>
  <si>
    <r>
      <t>42 CFR 438.10(g)(3)(i)</t>
    </r>
    <r>
      <rPr>
        <sz val="10"/>
        <color theme="1"/>
        <rFont val="Aptos Narrow"/>
        <family val="2"/>
      </rPr>
      <t>–</t>
    </r>
    <r>
      <rPr>
        <sz val="10"/>
        <color theme="1"/>
        <rFont val="Arial"/>
        <family val="2"/>
      </rPr>
      <t>(iv)</t>
    </r>
  </si>
  <si>
    <t>The contract specifies that handbook information is considered to be provided to the enrollee if the MCP:                                      
• Mails a printed copy of the information to the enrollee's mailing address;                                                                                                                
• Provides the information by email after obtaining the enrollee's agreement to receive the information by email;                                                                                 
• Posts the information on its website and advises the enrollee in paper or electronic form that the information is available on the Internet and includes the applicable Internet address, provided that enrollees with disabilities who cannot access this information online are provided auxiliary aids and services upon request at no cost; or                                                                                                      
• Provides the information by any other method that can reasonably be expected to result in the enrollee receiving that information.</t>
  </si>
  <si>
    <r>
      <t>I.C.4.01</t>
    </r>
    <r>
      <rPr>
        <sz val="10"/>
        <color theme="1"/>
        <rFont val="Aptos Narrow"/>
        <family val="2"/>
      </rPr>
      <t>–</t>
    </r>
    <r>
      <rPr>
        <sz val="10"/>
        <color theme="1"/>
        <rFont val="Arial"/>
        <family val="2"/>
      </rPr>
      <t>08</t>
    </r>
  </si>
  <si>
    <r>
      <t>42 CFR 438.10(h)(1)(i)</t>
    </r>
    <r>
      <rPr>
        <sz val="10"/>
        <color theme="1"/>
        <rFont val="Aptos Narrow"/>
        <family val="2"/>
      </rPr>
      <t>–</t>
    </r>
    <r>
      <rPr>
        <sz val="10"/>
        <color theme="1"/>
        <rFont val="Arial"/>
        <family val="2"/>
      </rPr>
      <t>(ix); 42 CFR 438.10(h)(2)</t>
    </r>
  </si>
  <si>
    <t xml:space="preserve">The contract requires the MCP to make available the following information about its network providers in paper form upon request and electronic form:
(i) The provider's name as well as any group affiliation. 
(ii) Street address(es). 
(iii) Telephone number(s). 
(iv) Web site URL, as appropriate. 
(v) Specialty, as appropriate. 
(vi) Whether the provider will accept new enrollees. 
(vii) The provider's cultural and linguistic capabilities, including languages (including ASL) offered by the provider or a skilled medical interpreter at the provider's office. 
(viii) Whether the provider's office/facility has accommodations for people with physical disabilities, including offices, exam room(s) and equipment.                                                                                                                                                                                                                                        
This information must be provided for each of the following provider types covered under the contract: Physicians, including specialists; Hospitals; Pharmacies; Behavioral health providers; and LTSS providers, as appropriate. </t>
  </si>
  <si>
    <t xml:space="preserve">The contract requires the MCP to make available the following information about its network providers in paper form upon request and searchable electronic form:
(i) The provider's name as well as any group affiliation. 
(ii) Street address(es). 
(iii) Telephone number(s). 
(iv) Web site URL, as appropriate. 
(v) Specialty, as appropriate. 
(vi) Whether the provider will accept new enrollees. 
(vii) The provider's cultural and linguistic capabilities, including languages (including ASL) offered by the provider or a skilled medical interpreter at the provider's office. 
(viii) Whether the provider's office/facility has accommodations for people with physical disabilities, including offices, exam room(s) and equipment. 
(ix) Whether the provider offers covered services via telehealth.                                                                                                                                                                                                                                              
This information must be provided for each of the following provider types covered under the contract: Physicians, including specialists; Hospitals; Pharmacies; Behavioral health providers; and LTSS providers, as appropriate. </t>
  </si>
  <si>
    <t>I.C.4.09</t>
  </si>
  <si>
    <r>
      <t>42 CFR 438.10(h)(3)(i)(A)</t>
    </r>
    <r>
      <rPr>
        <sz val="10"/>
        <rFont val="Aptos Narrow"/>
        <family val="2"/>
      </rPr>
      <t>–</t>
    </r>
    <r>
      <rPr>
        <sz val="10"/>
        <rFont val="Arial"/>
        <family val="2"/>
      </rPr>
      <t>(B)</t>
    </r>
  </si>
  <si>
    <t>The contract requires that the MCP's provider network information included in a paper provider directory must be updated at least monthly if the MCP does not have a mobile-enabled electronic directory, or quarterly if the MCP has a mobile-enabled, electronic provider directory.</t>
  </si>
  <si>
    <t>I.C.4.10</t>
  </si>
  <si>
    <t>42 CFR 438.10(h)(3)(ii)</t>
  </si>
  <si>
    <t>The contract requires that the MCP's provider network information included in a mobile-enabled electronic directory must be updated no later than 30 calendar days after the MCP receives updated provider information.</t>
  </si>
  <si>
    <t>I.C.4.11</t>
  </si>
  <si>
    <t>42 CFR 438.10(h)(4)</t>
  </si>
  <si>
    <t>The contract requires that provider directories must be made available on the MCP's website in a machine readable file and format as specified by the Secretary of the Department of Health and Human Services (Secretary).</t>
  </si>
  <si>
    <t>I.C.5.01</t>
  </si>
  <si>
    <t>42 CFR 438.10(i)(1)</t>
  </si>
  <si>
    <t>The contract requires the MCP to provide information in electronic or paper form about which generic and name brand medications are covered.</t>
  </si>
  <si>
    <t>7,8</t>
  </si>
  <si>
    <t>I.C.5.02</t>
  </si>
  <si>
    <t>42 CFR 438.10(i)(2)</t>
  </si>
  <si>
    <t>The contract requires the MCP to provide information in electronic or paper form about what tier each medication is on.</t>
  </si>
  <si>
    <t>I.C.5.03</t>
  </si>
  <si>
    <t>42 CFR 438.10(i)(3)</t>
  </si>
  <si>
    <t>The contract requires the MCP to provide formulary drug lists on the MCP's website in a machine readable file and format as specified by the Secretary.</t>
  </si>
  <si>
    <t>I.C.6.01</t>
  </si>
  <si>
    <t>42 CFR 438.10(f)(1)</t>
  </si>
  <si>
    <t>The contract requires the MCP to make a good faith effort to give written notice of termination of a contracted provider to each enrollee who received his or her primary care from, or was seen on a regular basis by, the terminated provider. Notice to the enrollee must be provided by the later of either 30 calendar days prior to the effective date of the termination, or 15 calendar days after receipt or issuance of the termination notice.</t>
  </si>
  <si>
    <t>I.C.6.02</t>
  </si>
  <si>
    <t>42 CFR 438.10(f)(3); 
42 CFR 438.3(i)</t>
  </si>
  <si>
    <t xml:space="preserve">The contract requires the MCP to make available, upon request, any physician incentive plans in place. </t>
  </si>
  <si>
    <t>I.C.7.01</t>
  </si>
  <si>
    <t>42 CFR 438.104(b)(1)(i)</t>
  </si>
  <si>
    <t>The contract prohibits the MCP from distributing marketing materials without first obtaining state approval.</t>
  </si>
  <si>
    <t>I.C.7.02</t>
  </si>
  <si>
    <t>42 CFR 438.104(b)(1)(ii)</t>
  </si>
  <si>
    <t>The contract requires the MCP to distribute marketing materials to its entire service area as indicated in the contract.</t>
  </si>
  <si>
    <t>I.C.7.03</t>
  </si>
  <si>
    <t>42 CFR 438.104(b)(1)(iv)</t>
  </si>
  <si>
    <t>The contract requires that the MCP does not seek to influence enrollment in conjunction with the sale or offering of any private insurance.</t>
  </si>
  <si>
    <t>I.C.7.04</t>
  </si>
  <si>
    <t>42 CFR 438.104(b)(1)(v)</t>
  </si>
  <si>
    <t>The contract prohibits the MCP from directly or indirectly engaging in door-to-door, telephone, e-mail, texting, or other cold-call marketing activities.</t>
  </si>
  <si>
    <t>I.C.7.05</t>
  </si>
  <si>
    <t>42 CFR 438.104(b)(2)</t>
  </si>
  <si>
    <t>The contract specifies how the MCP ensures to the state that its marketing, including plans and materials, is accurate and does not mislead, confuse, or defraud the recipients or the state.</t>
  </si>
  <si>
    <t>I.C.7.06</t>
  </si>
  <si>
    <t>42 CFR 438.104(b)(2)(i)</t>
  </si>
  <si>
    <t>The contract requires that the MCP’s materials cannot contain any assertion or statement (whether written or oral) that the recipient must enroll in the MCP to obtain benefits or to not lose benefits.</t>
  </si>
  <si>
    <t>I.C.7.07</t>
  </si>
  <si>
    <t>42 CFR 438.104(b)(2)(ii)</t>
  </si>
  <si>
    <t>The contract requires that the MCP’s materials cannot contain any assertion or statement (whether written or oral) that the MCP is endorsed by CMS, the federal or state government, or a similar entity.</t>
  </si>
  <si>
    <t>I.C.8.01</t>
  </si>
  <si>
    <t>42 CFR 438.10(c)(6)(i)</t>
  </si>
  <si>
    <t>The contract requires that if the MCP chooses to provide required information electronically to enrollees, it must be in a format that is readily accessible.</t>
  </si>
  <si>
    <t>I.C.8.02</t>
  </si>
  <si>
    <t>42 CFR 438.10(c)(6)(ii)</t>
  </si>
  <si>
    <t>The contract requires that if the MCP chooses to provide required information electronically to enrollees, the information must be placed in a location on the MCP's website that is prominent and readily accessible.</t>
  </si>
  <si>
    <t>I.C.8.03</t>
  </si>
  <si>
    <t>42 CFR 438.10(c)(6)(iii)</t>
  </si>
  <si>
    <t>The contract requires that if the MCP chooses to provide required information electronically to enrollees, the information must be provided in an electronic form which can be electronically retained and printed.</t>
  </si>
  <si>
    <t>I.C.8.04</t>
  </si>
  <si>
    <t>42 CFR 438.10(c)(6)(iv)</t>
  </si>
  <si>
    <t>The contract requires that if the MCP chooses to provide required information electronically to enrollees, the information is consistent with content and language requirements.</t>
  </si>
  <si>
    <t>I.C.8.05</t>
  </si>
  <si>
    <t>42 CFR 438.10(c)(6)(v)</t>
  </si>
  <si>
    <t>The contract requires that if the MCP chooses to provide required information electronically to enrollees, the MCP must notify the enrollee that the information is available in paper form without charge upon request.</t>
  </si>
  <si>
    <t>I.C.8.06</t>
  </si>
  <si>
    <t>The contract requires that if the MCP chooses to provide required information electronically to enrollees, the MCP must provide, upon request, information in paper form within 5 business days.</t>
  </si>
  <si>
    <t>I.C.8.07</t>
  </si>
  <si>
    <t>42 CFR 438.3(j)(3)</t>
  </si>
  <si>
    <t xml:space="preserve">The contract requires the MCP to provide adult enrollees with written information on advance directives policies, and include a description of applicable state law. </t>
  </si>
  <si>
    <t>I.C.8.08</t>
  </si>
  <si>
    <t>42 CFR 438.3(j)(4)</t>
  </si>
  <si>
    <t>The contract requires the MCP to reflect changes in state law in its written advance directives information as soon as possible, but no later than 90 days after the effective date of the change.</t>
  </si>
  <si>
    <t>I.C.8.09</t>
  </si>
  <si>
    <t>42 CFR 438.102(b)(1)(i)(B); 42 CFR 438.10(g)(4)</t>
  </si>
  <si>
    <t>The contract requires the MCP to notify enrollees when it adopts a policy to discontinue coverage of a counseling or referral service based on moral or religious objections at least 30 days prior to the effective date of the policy for any particular service.</t>
  </si>
  <si>
    <t>I.C.8.10</t>
  </si>
  <si>
    <t>42 CFR 438.10(c)(4)(i)</t>
  </si>
  <si>
    <t>The contract requires the MCP to use the state-developed definition for the term "appeal."</t>
  </si>
  <si>
    <t>I.C.8.11</t>
  </si>
  <si>
    <t>The contract requires the MCP to use the state-developed definition for the term "durable medical equipment."</t>
  </si>
  <si>
    <t>I.C.8.12</t>
  </si>
  <si>
    <t>The contract requires the MCP to use the state-developed definition for the term "emergency medical condition."</t>
  </si>
  <si>
    <t>I.C.8.13</t>
  </si>
  <si>
    <t>The contract requires the MCP to use the state-developed definition for the term "emergency medical transportation."</t>
  </si>
  <si>
    <t>I.C.8.14</t>
  </si>
  <si>
    <t>The contract requires the MCP to use the state-developed definition for the term "emergency room care."</t>
  </si>
  <si>
    <t>I.C.8.15</t>
  </si>
  <si>
    <t>The contract requires the MCP to use the state-developed definition for the term "emergency services."</t>
  </si>
  <si>
    <t>I.C.8.16</t>
  </si>
  <si>
    <t>The contract requires the MCP to use the state-developed definition for the term "grievance."</t>
  </si>
  <si>
    <t>I.C.8.17</t>
  </si>
  <si>
    <t>The contract requires the MCP to use the state-developed definition for the term "habilitation services and devices."</t>
  </si>
  <si>
    <t>I.C.8.18</t>
  </si>
  <si>
    <t>The contract requires the MCP to use the state-developed definition for the term "home health care."</t>
  </si>
  <si>
    <t>I.C.8.19</t>
  </si>
  <si>
    <t>The contract requires the MCP to use the state-developed definition for the term "hospice services".</t>
  </si>
  <si>
    <t>I.C.8.20</t>
  </si>
  <si>
    <t>The contract requires the MCP to use the state-developed definition for the term "hospitalization."</t>
  </si>
  <si>
    <t>I.C.8.21</t>
  </si>
  <si>
    <t>The contract requires the MCP to use the state-developed definition for the term "hospital outpatient care."</t>
  </si>
  <si>
    <t>I.C.8.22</t>
  </si>
  <si>
    <t>The contract requires the MCP to use the state-developed definition for the term "physician services."</t>
  </si>
  <si>
    <t>I.C.8.23</t>
  </si>
  <si>
    <t>The contract requires the MCP to use the state-developed definition for the term "prescription drug coverage."</t>
  </si>
  <si>
    <t>I.C.8.24</t>
  </si>
  <si>
    <t>The contract requires the MCP to use the state-developed definition for the term "prescription drugs."</t>
  </si>
  <si>
    <t>I.C.8.25</t>
  </si>
  <si>
    <t>The contract requires the MCP to use the state-developed definition for the term "primary care physician."</t>
  </si>
  <si>
    <t>I.C.8.26</t>
  </si>
  <si>
    <t>The contract requires the MCP to use the state-developed definition for the term "primary care provider."</t>
  </si>
  <si>
    <t>I.C.8.27</t>
  </si>
  <si>
    <t>The contract requires the MCP to use the state-developed definition for the term "rehabilitation services and devices."</t>
  </si>
  <si>
    <t>I.C.8.28</t>
  </si>
  <si>
    <t>The contract requires the MCP to use the state-developed definition for the term "skilled nursing care."</t>
  </si>
  <si>
    <t>I.C.8.29</t>
  </si>
  <si>
    <t>The contract requires the MCP to use the state-developed definition for the term "specialist."</t>
  </si>
  <si>
    <t>I.C.8.30</t>
  </si>
  <si>
    <t>The contract requires the MCP to use the state-developed definition for the term "co-payment."</t>
  </si>
  <si>
    <t>I.C.8.31</t>
  </si>
  <si>
    <t>The contract requires the MCP to use the state-developed definition for the term "excluded services."</t>
  </si>
  <si>
    <t>I.C.8.32</t>
  </si>
  <si>
    <t>The contract requires the MCP to use the state-developed definition for the term "health insurance."</t>
  </si>
  <si>
    <t>I.C.8.33</t>
  </si>
  <si>
    <t>The contract requires the MCP to use the state-developed definition for the term "medically necessary."</t>
  </si>
  <si>
    <t>I.C.8.34</t>
  </si>
  <si>
    <t>The contract requires the MCP to use the state-developed definition for the term "network."</t>
  </si>
  <si>
    <t>I.C.8.35</t>
  </si>
  <si>
    <t>The contract requires the MCP to use the state-developed definition for the term "non-participating provider."</t>
  </si>
  <si>
    <t>I.C.8.36</t>
  </si>
  <si>
    <t>The contract requires the MCP to use the state-developed definition for the term "plan."</t>
  </si>
  <si>
    <t>I.C.8.37</t>
  </si>
  <si>
    <t>The contract requires the MCP to use the state-developed definition for the term "preauthorization."</t>
  </si>
  <si>
    <t>I.C.8.38</t>
  </si>
  <si>
    <t>The contract requires the MCP to use the state-developed definition for the term "participating provider."</t>
  </si>
  <si>
    <t>I.C.8.39</t>
  </si>
  <si>
    <t>The contract requires the MCP to use the state-developed definition for the term "premium."</t>
  </si>
  <si>
    <t>I.C.8.40</t>
  </si>
  <si>
    <t>The contract requires the MCP to use the state-developed definition for the term "provider."</t>
  </si>
  <si>
    <t>I.C.8.41</t>
  </si>
  <si>
    <t>The contract requires the MCP to use the state-developed definition for the term "urgent care."</t>
  </si>
  <si>
    <t>I.C.8.42</t>
  </si>
  <si>
    <t>42 CFR 438.236(c)</t>
  </si>
  <si>
    <t>The contract requires that the MCP disseminate practice guidelines to enrollees and potential enrollees upon request.</t>
  </si>
  <si>
    <t>I.C.8.43</t>
  </si>
  <si>
    <t>The contract requires the MCP to use state-developed enrollee notices.</t>
  </si>
  <si>
    <t>I.C.8.44</t>
  </si>
  <si>
    <t>42 CFR 438.228(b)</t>
  </si>
  <si>
    <t xml:space="preserve">If the state delegates this function, the MCP contract specifies any state fair hearing notice requirements that are the responsibility of the MCP. </t>
  </si>
  <si>
    <t>I.C.9.01</t>
  </si>
  <si>
    <t>Section 1903(m)(4)(B) of the Act</t>
  </si>
  <si>
    <t xml:space="preserve">The contract requires the MCP to make any reports of transactions between the MCP and parties in interest that are provided to the state, or other agencies available to MCP enrollees upon reasonable request. </t>
  </si>
  <si>
    <t>States must develop model handbooks in accordance with 42 CFR 438.10(c)(4)(ii). CMS must assure that the model enrollee handbook that the MCP is required to utilize meets all the requirements at 42 CFR 438.10(g). How a state chooses to meet these federal requirements may vary. For example, a state may: 
(1) include the model enrollee handbook that outlines these federal requirements as an attachment to the contract; 
(2) stipulate each requirement of 42 CFR 438.10(g) within the MCP contract in addition to outlining them in the model enrollee handbook; 
(3) outline in the contract the process by which the state will share the model enrollee handbook; or
(4) use another method. 
As the documentation to assure compliance with these federal requirements, the analyst should clearly note in the "where found" column of the review tool where each requirement is met (e.g., contract/attachment reference, handbook citation). Also note that if the state chooses not to include the model enrollee handbook within its MCP contract, the analyst will need to review the handbook to assure compliance with these federal requirements.</t>
  </si>
  <si>
    <t>This requirement at 42 CFR 438.10(g)(2)(v) aligns to the scope of the PIHP’s or PAHP’s contracted services. For example, a dental PAHP or behavioral health PIHP will only describe the after-hours care, emergency care, or stabilization applicable to those services.</t>
  </si>
  <si>
    <t>For PAHPs under 42 CFR 438.10(g)(2)(ix), available and accessible health care services are aligned with the scope of the PAHP's contracted services.</t>
  </si>
  <si>
    <t xml:space="preserve">For NEMT PAHPs under 42 CFR 438.10(g)(2)(xi), the handbook must only include fair hearing procedures and timeframes; grievances and appeals requirements do not apply. </t>
  </si>
  <si>
    <t>Pursuant to 42 CFR 438.207(c)(3), the state defines what constitutes a "significant change."</t>
  </si>
  <si>
    <t>The analyst must apply this requirement to HIOs, MCOs, PIHPs, PAHPs, and NEMT PAHPs under 42 CFR 438.10(h). PCCM entities must comply with this provider type requirement only when appropriate, based on the scope of contracted services.</t>
  </si>
  <si>
    <t>The analyst must apply this requirement to HIOs, MCOs, PIHPs, and PAHPs under 42 CFR 438.10(i). PCCM entities must comply with this requirement only when appropriate, based on the scope of contracted services.</t>
  </si>
  <si>
    <t>Formulary requirements under 42 CFR 438.10(i) only apply when prescription drugs are included in the MCP contract as a covered benefit.</t>
  </si>
  <si>
    <t>Pursuant to 42 CFR 438.104(a), private insurance does not include a qualified health plan as defined in 45 CFR 155.20.</t>
  </si>
  <si>
    <t>All requirements in 42 CFR 438.10(c)(6) must be met in order for the MCP to provide information electronically.</t>
  </si>
  <si>
    <t>MCOs, PIHPs, and PAHPs operating in compliance with 42 CFR 438.236(c) will be deemed compliant with the requirement in 42 CFR 438.915(a) (under Subpart K, Parity in Mental Health and Substance Use Disorder Benefits) that the MCP make available the criteria for medical necessity determinations made by the MCP for mental health or substance abuse disorder benefits to any enrollee, potential enrollee, or contracting provider upon request. Compliance with the requirement in 42 CFR 438.915(a) is not determinative of compliance with any other provision of applicable federal or state law.</t>
  </si>
  <si>
    <t xml:space="preserve">Pursuant to 42 CFR 431.205, the Medicaid agency is responsible for maintaining a fair hearing system. The hearing system works in conjunction with the MCP grievances and appeals processes. </t>
  </si>
  <si>
    <t>Subpart D - Payment</t>
  </si>
  <si>
    <t>I.D.1. General</t>
  </si>
  <si>
    <t>I.D.1.01</t>
  </si>
  <si>
    <t>42 CFR 438.3(c)(1)(i)</t>
  </si>
  <si>
    <t xml:space="preserve">The contract specifies the final capitation rates for each MCP. </t>
  </si>
  <si>
    <t>I.D.1.02</t>
  </si>
  <si>
    <t>42 CFR 438.3(c)(2)</t>
  </si>
  <si>
    <t>The contract specifies that capitation payments may only be made by the state and retained by the MCP for Medicaid-eligible enrollees.</t>
  </si>
  <si>
    <t>I.D.1.03</t>
  </si>
  <si>
    <t>The contract specifies that, if used in the payment arrangement between the state and the MCP, all applicable risk-sharing mechanisms, such as reinsurance, risk corridors, or stop-loss limits, are described in the contract.</t>
  </si>
  <si>
    <t>I.D.1.04</t>
  </si>
  <si>
    <t>42 CFR 438.6(e)</t>
  </si>
  <si>
    <t>This contract specifies the state will only make a monthly capitation payment to the MCO or PIHP  for an enrollee aged 21–64 receiving inpatient treatment in an Institution for Mental Diseases (IMD), as defined in 42 CFR 435.1010, so long as the facility is a hospital providing psychiatric or substance use disorder inpatient care or a sub-acute facility providing psychiatric or substance use disorder crisis residential services, and the length of stay in the IMD is for a short-term stay of no more than 15 days during the period of the monthly capitation payment. This payment flexibility is only available when short-term IMD stays (no more than 15 days) are authorized as an in lieu of service or setting (ILOS) in the contract.</t>
  </si>
  <si>
    <t>I.D.2.01</t>
  </si>
  <si>
    <t>42 CFR 438.6(b)(2)(i)</t>
  </si>
  <si>
    <t>The contract specifies that all incentive arrangements are for a fixed period of time.</t>
  </si>
  <si>
    <t>I.D.2.02</t>
  </si>
  <si>
    <t>The contract specifies that performance for all incentive arrangements is measured during the rating period under the contract in which the incentive arrangement is applied.</t>
  </si>
  <si>
    <t>I.D.2.03</t>
  </si>
  <si>
    <t>42 CFR 438.6(b)(2)(ii)</t>
  </si>
  <si>
    <t>The contract specifies that incentive arrangements are not renewed automatically.</t>
  </si>
  <si>
    <t>I.D.2.04</t>
  </si>
  <si>
    <t>42 CFR 438.6(b)(2)(iii)</t>
  </si>
  <si>
    <t>The contract specifies that incentive arrangements are made available to both public and private contractors under the same terms of performance.</t>
  </si>
  <si>
    <t>I.D.2.05</t>
  </si>
  <si>
    <t>42 CFR 438.6(b)(2)(iv)</t>
  </si>
  <si>
    <t>The contract specifies that incentive arrangements do not condition MCP participation in the incentive arrangement on the MCP entering into or adhering to intergovernmental transfer agreements.</t>
  </si>
  <si>
    <t>I.D.2.06</t>
  </si>
  <si>
    <t>42 CFR 438.6(b)(2)(v); 42 CFR 438.340</t>
  </si>
  <si>
    <t>The contract specifies that all incentive arrangements are necessary for the specified activities, targets, performance measures, or quality-based outcomes that support program initiatives as specified in the state's quality strategy.</t>
  </si>
  <si>
    <t>I.D.3.01</t>
  </si>
  <si>
    <t>42 CFR 438.6(b)(3)(i)</t>
  </si>
  <si>
    <t>For all withhold arrangements, the contract must provide that the arrangement is for a fixed period of time.</t>
  </si>
  <si>
    <t>I.D.3.02</t>
  </si>
  <si>
    <t>For all withhold arrangements, the contract must provide that performance is measured during the rating period under the contract in which the withhold arrangement is applied.</t>
  </si>
  <si>
    <t>I.D.3.03</t>
  </si>
  <si>
    <t>42 CFR 438.6(b)(3)(ii)</t>
  </si>
  <si>
    <t>For all withhold arrangements, the contract must provide that the arrangement is not to be renewed automatically.</t>
  </si>
  <si>
    <t>I.D.3.04</t>
  </si>
  <si>
    <t>42 CFR 438.6(b)(3)(iii)</t>
  </si>
  <si>
    <t>For all withhold arrangements, the contract must provide that the arrangement is made available to both public and private contractors under the same terms of performance.</t>
  </si>
  <si>
    <t>I.D.3.05</t>
  </si>
  <si>
    <t>42 CFR 438.6(b)(3)(iv)</t>
  </si>
  <si>
    <t>For all withhold arrangements, the contract must provide that the arrangement does not condition MCP participation in the withhold arrangement on the MCP entering into or adhering to intergovernmental transfer agreements.</t>
  </si>
  <si>
    <t>I.D.3.06</t>
  </si>
  <si>
    <t>42 CFR 438.6(b)(3)(v); 42 CFR 438.340</t>
  </si>
  <si>
    <t>For all withhold arrangements, the contract must provide that the arrangement is necessary for the specified activities, targets, performance measures, or quality-based outcomes that support program initiatives as specified in the state's quality strategy.</t>
  </si>
  <si>
    <t>4,5</t>
  </si>
  <si>
    <t>I.D.4</t>
  </si>
  <si>
    <t>42 CFR 438.8(l)</t>
  </si>
  <si>
    <t>The state, at its discretion, excludes the MCP that is newly contracted from the MLR requirements for the first year of the MCP's operation.</t>
  </si>
  <si>
    <t>I.D.4.01</t>
  </si>
  <si>
    <t>42 CFR 438.8(a)</t>
  </si>
  <si>
    <t>The contract specifies that the MCP is required to calculate/report a MLR for each MLR reporting year, consistent with the requirements in 42 CFR 438.8.</t>
  </si>
  <si>
    <t>6,7</t>
  </si>
  <si>
    <t>I.D.4.02 and I.D.4.14</t>
  </si>
  <si>
    <t>42 CFR 438.8(c) and (j)</t>
  </si>
  <si>
    <t>If a state elects to mandate a remittance with its MLR for its MCPs, the contract specifies that the minimum MLR must be equal to or higher than 85 percent and that the MCP must provide a remittance for a MLR reporting year if the MLR for that MLR reporting year does not meet the minimum MLR standard of 85 percent or higher.</t>
  </si>
  <si>
    <t>I.D.4.03</t>
  </si>
  <si>
    <r>
      <t>42 CFR 438.8(d)</t>
    </r>
    <r>
      <rPr>
        <sz val="10"/>
        <color theme="1"/>
        <rFont val="Aptos Narrow"/>
        <family val="2"/>
      </rPr>
      <t>–</t>
    </r>
    <r>
      <rPr>
        <sz val="10"/>
        <color theme="1"/>
        <rFont val="Arial"/>
        <family val="2"/>
      </rPr>
      <t>(f)</t>
    </r>
  </si>
  <si>
    <t>The contract specifies that the MLR calculation for each MCP in a MLR reporting year is the ratio of the numerator (as defined in accordance with 42 CFR 438.8(e)) to the denominator (as defined in accordance with 42 CFR 438.8(f)).</t>
  </si>
  <si>
    <t>6,7,8</t>
  </si>
  <si>
    <t>I.D.4.04</t>
  </si>
  <si>
    <t>42 CFR 438.8(g)(1)(i)</t>
  </si>
  <si>
    <t>The contract specifies that each MCP expense must be included under only one type of expense, unless a portion of the expense fits under the definition of, or criteria for, one type of expense and the remainder fits into a different type of expense, in which case the expense must be pro-rated between the two types of expenses.</t>
  </si>
  <si>
    <t>I.D.4.05</t>
  </si>
  <si>
    <t>42 CFR 438.8(g)(1)(ii)</t>
  </si>
  <si>
    <t>The contract specifies that expenditures that benefit multiple contracts or populations, or contracts other than those being reported, must be reported on pro rata basis.</t>
  </si>
  <si>
    <t>I.D.4.06</t>
  </si>
  <si>
    <t>42 CFR 438.8(g)(2)(i)</t>
  </si>
  <si>
    <t>The contract specifies that expense allocation must be based on a generally accepted accounting method that is expected to yield the most accurate results.</t>
  </si>
  <si>
    <t>I.D.4.07</t>
  </si>
  <si>
    <t>42 CFR 438.8(g)(2)(ii)</t>
  </si>
  <si>
    <t>The contract specifies that shared expenses, including expenses under the terms of a management contract, must be apportioned pro rata to the contract incurring the expense.</t>
  </si>
  <si>
    <t>I.D.4.08</t>
  </si>
  <si>
    <t>42 CFR 438.8(g)(2)(iii)</t>
  </si>
  <si>
    <t>The contract specifies that expenses that relate solely to the operation of a reporting entity, such as personnel costs associated with the adjusting and paying of claims, must be borne solely by the reporting entity and are not to be apportioned to the other entities.</t>
  </si>
  <si>
    <t>I.D.4.09</t>
  </si>
  <si>
    <t>42 CFR 438.8(h)(1)</t>
  </si>
  <si>
    <t>The contract specifies that the MCP may add a credibility adjustment to a calculated MLR if the MLR reporting year experience is partially credible.</t>
  </si>
  <si>
    <t>6,7,9</t>
  </si>
  <si>
    <t>I.D.4.10</t>
  </si>
  <si>
    <t>The contract specifies that the credibility adjustment is added to the reported MLR calculation before calculating any remittances, if required by the state.</t>
  </si>
  <si>
    <t>I.D.4.11</t>
  </si>
  <si>
    <t>42 CFR 438.8(h)(2)</t>
  </si>
  <si>
    <t>The contract specifies that the MCP may not add a credibility adjustment to a calculated MLR if the MLR reporting year experience is fully credible.</t>
  </si>
  <si>
    <t>I.D.4.12</t>
  </si>
  <si>
    <t>42 CFR 438.8(h)(3)</t>
  </si>
  <si>
    <t>The contract specifies that if an MCP's experience is non-credible, it is presumed to meet or exceed the MLR calculation standards.</t>
  </si>
  <si>
    <t>I.D.4.13</t>
  </si>
  <si>
    <t>42 CFR 438.8(i)</t>
  </si>
  <si>
    <t>The contract specifies that the MCP will aggregate data for all Medicaid eligibility groups covered under the contract with the state unless the state requires separate reporting and a separate MLR calculation for specific populations.</t>
  </si>
  <si>
    <t>I.D.4.15</t>
  </si>
  <si>
    <t>42 CFR 438.8(k)(1)(i)</t>
  </si>
  <si>
    <t>The contract specifies that the MCP must submit a MLR report to the state that includes, for each MLR reporting year, total incurred claims.</t>
  </si>
  <si>
    <t>I.D.4.16</t>
  </si>
  <si>
    <t>42 CFR 438.8(k)(1)(ii)</t>
  </si>
  <si>
    <t>The contract specifies that the MCP must submit a MLR report to the state that includes, for each MLR reporting year, expenditures on quality improvement activities.</t>
  </si>
  <si>
    <t>I.D.4.17</t>
  </si>
  <si>
    <t>42 CFR 438.8(k)(1)(iii); 45 CFR Part 158</t>
  </si>
  <si>
    <t>The contract specifies that the MCP must submit a MLR report to the state that includes, for each MLR reporting year, fraud prevention activities as defined in 42 CFR 438.8(e)(4).</t>
  </si>
  <si>
    <t>I.D.4.18</t>
  </si>
  <si>
    <t>42 CFR 438.8(k)(1)(iv)</t>
  </si>
  <si>
    <t>The contract specifies that the MCP must submit a MLR report to the state that includes, for each MLR reporting year, non-claims costs.</t>
  </si>
  <si>
    <t>I.D.4.19</t>
  </si>
  <si>
    <t>42 CFR 438.8(k)(1)(v)</t>
  </si>
  <si>
    <t>The contract specifies that the MCP must submit a MLR report to the state that includes, for each MLR reporting year, premium revenue.</t>
  </si>
  <si>
    <t>I.D.4.20</t>
  </si>
  <si>
    <t>42 CFR 438.8(k)(1)(vi)</t>
  </si>
  <si>
    <t>The contract specifies that the MCP must submit a MLR report to the state that includes, for each MLR reporting year, taxes.</t>
  </si>
  <si>
    <t>I.D.4.21</t>
  </si>
  <si>
    <t>The contract specifies that the MCP must submit a MLR report to the state that includes, for each MLR reporting year, licensing fees.</t>
  </si>
  <si>
    <t>I.D.4.22</t>
  </si>
  <si>
    <t>The contract specifies that the MCP must submit a MLR report to the state that includes, for each MLR reporting year, regulatory fees.</t>
  </si>
  <si>
    <t>I.D.4.23</t>
  </si>
  <si>
    <t>42 CFR 438.8(k)(1)(vii)</t>
  </si>
  <si>
    <t>The contract specifies that the MCP must submit a MLR report to the state that includes, for each MLR reporting year, methodology(ies) for allocation of expenditures.</t>
  </si>
  <si>
    <t>The contract specifies that the MCP must submit a MLR report to the state that includes, for each MLR reporting year, methodology(ies) for allocation of expenditures, which must include a detailed description of the methods used to allocate expenses, including incurred claims, quality improvement expenses, federal and state taxes and licensing or regulatory fees, and other non-claims costs, as described in 45 CFR 158.170(b).</t>
  </si>
  <si>
    <t>I.D.4.24</t>
  </si>
  <si>
    <t>42 CFR 438.8(k)(1)(viii)</t>
  </si>
  <si>
    <t>The contract specifies that the MCP must submit a MLR report to the state that includes, for each MLR reporting year, any credibility adjustment applied.</t>
  </si>
  <si>
    <t>I.D.4.25</t>
  </si>
  <si>
    <t>42 CFR 438.8(k)(1)(ix)</t>
  </si>
  <si>
    <t>The contract specifies that the MCP must submit a MLR report to the state that includes, for each MLR reporting year, the calculated MLR.</t>
  </si>
  <si>
    <t>I.D.4.26</t>
  </si>
  <si>
    <t>42 CFR 438.8(k)(1)(x)</t>
  </si>
  <si>
    <t>The contract specifies that the MCP must submit a MLR report to the state that includes, for each MLR reporting year, any remittance owed to the state, if applicable.</t>
  </si>
  <si>
    <t>I.D.4.27</t>
  </si>
  <si>
    <t>42 CFR 438.8(k)(1)(xi); 42 CFR 438.3(m)</t>
  </si>
  <si>
    <t>The contract specifies that the MCP must submit a MLR report to the state that includes, for each MLR reporting year, a comparison of the information reported with the audited financial report.</t>
  </si>
  <si>
    <t>I.D.4.28</t>
  </si>
  <si>
    <t>42 CFR 438.8(k)(1)(xii); 42 CFR 438.8(i)</t>
  </si>
  <si>
    <t>The contract specifies that the MCP must submit a MLR report to the state that includes, for each MLR reporting year, a description of the aggregation method used to calculate total incurred claims.</t>
  </si>
  <si>
    <t>I.D.4.29</t>
  </si>
  <si>
    <t>42 CFR 438.8(k)(1)(xiii)</t>
  </si>
  <si>
    <t>The contract specifies that the MCP must submit a MLR report to the state that includes, for each MLR reporting year, the number of member months.</t>
  </si>
  <si>
    <t>I.D.4.30</t>
  </si>
  <si>
    <r>
      <t>42 CFR 438.8(k)(1)</t>
    </r>
    <r>
      <rPr>
        <sz val="10"/>
        <color theme="1"/>
        <rFont val="Aptos Narrow"/>
        <family val="2"/>
      </rPr>
      <t>–</t>
    </r>
    <r>
      <rPr>
        <sz val="10"/>
        <color theme="1"/>
        <rFont val="Arial"/>
        <family val="2"/>
      </rPr>
      <t>(2)</t>
    </r>
  </si>
  <si>
    <t xml:space="preserve">The contract specifies that the MCP must submit the MLR report in a timeframe and manner determined by the state, which must be within 12 months of the end of the MLR reporting year. </t>
  </si>
  <si>
    <t>I.D.4.31</t>
  </si>
  <si>
    <t>42 CFR 438.8(k)(3)</t>
  </si>
  <si>
    <t>The contract specifies that the MCP must require any third party vendor providing claims adjudication activities to provide all underlying data associated with MLR reporting to the MCP within 180 days of the end of the MLR reporting year or within 30 days of being  requested by the MCP, whichever comes sooner, regardless of current contractual limitations, to calculate and validate the accuracy of MLR reporting.</t>
  </si>
  <si>
    <t>I.D.4.32</t>
  </si>
  <si>
    <t>42 CFR 438.8(m) and (k)</t>
  </si>
  <si>
    <t>The contract specifies that, in any instance where a state makes a retroactive change to the capitation payments for a MLR reporting year where the MLR report has already been submitted to the state, the MCP must re-calculate the MLR for all MLR reporting years affected by the change.</t>
  </si>
  <si>
    <t>I.D.4.33</t>
  </si>
  <si>
    <t>The contract specifies that, in any instance where a state makes a retroactive change to the capitation payments for a MLR reporting year where the MLR report has already been submitted to the state, the MCP must submit a new MLR report meeting the applicable requirements.</t>
  </si>
  <si>
    <t>I.D.4.34</t>
  </si>
  <si>
    <t>42 CFR 438.8(n) and (k)</t>
  </si>
  <si>
    <t xml:space="preserve">The contract specifies that the MCP must attest to the accuracy of the calculation of the MLR in accordance with the MLR standards when submitting required MLR reports. </t>
  </si>
  <si>
    <t>I.D.5 Payment for Indian Health Care Providers (IHCPs)</t>
  </si>
  <si>
    <t>I.D.5.01</t>
  </si>
  <si>
    <t>ARRA Section 5006(d); 42 CFR 438.14(b)(2)(iii); 42 CFR 447.45; 42 CFR 447.46; SMD #10-001</t>
  </si>
  <si>
    <t>For contracts involving IHCP, the contract requires that the MCP will meet the requirements of FFS timely payment for all Indian Tribe, Tribal Organization, or Urban Indian Organization (I/T/U) providers in its network, including the paying of 90% of all clean claims from practitioners (i.e., those who are in individual or group practice or who practice in shared health facilities) within 30 days of the date of receipt; and paying 99 percent of all clean claims from practitioners (who are in individual or group practice or who practice in shared health facilities) within 90 days of the date of receipt.</t>
  </si>
  <si>
    <t>I.D.5.02</t>
  </si>
  <si>
    <t>42 CFR 438.14(c)(1)</t>
  </si>
  <si>
    <t>The contract specifies that IHCPs which are enrolled in Medicaid as Federally Qualified Health Centers (FQHCs) but are not participating providers of an MCP must be paid an amount equal to the amount the MCP would pay a FQHC that is a network provider but is not an IHCP, including any supplemental payment from the state to make up the difference between the amount the MCP pays and what the IHCP FQHC would have received under FFS.</t>
  </si>
  <si>
    <t>I.D.5.03</t>
  </si>
  <si>
    <t>42 CFR 438.14(c)(2)</t>
  </si>
  <si>
    <t>The contract specifies that when an IHCP is not enrolled in Medicaid as a FQHC, regardless of whether it participates in the network of an MCP, it has the right to receive its applicable encounter rate published annually in the Federal Register by the Indian Health Service (IHS), or in the absence of a published encounter rate, the amount it would receive if the services were provided under the state plan’s FFS payment methodology.</t>
  </si>
  <si>
    <t>I.D.6.01</t>
  </si>
  <si>
    <r>
      <t>Sections 1902(a)(37)(A) and 1932(f) of the Act; 42 CFR 447.45(d)(2)</t>
    </r>
    <r>
      <rPr>
        <sz val="10"/>
        <color theme="1"/>
        <rFont val="Aptos Narrow"/>
        <family val="2"/>
      </rPr>
      <t>–</t>
    </r>
    <r>
      <rPr>
        <sz val="10"/>
        <color theme="1"/>
        <rFont val="Arial"/>
        <family val="2"/>
      </rPr>
      <t>(3); 42 CFR 447.46</t>
    </r>
  </si>
  <si>
    <t xml:space="preserve">The contract requires that the MCP will meet the requirements of FFS timely payment, including the paying of 90% of all clean claims from practitioners (i.e., those who are in individual or group practice or who practice in shared health facilities) within 30 days of the date of receipt; and paying 99% of all clean claims from practitioners (who are in individual or group practice or who practice in shared health facilities) within 90 days of the date of receipt. </t>
  </si>
  <si>
    <t>I.D.6.02</t>
  </si>
  <si>
    <r>
      <t>Sections 1902(a)(37)(A) and 1932(f) of the Act; 42 CFR 447.45(d)(5)</t>
    </r>
    <r>
      <rPr>
        <sz val="10"/>
        <color theme="1"/>
        <rFont val="Aptos Narrow"/>
        <family val="2"/>
      </rPr>
      <t>–</t>
    </r>
    <r>
      <rPr>
        <sz val="10"/>
        <color theme="1"/>
        <rFont val="Arial"/>
        <family val="2"/>
      </rPr>
      <t xml:space="preserve">(6); 42 CFR 447.46 </t>
    </r>
  </si>
  <si>
    <t>The contract requires that the MCP ensure that the date of receipt is the date the MCP receives the claim, as indicated by its date stamp on the claim; and that the date of payment is the date of the check or other form of payment.</t>
  </si>
  <si>
    <t>I.D.7.01</t>
  </si>
  <si>
    <t>42 CFR 438.6(d)</t>
  </si>
  <si>
    <t xml:space="preserve">The contract requires that the MCP make pass-through payments as defined at 42 CFR 438.6(a) to network providers which can only include hospitals, physicians, or nursing facilities. The contract must include the following:
1) The amount of the pass-through payments included in the rates and the schedule of payments to the network providers; and 
2) The amount of the pass-through payments noted in the contract must be consistent with the amount calculated in the rate certification and comply with requirements outlined in 42 CFR 438.6(d).
</t>
  </si>
  <si>
    <t>11,12,13</t>
  </si>
  <si>
    <t>I.D.7.02</t>
  </si>
  <si>
    <t>42 CFR 438.6(d)(5); 42 CFR 438.6(d)(1)(i)</t>
  </si>
  <si>
    <t>Pass-through payments for physicians and nursing facilities are allowed for a 5-year transition period (rating periods for contracts beginning on or after July 1, 2017 through rating periods for contracts beginning on or after July 1, 2021). In order for pass-through payments for physicians and nursing facilities to be allowed for this transition period, a state must demonstrate that it had pass-through payments for physicians and/or nursing facilities as outlined in 42 CFR 438.6(d)(1)(i).
For this transition period, the amount of the pass-through payments for physicians and nursing facilities may be no more than the total dollar amount of pass-through payments to physicians and nursing facilities, respectively, identified in the managed care contract(s) and rate certification(s) used to meet the requirement of 42 CFR 438.6(d)(1)(i).
For rating periods for contracts beginning on or after July 1, 2022, the state cannot require pass-through payments for physicians or nursing facilities under the MCP contract(s).</t>
  </si>
  <si>
    <t>I.D.7.03</t>
  </si>
  <si>
    <t>42 CFR 438.6(d)(3); 42 CFR 438.6(d)(1)(i); 42 CFR 438.6(d)(2); 42 CFR 438.6(d)(4)</t>
  </si>
  <si>
    <t>Pass-through payments for hospitals are allowed for a 10-year transition period (rating periods for contracts beginning on or after July 1, 2017 through rating periods for contracts beginning on or after July 1, 2026). In order for pass-through payments for hospitals to be allowed for this transition period, a state must demonstrate that it had pass-through payments for hospitals as outlined in 42 CFR 438.6(d)(1)(i) (see Tip 15).
For this transition period, the total dollar amount of the pass-through payments to hospitals may not exceed the lesser of: (1) a percentage of the base amount, beginning with 100 percent for the rating period for contracts beginning on or after July 1, 2017, and decreasing by 10 percentage points each successive year; or (2) the total dollar amount of pass-through payments to hospitals identified in managed care contract(s) and rate certification(s) used to meet the requirement of 42 CFR 438.6(d)(1)(i).
For rating periods for contracts beginning on or after July 1, 2027, the state cannot require pass-through payments for hospitals under the MCP contract(s).</t>
  </si>
  <si>
    <t>11,12,13,14</t>
  </si>
  <si>
    <t>I.D.7.04</t>
  </si>
  <si>
    <t>42 CFR 438.6(d)(1); 42 CFR 438.6(d)(6)</t>
  </si>
  <si>
    <t>Pass-through payments to hospitals for inpatient and outpatient services are permitted for up to 3 years if a state is initially transitioning services or populations from a FFS delivery system to a managed care delivery system. In order for pass-through payments for hospitals to be allowed for this transition period, a state must demonstrate that:
(1) Services will be covered for the first time under a managed care contract and were previously provided in a FFS delivery system prior to the first rating period of the transition period; 
(2) The state made supplemental payments as defined in 42 CFR 438.6(a) to hospitals during the 12- month period immediately 2 years prior to the first year of the transition period; and
(3) The aggregate amount of the pass-through payments is less than or equal to the product of the actual supplemental payments paid and the ratio achieved by dividing the amount paid through payment rates for hospital services that are being transitioned from payment in a FFS delivery system to the managed care contract by the total amount paid through state plan approved rates for hospital services made in the state's FFS delivery system.</t>
  </si>
  <si>
    <t>11,12,16</t>
  </si>
  <si>
    <t>I.D.7.05</t>
  </si>
  <si>
    <t xml:space="preserve">Pass-through payments for physician services are permitted for up to 3 years if a state is initially transitioning services or populations from a FFS delivery system to a managed care delivery system. In order for pass-through payments for physicians to be allowed for this transition period, a state must demonstrate that:
(1) The services will be covered for the first time under a managed care contract and were previously provided in a FFS delivery system prior to the first rating period of the transition period;
(2) The state made supplemental payments as defined in 42 CFR 438.6(a) to hospitals during the 12- month period immediately 2 years prior to the first year of the transition period; and
(3) The aggregate amount of the pass-through payments is less than or equal to the product of the actual supplemental payments paid and the ratio achieved by dividing the amount paid through state plan approved rates for physician services that are being transitioned from payment in a FFS delivery system to the managed care contract by the total amount paid through payment rates for physician services made in the state's FFS delivery system.
</t>
  </si>
  <si>
    <t>I.D.7.06</t>
  </si>
  <si>
    <t xml:space="preserve">Pass-through payments for nursing facility services are permitted for up to 3 years if a state is initially transitioning services or populations from a FFS delivery system to a managed care delivery system. In order for pass-through payments for nursing facilities to be allowed for this transition period, a state must demonstrate that: 
(1) The services will be covered for the first time under a managed care contract and were previously provided in a FFS delivery system prior to the first rating period of the transition period;
(2) The state made supplemental payments as defined in 42 CFR 438.6(a) to hospitals during the 12-month period immediately 2 years prior to the first year of the transition period; and
(3) The aggregate amount of the pass-through payments is less than or equal to the product of the actual supplemental payments paid and the ratio achieved by dividing the amount paid through state plan approved rates for nursing facility services that are being transitioned from payment in a FFS delivery system to the managed care contract by the total amount paid through payment rates for nursing facility services made in the state's FFS delivery system.
</t>
  </si>
  <si>
    <t>I.D.8 State Directed Payments</t>
  </si>
  <si>
    <t>I.D.8</t>
  </si>
  <si>
    <t>42 CFR 438.6(c)</t>
  </si>
  <si>
    <t>The contract clearly documents the contractual requirements for each state directed payment. Each state directed payment should be sufficiently detailed in the contract for plans to operationalize each payment arrangement (and then must be in alignment with the approved preprint(s) when a preprint is required). Examples of details from the approved preprint to consider including in such contract requirements would be, but are not limited to: the provider class(es) for the state directed payment, how the state will operationalize the payment with the plans, how the plan is to operationalize the payment to the provider (e.g., uniform increase of $x to be paid per claim) and any reporting the state may require to ensure compliance with the state directed payment. To ensure clarity, the state may wish to include the control name of the CMS-approved Section 438.6(c) preprint for each contract arrangement that directs the MCPs' expenditures under 42 CFR 438.6(c).</t>
  </si>
  <si>
    <t>New</t>
  </si>
  <si>
    <t xml:space="preserve">Pursuant to 42 CFR 438.6(b)(1), the state may not add or modify risk sharing mechanisms after the start of the rating period. </t>
  </si>
  <si>
    <t>The incentive arrangement(s) outlined in the MCP contract pursuant to 42 CFR 438.6(b) should be consistent with those described in a rate certification.</t>
  </si>
  <si>
    <t>The incentive arrangement(s) described in the MCP contract should be consistent with those in the state’s quality strategy, required by 42 CFR 438.340, to confirm that the incentive arrangements described in the contract relate to specified activities, targets, performance measures, or quality-based outcomes that support program initiatives as specified in the state’s quality strategy. 42 CFR 438.340(c)(3) requires the state to submit the initial quality strategy, and a copy of the revised strategy whenever significant changes are made, to CMS.</t>
  </si>
  <si>
    <t>The withhold arrangement(s) outlined in the MCP contract under 42 CFR 438.6(b)(3) should be consistent with those described in a rate certification.</t>
  </si>
  <si>
    <t>The withhold arrangement(s) described in the MCP contract should be consistent with those in the state’s quality strategy, required by 42 CFR 438.340, to confirm that the withhold arrangements described in the contract relate to specified activities, targets, performance measures, or quality-based outcomes that support program initiatives as specified in the state’s quality strategy. 42 CFR 438.340(c)(3) requires the state to submit the initial quality strategy, and a copy of the revised strategy whenever significant changes are made, to CMS.</t>
  </si>
  <si>
    <t>MLR requirements may vary by MCP within a program (in the case, for example, that there is one new MCP in a program that also includes three additional existing MCPs). If one review tool is completed for a "model" contract, the MLR requirements for each MCP must be clearly documented.</t>
  </si>
  <si>
    <t>As described at 42 CFR 438.8(l), a state, in its discretion, may exclude a MCO, PIHP, or PAHP that is newly contracted with the state from the MLR requirements for the first year of the MCO’s, PIHP’s, or PAHP’s operation. Such MCOs, PIHPs, or PAHPs must be required to comply with these requirements during the next MLR reporting year in which the MCO, PIHP, or PAHP is in business with the state, even if the first year was not a full 12 months.</t>
  </si>
  <si>
    <t>Given the complexity of the MLR calculation as required by 42 CFR 438.8, states may choose to reference the CFR rather than outline all relevant provisions within the MCP contracts.</t>
  </si>
  <si>
    <t>Pursuant to 42 CFR 438.8(h), CMS will annually publish guidance for MCOs, PIHPs, and PAHPs to help assess if MCOs, PIHPs, and PAHPs are determined to be fully credible or partially credible.</t>
  </si>
  <si>
    <t>Per 42 CFR 447.46(c)(2) and 447.46(c)(3), as an exception, the contract may allow the MCO and its providers, by mutual agreement, to establish an alternative payment schedule. Any alternative schedule must be stipulated in the contract.</t>
  </si>
  <si>
    <t>Under 42 CFR 438.6(d), this requirement is only applicable if the state has included a pass-through payment.</t>
  </si>
  <si>
    <r>
      <t>The definition of pass-through payments as outlined in 42 CFR 438.6(a) is: any amount required by the state to be added to the contracted payment rate, and considered in calculating the actuarially sound capitation rate, between the MCO, PIHP, or PAHP and hospitals, physicians, or nursing facilities that is not for the following purposes: A specific service or benefit provided to a specific enrollee covered under the contract; a provider payment methodology permitted under 42 CFR 438.6(c)(1)(i)</t>
    </r>
    <r>
      <rPr>
        <sz val="10"/>
        <rFont val="Aptos Narrow"/>
        <family val="2"/>
      </rPr>
      <t>–</t>
    </r>
    <r>
      <rPr>
        <sz val="10"/>
        <rFont val="Arial"/>
        <family val="2"/>
      </rPr>
      <t xml:space="preserve">(iii) for services and enrollees covered under the contract; a subcapitated payment arrangement for a specific set of services and enrollees covered under the contract; GME payments; or FQHC or RHC wrap around payments. Pass-through payments are most easily identified as required payments that are not directly tied to utilization or outcomes based on utilization during the rating period of the contract. 
</t>
    </r>
  </si>
  <si>
    <t>Pass-through payments are allowed for transition periods as outlined in 42 CFR 438.6(d). In accordance with 42 CFR 438.6(d)(1)(i), to use a transition period, a state must demonstrate that it had pass-through payments for hospitals, physicians, or nursing facilities in: 
(1) managed care contract(s) and rate certification(s) for the rating period that includes July 5, 2016, and were submitted for CMS review and approval on or before July 5, 2016; or 
(2) if the managed care contract(s) and rate certification(s) for the rating period that includes July 5, 2016 had not been submitted to CMS on or before July 5, 2016, the managed care contract(s) and rate certification(s) for a rating period before July 5, 2016 that had been most recently submitted for CMS review and approval as of July 5, 2016.</t>
  </si>
  <si>
    <t>Calculation of the base amount of pass-through payments to hospitals is defined at 42 CFR 438.6(d)(2).</t>
  </si>
  <si>
    <t>Fraud prevention activities are defined at 42 CFR 438.8(e)(4) as those that are consistent with regulations adopted for the private market at 45 CFR Part 158.</t>
  </si>
  <si>
    <t>The state may demonstrate that the criteria necessary for CMS to allow the pass-through payment through a means other than specifically articulating the criteria in the contract. For instance, the rate certification and support documentation may establish that this criteria is met.</t>
  </si>
  <si>
    <t>Subpart E - Providers and Provider Network</t>
  </si>
  <si>
    <t>Status of Medicaid Section:</t>
  </si>
  <si>
    <t xml:space="preserve">I.E.1.01 </t>
  </si>
  <si>
    <t>42 CFR 438.3(q)(1); 42 CFR 438.3(r)</t>
  </si>
  <si>
    <t>The contract requires the MCP to provide reasonable and adequate hours of operation, including 24-hour availability of information, referral, and treatment for emergency medical conditions.</t>
  </si>
  <si>
    <t xml:space="preserve">I.E.1.02 </t>
  </si>
  <si>
    <t>42 CFR 438.3(q)(3); 42 CFR 438.3(r)</t>
  </si>
  <si>
    <t>The contract requires the MCP to make arrangements with or referrals to a sufficient number of physicians and other practitioners to ensure that the services under the contract can be furnished promptly and without compromising the quality of care.</t>
  </si>
  <si>
    <t>I.E.1.03</t>
  </si>
  <si>
    <t>42 CFR 438.206(b)(1)</t>
  </si>
  <si>
    <t xml:space="preserve">The contract requires that the MCP maintain and monitor a network of appropriate providers that is supported by written agreements. </t>
  </si>
  <si>
    <t>I.E.1.04</t>
  </si>
  <si>
    <t xml:space="preserve">The contract requires that the MCP maintain and monitor a network of appropriate providers that is sufficient to provide adequate access to all services covered under the contract for all enrollees, including those with limited English proficiency or physical or mental disabilities. </t>
  </si>
  <si>
    <t>I.E.1.05</t>
  </si>
  <si>
    <t>42 CFR 438.206(b)(7)</t>
  </si>
  <si>
    <t xml:space="preserve">The contract requires that the MCP demonstrates that its network includes sufficient family planning providers to ensure timely access to covered services. </t>
  </si>
  <si>
    <t>I.E.1.06</t>
  </si>
  <si>
    <t>42 CFR 438.68; 42 CFR 438.207(a); 42 CFR 438.206(c)(1)</t>
  </si>
  <si>
    <t xml:space="preserve">The contract requires the MCP to give assurances and provide supporting documentation that demonstrates it has the capacity to serve the expected enrollment in its service area in accordance with the state's standards for access and timeliness of care. </t>
  </si>
  <si>
    <r>
      <t>I.E.1.07</t>
    </r>
    <r>
      <rPr>
        <sz val="10"/>
        <color theme="1"/>
        <rFont val="Aptos Narrow"/>
        <family val="2"/>
      </rPr>
      <t>–</t>
    </r>
    <r>
      <rPr>
        <sz val="10"/>
        <color theme="1"/>
        <rFont val="Arial"/>
        <family val="2"/>
      </rPr>
      <t>08</t>
    </r>
  </si>
  <si>
    <r>
      <t>42 CFR 438.207(b)(1)</t>
    </r>
    <r>
      <rPr>
        <sz val="10"/>
        <color theme="1"/>
        <rFont val="Aptos Narrow"/>
        <family val="2"/>
      </rPr>
      <t>–</t>
    </r>
    <r>
      <rPr>
        <sz val="10"/>
        <color theme="1"/>
        <rFont val="Arial"/>
        <family val="2"/>
      </rPr>
      <t>(2)</t>
    </r>
  </si>
  <si>
    <t>The contract requires the MCP to submit documentation to the state, in a format specified by the state, to demonstrate it maintains a network of providers, including an appropriate range of preventive, primary care, specialty services, and LTSS that is sufficient in number, mix, and geographic distribution to meet the needs of the anticipated number of enrollees in the service area.</t>
  </si>
  <si>
    <t>I.E.1.10</t>
  </si>
  <si>
    <r>
      <t>42 CFR 438.207(b)</t>
    </r>
    <r>
      <rPr>
        <sz val="10"/>
        <color theme="1"/>
        <rFont val="Aptos Narrow"/>
        <family val="2"/>
      </rPr>
      <t>–</t>
    </r>
    <r>
      <rPr>
        <sz val="10"/>
        <color theme="1"/>
        <rFont val="Arial"/>
        <family val="2"/>
      </rPr>
      <t>(c)</t>
    </r>
  </si>
  <si>
    <t>The contract requires the MCP to submit documentation as specified by the state, but no less frequently than the following: 
1) At the time it enters into a contract with the state; 
2) On an annual basis; or
3) At any time there has been a significant change (as defined by the state) in the MCP's operations that would affect the adequacy of capacity and services, including changes in MCP services, benefits, geographic service area, composition of or payments to its provider network, or at the enrollment of a new population in the MCP.</t>
  </si>
  <si>
    <t>I.E.1.11</t>
  </si>
  <si>
    <t>42 CFR 438.3(q)(2); 42 CFR 438.3(r)</t>
  </si>
  <si>
    <t>The contract restricts enrollment to recipients who reside sufficiently near one of the PCCM entity's delivery sites to reach that site within a reasonable time using available and affordable modes of transportation.</t>
  </si>
  <si>
    <t>I.E.2.01</t>
  </si>
  <si>
    <t>42 CFR 438.12(a)(1)</t>
  </si>
  <si>
    <t>The contract prohibits MCPs from discriminating against any provider (limiting their participation, reimbursement, or indemnification) who is acting within the scope of his or her license or certification under applicable state law, solely on the basis of that license or certification.</t>
  </si>
  <si>
    <t>I.E.3.01</t>
  </si>
  <si>
    <t xml:space="preserve">The contract requires the MCP to give written notice of the reason for its decision when it declines to include individual or groups of providers in its provider network. </t>
  </si>
  <si>
    <t xml:space="preserve">I.E.3.02 </t>
  </si>
  <si>
    <t>42 CFR 438.12(a)(2); 42 CFR 438.214(a)</t>
  </si>
  <si>
    <t>The contract requires the MCP to implement written policies and procedures for the selection and retention of network providers.</t>
  </si>
  <si>
    <t xml:space="preserve">I.E.3.03 </t>
  </si>
  <si>
    <t>42 CFR 438.12(a)(2); 42 CFR 438.214(b)(1)</t>
  </si>
  <si>
    <t>In all contracts with network providers, the MCP must follow the state's uniform credentialing and recredentialing policy that addresses acute, primary, behavioral, substance use disorder, and LTSS providers, as appropriate.</t>
  </si>
  <si>
    <t xml:space="preserve">I.E.3.04 </t>
  </si>
  <si>
    <t>42 CFR 438.12(a)(2); 42 CFR 438.214(b)(2)</t>
  </si>
  <si>
    <t>In all contracts with network providers, the MCP must follow a documented process for credentialing and recredentialing of network providers.</t>
  </si>
  <si>
    <t xml:space="preserve">I.E.3.05 </t>
  </si>
  <si>
    <t>42 CFR 438.12(a)(2); 42 CFR 438.214(c)</t>
  </si>
  <si>
    <t>In all contracts with network providers, the MCP’s provider selection policies and procedures must not discriminate against particular providers that serve high-risk populations or specialize in conditions that require costly treatment.</t>
  </si>
  <si>
    <t xml:space="preserve">I.E.3.06 </t>
  </si>
  <si>
    <t>42 CFR 438.12(a)(2); 42 CFR 438.214(e)</t>
  </si>
  <si>
    <t>In all contracts with network providers, the MCP must comply with any additional provider selection requirements established by the state.</t>
  </si>
  <si>
    <t>I.E.3.07</t>
  </si>
  <si>
    <t xml:space="preserve">42 CFR 438.12(b)(1) </t>
  </si>
  <si>
    <t>The contract does not require the MCP to contract with more providers than necessary to meet the needs of its enrollees.</t>
  </si>
  <si>
    <t>I.E.3.08</t>
  </si>
  <si>
    <t>42 CFR 438.12(b)(2)</t>
  </si>
  <si>
    <t>The contract does not preclude the MCP from using different reimbursement amounts for different specialties or for different practitioners in the same specialty.</t>
  </si>
  <si>
    <t>I.E.3.09</t>
  </si>
  <si>
    <t>42 CFR 438.12(b)(3)</t>
  </si>
  <si>
    <t xml:space="preserve">The contract does not preclude the MCP from establishing measures that are designed to maintain quality of services and control costs and are consistent with its responsibilities to enrollees. </t>
  </si>
  <si>
    <t>I.E.3.10</t>
  </si>
  <si>
    <t>42 CFR 438.206(b)(6)</t>
  </si>
  <si>
    <t>The contract requires that the MCP demonstrate that its network providers are credentialed as required under 42 CFR 438.214.</t>
  </si>
  <si>
    <t xml:space="preserve">I.E.4.01 </t>
  </si>
  <si>
    <t>Section 1932(b)(3)(A) of the Act; 42 CFR 438.102(a)(1)(i)</t>
  </si>
  <si>
    <t>The contract requires that the MCP does not prohibit or restrict a provider acting within the lawful scope of practice, from advising or advocating on behalf of an enrollee who is his or her patient regarding the enrollee’s health status, medical care, or treatment options, including any alternative treatment that may be self-administered.</t>
  </si>
  <si>
    <r>
      <t>I.E.4.02</t>
    </r>
    <r>
      <rPr>
        <sz val="10"/>
        <color theme="1"/>
        <rFont val="Aptos Narrow"/>
        <family val="2"/>
      </rPr>
      <t>–</t>
    </r>
    <r>
      <rPr>
        <sz val="10"/>
        <color theme="1"/>
        <rFont val="Arial"/>
        <family val="2"/>
      </rPr>
      <t>03</t>
    </r>
  </si>
  <si>
    <r>
      <t>Section 1932(b)(3)(A) of the Act; 42 CFR 438.102(a)(1)(ii)</t>
    </r>
    <r>
      <rPr>
        <sz val="10"/>
        <color theme="1"/>
        <rFont val="Aptos Narrow"/>
        <family val="2"/>
      </rPr>
      <t>–</t>
    </r>
    <r>
      <rPr>
        <sz val="10"/>
        <color theme="1"/>
        <rFont val="Arial"/>
        <family val="2"/>
      </rPr>
      <t>(iii)</t>
    </r>
  </si>
  <si>
    <t>The contract requires that the MCP does not prohibit or restrict a provider acting within the lawful scope of practice from advising or advocating on behalf of an enrollee who is his or her patient regarding any information the enrollee needs to decide among all relevant treatment options or regarding the risks, benefits, and consequences of treatment or non-treatment.</t>
  </si>
  <si>
    <t xml:space="preserve">I.E.4.04 </t>
  </si>
  <si>
    <t>Section 1932(b)(3)(A) of the Act; 42 CFR 438.102(a)(1)(iv)</t>
  </si>
  <si>
    <t>The contract requires that the MCP does not prohibit or restrict a provider acting within the lawful scope of practice, from advising or advocating on behalf of an enrollee who is his or her patient regarding the enrollee’s right to participate in decisions regarding his or her health care, including the right to refuse treatment, and to express preferences about future treatment decisions.</t>
  </si>
  <si>
    <t>I.E.4.05</t>
  </si>
  <si>
    <t>42 CFR 438.410(b)</t>
  </si>
  <si>
    <t>The contract requires that the MCP take no punitive action against a provider who either requests an expedited resolution or supports an enrollee’s appeal.</t>
  </si>
  <si>
    <t xml:space="preserve">I.E.5.01 </t>
  </si>
  <si>
    <t>42 CFR 438.206(c)(1)(i)</t>
  </si>
  <si>
    <t xml:space="preserve">The contract requires that the MCP and its network providers meet the state standards for timely access to care and services, taking into account the urgency of the need for services. </t>
  </si>
  <si>
    <t>I.E.5.02</t>
  </si>
  <si>
    <t>42 CFR 438.206(c)(1)(ii)</t>
  </si>
  <si>
    <t>The contract requires that the MCP’s network providers offer hours of operation that are no less than the hours offered to commercial enrollees or are comparable to Medicaid FFS, if the provider serves only Medicaid enrollees.</t>
  </si>
  <si>
    <t>I.E.5.03</t>
  </si>
  <si>
    <t>42 CFR 438.206(c)(1)(iii)</t>
  </si>
  <si>
    <t xml:space="preserve">The contract requires that the MCP make services available 24 hours a day, 7 days a week, when medically necessary. </t>
  </si>
  <si>
    <r>
      <t>I.E.5.04</t>
    </r>
    <r>
      <rPr>
        <sz val="10"/>
        <color theme="1"/>
        <rFont val="Aptos Narrow"/>
        <family val="2"/>
      </rPr>
      <t>–</t>
    </r>
    <r>
      <rPr>
        <sz val="10"/>
        <color theme="1"/>
        <rFont val="Arial"/>
        <family val="2"/>
      </rPr>
      <t>06</t>
    </r>
  </si>
  <si>
    <t>42 CFR 438.206(c)(1)(iv)</t>
  </si>
  <si>
    <t xml:space="preserve">The contract requires that the MCP establish mechanisms to ensure that its network providers comply with timely access requirements; monitor network providers regularly to determine compliance with the timely access requirements; and take corrective action if it, or its network providers, fail to comply with the timely access requirements. </t>
  </si>
  <si>
    <t>I.E.5.07</t>
  </si>
  <si>
    <t>42 CFR 438.206(c)(3)</t>
  </si>
  <si>
    <t>The contract requires the MCP to ensure that network providers provide physical access, reasonable accommodations, and accessible equipment for Medicaid enrollees with physical or mental disabilities.</t>
  </si>
  <si>
    <t xml:space="preserve">I.E.5.08 </t>
  </si>
  <si>
    <t>42 CFR 438.68(b)(1)(i)</t>
  </si>
  <si>
    <t xml:space="preserve">The contract requires that the MCP will adhere to the quantitative network adequacy standards for adult PCPs developed by the state in all geographic areas in which the MCP operates, if the provider type is covered under the contract. </t>
  </si>
  <si>
    <r>
      <t>I.E.5.09</t>
    </r>
    <r>
      <rPr>
        <sz val="10"/>
        <color theme="1"/>
        <rFont val="Aptos Narrow"/>
        <family val="2"/>
      </rPr>
      <t>–</t>
    </r>
    <r>
      <rPr>
        <sz val="10"/>
        <color theme="1"/>
        <rFont val="Arial"/>
        <family val="2"/>
      </rPr>
      <t>20</t>
    </r>
  </si>
  <si>
    <r>
      <t>42 CFR 438.68(b)(1)(i)</t>
    </r>
    <r>
      <rPr>
        <sz val="10"/>
        <color theme="1"/>
        <rFont val="Aptos Narrow"/>
        <family val="2"/>
      </rPr>
      <t>–</t>
    </r>
    <r>
      <rPr>
        <sz val="10"/>
        <color theme="1"/>
        <rFont val="Arial"/>
        <family val="2"/>
      </rPr>
      <t>(vii); 42 CFR 438.68(b)(2)</t>
    </r>
  </si>
  <si>
    <r>
      <t>The contract requires that the MCP will adhere to the quantitative network adequacy standards developed by the state in all geographic areas in which the MCP operates if the provider types in 42 CFR 438.68(b)(1)(i)</t>
    </r>
    <r>
      <rPr>
        <sz val="10"/>
        <rFont val="Aptos Narrow"/>
        <family val="2"/>
      </rPr>
      <t>–</t>
    </r>
    <r>
      <rPr>
        <sz val="10"/>
        <rFont val="Arial"/>
        <family val="2"/>
      </rPr>
      <t>(vii) and 42 CFR 438.68(b)(2) are covered under the contract.</t>
    </r>
  </si>
  <si>
    <t>3,4</t>
  </si>
  <si>
    <t>I.E.5.21</t>
  </si>
  <si>
    <t>42 CFR 438.68(b)(3); 42 CFR 438.68(b)(2)</t>
  </si>
  <si>
    <t>For MCPs that provide LTSS, the contract requires that the MCP will meet state quantitative network adequacy standards in all geographic areas in which the MCP operates for LTSS. States are permitted to have varying standards for the same provider type based on geographic areas.</t>
  </si>
  <si>
    <t>I.E.5.22</t>
  </si>
  <si>
    <t>42 CFR 438.68(d)(1)</t>
  </si>
  <si>
    <t>If the state has developed an exceptions process for MCPs regarding the state-developed quantitative network adequacy standards, the contract describes the standards by which any exceptions will be evaluated and approved.</t>
  </si>
  <si>
    <t xml:space="preserve">I.E.6 Provider Notification of Grievance and Appeals Rights </t>
  </si>
  <si>
    <t xml:space="preserve">I.E.6.01 </t>
  </si>
  <si>
    <t>42 CFR 438.414; 42 CFR 438.10(g)(2)(xi)</t>
  </si>
  <si>
    <r>
      <t>The contract requires the MCP to inform providers and subcontractors, at the time they enter into a contract, about enrollee grievance, appeal, and fair hearing procedures and timeframes as specified in 42 CFR 438.400</t>
    </r>
    <r>
      <rPr>
        <sz val="10"/>
        <color theme="1"/>
        <rFont val="Aptos Narrow"/>
        <family val="2"/>
      </rPr>
      <t>–</t>
    </r>
    <r>
      <rPr>
        <sz val="10"/>
        <color theme="1"/>
        <rFont val="Arial"/>
        <family val="2"/>
      </rPr>
      <t>424 and described in the Grievances and Appeals section of this checklist.</t>
    </r>
  </si>
  <si>
    <t>I.E.6.02</t>
  </si>
  <si>
    <r>
      <t>42 CFR 438.414; 42 CFR 438.10(g)(2)(xi)(A)</t>
    </r>
    <r>
      <rPr>
        <sz val="10"/>
        <color theme="1"/>
        <rFont val="Aptos Narrow"/>
        <family val="2"/>
      </rPr>
      <t>–</t>
    </r>
    <r>
      <rPr>
        <sz val="10"/>
        <color theme="1"/>
        <rFont val="Arial"/>
        <family val="2"/>
      </rPr>
      <t>(B)</t>
    </r>
  </si>
  <si>
    <t>The contract requires the MCP to inform providers and subcontractors, at the time they enter into a contract, about the enrollee’s right to file grievances and appeals and the requirements and timeframes for filing.</t>
  </si>
  <si>
    <t>I.E.6.03</t>
  </si>
  <si>
    <t>42 CFR 438.414; 42 CFR 438.10(g)(2)(xi)(C)</t>
  </si>
  <si>
    <t xml:space="preserve">The contract requires the MCP to inform providers and subcontractors, at the time they enter into a contract, about the availability of assistance to the enrollee with filing grievances and appeals. </t>
  </si>
  <si>
    <t>I.E.6.04</t>
  </si>
  <si>
    <t>42 CFR 438.414; 42 CFR 438.10(g)(2)(xi)(D)</t>
  </si>
  <si>
    <t xml:space="preserve">The contract requires the MCP to inform providers and subcontractors, at the time they enter into a contract, about the enrollee's right to request a state fair hearing after the MCP has made a determination on an enrollee's appeal which is adverse to the enrollee. </t>
  </si>
  <si>
    <t>I.E.6.05</t>
  </si>
  <si>
    <t>42 CFR 438.414; 42 CFR 438.10(g)(2)(xi)(E)</t>
  </si>
  <si>
    <t>The contract requires the MCP to inform providers and subcontractors, at the time they enter into a contract, about the enrollee’s right to request continuation of benefits that the MCP seeks to reduce or terminate during an appeal or state fair hearing filing, if filed within the allowable timeframes, although the enrollee may be liable for the cost of any continued benefits while the appeal or state fair hearing is pending if the final decision is adverse to the enrollee.</t>
  </si>
  <si>
    <t>I.E.7.01</t>
  </si>
  <si>
    <r>
      <t>Section 1932(b)(6) of the Act; 42 CFR 438.3(k); 42 CFR 438.230(c)(1)</t>
    </r>
    <r>
      <rPr>
        <sz val="10"/>
        <color theme="1"/>
        <rFont val="Aptos Narrow"/>
        <family val="2"/>
      </rPr>
      <t>–</t>
    </r>
    <r>
      <rPr>
        <sz val="10"/>
        <color theme="1"/>
        <rFont val="Arial"/>
        <family val="2"/>
      </rPr>
      <t>(2)</t>
    </r>
  </si>
  <si>
    <t>The contract obligates the MCP to require that subcontractors and referral providers not bill enrollees, for covered services, any amount greater than would be owed if the entity provided the services directly (i.e., no balance billing by providers).</t>
  </si>
  <si>
    <t xml:space="preserve">I.E.8 Physician Incentive Plan </t>
  </si>
  <si>
    <t>I.E.8.01</t>
  </si>
  <si>
    <t>Section 1903(m)(2)(A)(x) of the Act; 42 CFR 422.208(c)(1); 42 CFR 438.3(i)</t>
  </si>
  <si>
    <t xml:space="preserve">The contract requires that the MCP may only operate a physician incentive plan if no specific payment can be made directly or indirectly under a physician incentive plan to a physician or physician group as an incentive to reduce or limit medically necessary services to an enrollee. </t>
  </si>
  <si>
    <t>I.E.8.02</t>
  </si>
  <si>
    <t>Section 1903(m)(2)(A)(x) of the Act; 42 CFR 422.208(c)(2); 42 CFR 438.3(i)</t>
  </si>
  <si>
    <t xml:space="preserve">The contract requires that if the MCP puts a physician/physician group at substantial financial risk for services not provided by the physician/physician group, the MCP must ensure that the physician/physician group has adequate stop-loss protection. </t>
  </si>
  <si>
    <t>I.E.8.03</t>
  </si>
  <si>
    <t>42 CFR 438.3(i)(3)</t>
  </si>
  <si>
    <t>The contract requires that incentive payment contracts between the MCP and network providers: 
1) Have a defined performance period that can be tied to the applicable MLR reporting periods;
2) Be signed and dated by all appropriate parties before the commencement of the applicable performance period; 
3) Include clearly defined, objectively measurable, and well-documented clinical or quality improvement standards that the provider must meet to receive the incentive payment; and
4) Specify a dollar amount or a percentage of a verifiable dollar amount that can be clearly linked to successful completion of the metrics defined in the incentive payment contract, including a date of payment.</t>
  </si>
  <si>
    <t>I.E.8.04</t>
  </si>
  <si>
    <t>42 CFR 438.3(i)(4)(i)</t>
  </si>
  <si>
    <t>The contract defines the documentation that must be maintained by the MCP to support the provider incentive payments.</t>
  </si>
  <si>
    <t>I.E.8.05</t>
  </si>
  <si>
    <t>42 CFR 438.3(i)(4)(ii)</t>
  </si>
  <si>
    <t>The contract prohibits the use of attestations as supporting documentation for data that factor into the MLR calculation.</t>
  </si>
  <si>
    <t>I.E.8.06</t>
  </si>
  <si>
    <t>42 CFR 438.3(i)(4)(iii)</t>
  </si>
  <si>
    <t>The contract requires the MCP to make incentive payment contracts, and documentation that the MCP must maintain to support provider incentive payments, available to the state upon request and at any routine frequency established in the state’s contract with the MCP.</t>
  </si>
  <si>
    <t>I.E.8.07</t>
  </si>
  <si>
    <t>42 CFR 438.608(e)</t>
  </si>
  <si>
    <t>The contract requires the MCP must require that incentive payment contracts between MCPs and network providers meet the requirements as specified in 42 CFR 438.3(i)(3) and (4).</t>
  </si>
  <si>
    <t>I.E.9 Network Requirements Involving Indians, Indian Health Care Providers (IHCPs), and Indian Managed Care Entities (IMCEs)</t>
  </si>
  <si>
    <t>I.E.9.01</t>
  </si>
  <si>
    <t>42 CFR 438.14(b)(1); 42 CFR 438.14(b)(5)</t>
  </si>
  <si>
    <t>The contract requires the MCP to demonstrate that there are sufficient IHCPs participating in the provider network to ensure timely access to services available under the contract from such providers for Indian enrollees who are eligible to receive services.</t>
  </si>
  <si>
    <t>I.E.9.02</t>
  </si>
  <si>
    <r>
      <t>42 CFR 438.14(b)(2)(i)</t>
    </r>
    <r>
      <rPr>
        <sz val="10"/>
        <color theme="1"/>
        <rFont val="Aptos Narrow"/>
        <family val="2"/>
      </rPr>
      <t>–</t>
    </r>
    <r>
      <rPr>
        <sz val="10"/>
        <color theme="1"/>
        <rFont val="Arial"/>
        <family val="2"/>
      </rPr>
      <t>(ii)</t>
    </r>
  </si>
  <si>
    <t xml:space="preserve">The contract requires that IHCPs, whether participating or not, be paid for covered services provided to Indian enrollees, who are eligible to receive services at a negotiated rate between the MCP and IHCP or, in the absence of a negotiated rate, at a rate not less than the level and amount of payment the managed care entity would make for the services to a participating provider that is not an IHCP. </t>
  </si>
  <si>
    <t>I.E.9.03</t>
  </si>
  <si>
    <t>42 CFR 438.14(b)(4)</t>
  </si>
  <si>
    <t>The contract requires that Indian enrollees are permitted to obtain covered services from out of-network IHCPs from whom the enrollee is otherwise eligible to receive such services.</t>
  </si>
  <si>
    <t>I.E.9.04</t>
  </si>
  <si>
    <t>42 CFR 438.14(b)(6)</t>
  </si>
  <si>
    <t>The contract requires that the MCP must permit an out-of-network IHCP to refer an Indian enrollee to a network provider.</t>
  </si>
  <si>
    <t xml:space="preserve">I.E.10 Practice guidelines </t>
  </si>
  <si>
    <t>I.E.10.01</t>
  </si>
  <si>
    <t>The contract requires that the MCP disseminate practice guidelines to all affected providers.</t>
  </si>
  <si>
    <t>See the 'Network Adequacy Standards' subsection for more information on the requirements of 42 CFR 438.68 and 42 CFR 438.206(c)(1).</t>
  </si>
  <si>
    <t>In accordance with 42 CFR 438.207(b)(1), documentation to demonstrate an appropriate range of services must address only the set of services covered under the contract.</t>
  </si>
  <si>
    <r>
      <t>The state must develop and enforce with its MCPs</t>
    </r>
    <r>
      <rPr>
        <sz val="10"/>
        <color rgb="FFFF0000"/>
        <rFont val="Arial"/>
        <family val="2"/>
      </rPr>
      <t xml:space="preserve"> </t>
    </r>
    <r>
      <rPr>
        <sz val="10"/>
        <rFont val="Arial"/>
        <family val="2"/>
      </rPr>
      <t>quantitative network adequacy standards in accordance with 42 CFR 438.68. CMS must assure that state standards meet all federal requirements. How a state chooses to enforce these requirements with the MCP may vary. For example, a state may:
(1) include the network adequacy standards as an attachment to the contract; 
(2) stipulate each standard in accordance with 42 CFR 438.68 within the MCP contract in additional to federal requirements to publish them on the state’s website; 
(3) require within the contract that the MCP adhere to the state’s network adequacy standards and describe the process by which MCPs will be notified of these standards (such as through the state’s website, quality strategy, provider notices); or
(4) use another method.</t>
    </r>
  </si>
  <si>
    <r>
      <t>Provider types listed in 438.68(b)(1)(i)</t>
    </r>
    <r>
      <rPr>
        <sz val="13"/>
        <rFont val="Aptos Narrow"/>
        <family val="2"/>
      </rPr>
      <t>–</t>
    </r>
    <r>
      <rPr>
        <sz val="10"/>
        <rFont val="Arial"/>
        <family val="2"/>
      </rPr>
      <t>(vii) and 438.68(b)(2) are as follows:                                                                                                                                                                                                                                                                          (i) Primary care, adult and pediatric.
(ii) OB/GYN.
(iii) Mental health and substance use disorder, adult and pediatric.
(iv) Specialist (as designated by the State), adult, and pediatric.
(v) Hospital.
(vi) Pharmacy.
(vii) Pediatric dental.                                                                                                                                                                                                                                                                                                                                       
42 CFR 438.68(b)(2) indicates that states with MCO, PIHP, or PAHP contracts which cover LTSS must develop a quantitative network adequacy standard for LTSS provider types.</t>
    </r>
  </si>
  <si>
    <t>Refer to 42 CFR 422.208 for more information on substantial financial risk and stop-loss protection.</t>
  </si>
  <si>
    <t>As described in 42 CFR 438.14(b)(5), in a state where timely access to covered services cannot be ensured due to few or no IHCPs, the MCP will be considered to have met this requirement if Indian enrollees are permitted by the MCP to access out-of-state IHCPs; or if this circumstance is deemed to be good cause for disenrollment from both the MCP and the state’s managed care program.</t>
  </si>
  <si>
    <t>MCOs, PIHPs, and PAHPs operating in compliance with 42 CFR 438.236(c) will be deemed compliant with the requirement in 42 CFR 438.915(a) (Subpart K, Parity in Mental Health and Substance Use Disorder Benefits) that the MCP make available the criteria for medical necessity determinations made by the MCP for mental health or substance abuse disorder benefits to any enrollee, potential enrollee, or contracting provider upon request. Compliance with the requirement in 42 CFR 438.915(a) is not determinative of compliance with any other provision of applicable federal or state law.</t>
  </si>
  <si>
    <t>Subpart F - Coverage</t>
  </si>
  <si>
    <r>
      <t>I.F.1.01</t>
    </r>
    <r>
      <rPr>
        <sz val="10"/>
        <color theme="1"/>
        <rFont val="Aptos Narrow"/>
        <family val="2"/>
      </rPr>
      <t>–</t>
    </r>
    <r>
      <rPr>
        <sz val="10"/>
        <color theme="1"/>
        <rFont val="Arial"/>
        <family val="2"/>
      </rPr>
      <t>02</t>
    </r>
  </si>
  <si>
    <t>Section 1852(d)(2) of the Act; 42 CFR 438.114(b); 42 CFR 422.113(c)</t>
  </si>
  <si>
    <t xml:space="preserve">The contract requires the MCP to cover and pay for emergency services and post-stabilization care services.
</t>
  </si>
  <si>
    <t xml:space="preserve">I.F.1.03 </t>
  </si>
  <si>
    <t xml:space="preserve">Section 1932(b)(2)(D) of the Act; SMD #06-010 </t>
  </si>
  <si>
    <t>The contract requires the MCP to pay non-contracted providers for emergency services no more than the amount that would have been paid if the service had been provided under the state’s FFS Medicaid program.</t>
  </si>
  <si>
    <t xml:space="preserve">I.F.1.04 </t>
  </si>
  <si>
    <t>Section 1932(b)(2) of the Act; 42 CFR 438.114(c)(1)(i)</t>
  </si>
  <si>
    <t xml:space="preserve">The contract requires the MCP to cover and pay for emergency services regardless of whether the provider that furnishes the services has a contract with the MCP.
</t>
  </si>
  <si>
    <t xml:space="preserve">I.F.1.05 </t>
  </si>
  <si>
    <t>Section 1932(b)(2) of the Act; 42 CFR 438.114(c)(1)(ii)(A)</t>
  </si>
  <si>
    <t>The contract prohibits the MCP from denying payment for treatment obtained when an enrollee had an emergency medical condition, including cases in which the absence of immediate medical attention would not result in placing the health of the individual (or, for a pregnant woman, the health of the woman or her unborn child) in serious jeopardy, serious impairment to bodily functions, or serious dysfunction of any bodily organ or part.</t>
  </si>
  <si>
    <t xml:space="preserve">I.F.1.06 </t>
  </si>
  <si>
    <t>42 CFR 438.114(c)(1)(ii)(B)</t>
  </si>
  <si>
    <t>The contract prohibits the MCP from denying payment for treatment obtained when a representative of the MCP instructs the enrollee to seek emergency services.</t>
  </si>
  <si>
    <t xml:space="preserve">I.F.1.07 </t>
  </si>
  <si>
    <t>42 CFR 438.114(d)(1)(i)</t>
  </si>
  <si>
    <t xml:space="preserve">The contract prohibits the MCP from limiting what constitutes an emergency medical condition on the basis of lists of diagnoses or symptoms.
</t>
  </si>
  <si>
    <t xml:space="preserve">I.F.1.08 </t>
  </si>
  <si>
    <t xml:space="preserve">42 CFR 438.114(d)(1)(ii) </t>
  </si>
  <si>
    <t>The contract prohibits the MCP from refusing to cover emergency services based on the emergency room provider, hospital, or fiscal agent not notifying the enrollee's PCP, MCP, or applicable state entity of the enrollee's screening and treatment within 10 calendar days of presentation for emergency services.</t>
  </si>
  <si>
    <t xml:space="preserve">I.F.1.09 </t>
  </si>
  <si>
    <t>42 CFR 438.114(d)(2)</t>
  </si>
  <si>
    <t>The contract provides that the MCP may not hold an enrollee who has an emergency medical condition liable for payment of subsequent screening and treatment needed to diagnose or stabilize the specific condition.</t>
  </si>
  <si>
    <t xml:space="preserve">I.F.1.10 </t>
  </si>
  <si>
    <t>42 CFR 438.114(d)(3)</t>
  </si>
  <si>
    <t xml:space="preserve">The contract provides that the MCP is responsible for coverage and payment of services until the attending emergency physician, or the provider actually treating the enrollee, determines that the enrollee is sufficiently stabilized for transfer or discharge.
</t>
  </si>
  <si>
    <t xml:space="preserve">I.F.1.11 </t>
  </si>
  <si>
    <t xml:space="preserve">The contract provides that the determination of the attending emergency physician, or the provider actually treating the enrollee, of when the enrollee is sufficiently stabilized for transfer or discharge is binding on the MCP and state for coverage and payment of emergency and poststabilization services.
</t>
  </si>
  <si>
    <t xml:space="preserve">I.F.1.12 </t>
  </si>
  <si>
    <t>42 CFR 438.114(e); 42 CFR 422.113(c)(2)(i)</t>
  </si>
  <si>
    <t>The contract requires the MCP to cover post-stabilization services obtained within or outside the MCP network that are pre-approved by a MCP plan provider or representative.</t>
  </si>
  <si>
    <t xml:space="preserve">I.F.1.13 </t>
  </si>
  <si>
    <t>42 CFR 438.114(e); 42 CFR 422.113(c)(2)(ii)</t>
  </si>
  <si>
    <t>The contract requires the MCP to cover post-stabilization services obtained within or outside the MCP's network that are not pre-approved by a MCP provider or representative, but administered to maintain the enrollee's stabilized condition within one hour of a request to the MCP for pre-approval of further post-stabilization care services.</t>
  </si>
  <si>
    <t xml:space="preserve">I.F.1.14 </t>
  </si>
  <si>
    <t>42 CFR 438.114(e); 42 CFR 422.113(c)(2)(iii)(A)</t>
  </si>
  <si>
    <t>The contract requires the MCP to cover post-stabilization care services administered to maintain, improve, or resolve the enrollee’s stabilized condition without preauthorization, and regardless of whether the enrollee obtains the services within the MCP's network when the MCP did not respond to a request for pre-approval within one hour.</t>
  </si>
  <si>
    <t xml:space="preserve">I.F.1.15 </t>
  </si>
  <si>
    <t>42 CFR 438.114(e); 42 CFR 422.113(c)(2)(iii)(B)</t>
  </si>
  <si>
    <t>The contract requires the MCP to cover post-stabilization care services administered to maintain, improve, or resolve the enrollee’s stabilized condition without preauthorization, and regardless of whether the enrollee obtains the services within the MCP's network when the MCP could not be contacted.</t>
  </si>
  <si>
    <t xml:space="preserve">I.F.1.16 </t>
  </si>
  <si>
    <t>42 CFR 438.114(e); 42 CFR 422.113(c)(2)(iii)(C)</t>
  </si>
  <si>
    <t>The contract requires the MCP to cover post-stabilization care services administered to maintain, improve, or resolve the enrollee’s stabilized condition without preauthorization, and regardless of whether the enrollee obtains the services within the MCP's network when the MCP representative and the treating physician could not reach agreement concerning the enrollee’s care and a MCP physician was not available for consultation.</t>
  </si>
  <si>
    <t xml:space="preserve">I.F.1.17 </t>
  </si>
  <si>
    <t>42 CFR 438.114(e); 42 CFR 422.113(c)(2)(iv)</t>
  </si>
  <si>
    <t>The contract requires the MCP to limit charges to enrollees for post-stabilization care services to an amount no greater than what the MCP would charge the enrollee if he or she obtained the services through the MCP.</t>
  </si>
  <si>
    <t xml:space="preserve">I.F.1.18 </t>
  </si>
  <si>
    <t>42 CFR 438.114(e); 42 CFR 422.113(c)(3)(i)</t>
  </si>
  <si>
    <t xml:space="preserve">The contract provides that the MCP’s financial responsibility for post-stabilization care services it has not pre-approved ends when a MCP physician with privileges at the treating hospital assumes responsibility for the enrollee’s care.
</t>
  </si>
  <si>
    <t xml:space="preserve">I.F.1.19 </t>
  </si>
  <si>
    <t>42 CFR 438.114(e); 42 CFR 422.113(c)(3)(ii)</t>
  </si>
  <si>
    <t xml:space="preserve">The contract provides that the MCP’s financial responsibility for post-stabilization care services it has not pre-approved ends when a MCP physician assumes responsibility for the enrollee’s care through transfer.
</t>
  </si>
  <si>
    <t xml:space="preserve">I.F.1.20 </t>
  </si>
  <si>
    <t>42 CFR 438.114(e); 42 CFR 422.113(c)(3)(iii)</t>
  </si>
  <si>
    <t xml:space="preserve">The contract provides that the MCP’s financial responsibility for post-stabilization care services it has not pre-approved ends when a MCP representative and the treating physician reach an agreement concerning the enrollee’s care.
</t>
  </si>
  <si>
    <t xml:space="preserve">I.F.1.21 </t>
  </si>
  <si>
    <t>42 CFR 438.114(e); 42 CFR 422.113(c)(3)(iv)</t>
  </si>
  <si>
    <t xml:space="preserve">The contract provides that the MCP’s financial responsibility for post-stabilization care services it has not pre-approved ends when the enrollee is discharged.
</t>
  </si>
  <si>
    <t xml:space="preserve">I.F.2 Family Planning </t>
  </si>
  <si>
    <t>I.F.2.01</t>
  </si>
  <si>
    <t>Section 1902(a)(23) of the Act; 42 CFR 431.51(b)(2)</t>
  </si>
  <si>
    <t xml:space="preserve">The contract prohibits the MCP from restricting the enrollee’s free choice of family planning services and supplies providers. </t>
  </si>
  <si>
    <t>I.F.3.01</t>
  </si>
  <si>
    <t>Consolidated Appropriations Act of 2008; 42 CFR 441.202</t>
  </si>
  <si>
    <t xml:space="preserve">The MCP’s contract stipulates that abortions in the following situations are covered Medicaid benefits:
• If the pregnancy is the result of an act of rape or incest.
• In the case where a woman suffers from a physical disorder, physical injury, or physical illness, including a life-endangering physical condition caused by or arising from the pregnancy itself, which would, as certified by a physician, place the woman in danger of death unless an abortion is performed. 
</t>
  </si>
  <si>
    <t>I.F.4.01</t>
  </si>
  <si>
    <t>42 CFR 438.206(b)(2)</t>
  </si>
  <si>
    <t xml:space="preserve">If a female enrollee’s designated PCP is not a women’s health specialist, the contract requires the MCP to provide the enrollee with direct access to a women’s health specialist within the provider network for covered routine and preventive women’s health care services. </t>
  </si>
  <si>
    <t>I.F.4.02</t>
  </si>
  <si>
    <t>42 CFR 438.206(b)(3)</t>
  </si>
  <si>
    <t xml:space="preserve">The contract requires the MCP to provide for a second opinion from a network provider, or arrange for the enrollee to obtain a second opinion outside the network, at no cost to the enrollee. </t>
  </si>
  <si>
    <r>
      <t>I.F.4.03</t>
    </r>
    <r>
      <rPr>
        <sz val="10"/>
        <color theme="1"/>
        <rFont val="Aptos Narrow"/>
        <family val="2"/>
      </rPr>
      <t>–</t>
    </r>
    <r>
      <rPr>
        <sz val="10"/>
        <color theme="1"/>
        <rFont val="Arial"/>
        <family val="2"/>
      </rPr>
      <t>04</t>
    </r>
  </si>
  <si>
    <r>
      <t>42 CFR 438.206(b)(4)</t>
    </r>
    <r>
      <rPr>
        <sz val="10"/>
        <color theme="1"/>
        <rFont val="Aptos Narrow"/>
        <family val="2"/>
      </rPr>
      <t>–</t>
    </r>
    <r>
      <rPr>
        <sz val="10"/>
        <color theme="1"/>
        <rFont val="Arial"/>
        <family val="2"/>
      </rPr>
      <t>(5)</t>
    </r>
  </si>
  <si>
    <t>The contract requires that if the MCP's provider network is unable to provide necessary medical services covered under the contract to a particular enrollee, the MCP must adequately and timely cover the services out of network, for as long as the MCP's provider network is unable to provide them, and the MCP must coordinate payment with the out-of-network providers and ensure the cost to the enrollee is no greater than it would be if the services were furnished within the network.</t>
  </si>
  <si>
    <t>I.F.4.05</t>
  </si>
  <si>
    <t>42 CFR 438.910(d)(3)</t>
  </si>
  <si>
    <t>The contract requires the MCP to use processes, strategies, evidentiary standards, or other factors in determining access to out-of-network providers for mental health or substance use disorder benefits that are comparable to, and applied no more stringently than, the processes, strategies, evidentiary standards, or other factors in determining access to out-of-network providers for medical/surgical benefits in the same classification.</t>
  </si>
  <si>
    <t>I.F.6.01</t>
  </si>
  <si>
    <t>42 CFR 438.210(a)(1)</t>
  </si>
  <si>
    <t xml:space="preserve">The contract identifies, defines, and specifies the amount, duration, and scope of each service the MCP is required to offer. </t>
  </si>
  <si>
    <t>I.F.6.02</t>
  </si>
  <si>
    <t>42 CFR 438.210(a)(2)</t>
  </si>
  <si>
    <t>The contract requires that each service the MCP is required to provide to adults be furnished in an amount, duration and scope that is no less than the amount, duration and scope for the same services provided under FFS Medicaid.</t>
  </si>
  <si>
    <t>I.F.6.03</t>
  </si>
  <si>
    <t xml:space="preserve">The contract requires that the MCP provides services for enrollees under the age of 21 in the same amount, duration and scope for the same services furnished to beneficiaries under FFS Medicaid. </t>
  </si>
  <si>
    <r>
      <t>I.F.6.04</t>
    </r>
    <r>
      <rPr>
        <sz val="10"/>
        <color theme="1"/>
        <rFont val="Aptos Narrow"/>
        <family val="2"/>
      </rPr>
      <t>–</t>
    </r>
    <r>
      <rPr>
        <sz val="10"/>
        <color theme="1"/>
        <rFont val="Arial"/>
        <family val="2"/>
      </rPr>
      <t>05</t>
    </r>
  </si>
  <si>
    <r>
      <t>42 CFR 438.210(a)(3)(i)</t>
    </r>
    <r>
      <rPr>
        <sz val="10"/>
        <color theme="1"/>
        <rFont val="Aptos Narrow"/>
        <family val="2"/>
      </rPr>
      <t>–</t>
    </r>
    <r>
      <rPr>
        <sz val="10"/>
        <color theme="1"/>
        <rFont val="Arial"/>
        <family val="2"/>
      </rPr>
      <t>(ii)</t>
    </r>
  </si>
  <si>
    <t>The contract requires the MCP to ensure that services are sufficient in amount, duration, or scope to reasonably achieve the purpose for which the services are furnished, and prohibits the MCP from arbitrarily denying or reducing the amount, duration, or scope of a required service solely because of the diagnosis, type of illness, or condition of the enrollee.</t>
  </si>
  <si>
    <r>
      <t>I.F.6.06</t>
    </r>
    <r>
      <rPr>
        <sz val="10"/>
        <color theme="1"/>
        <rFont val="Aptos Narrow"/>
        <family val="2"/>
      </rPr>
      <t>–</t>
    </r>
    <r>
      <rPr>
        <sz val="10"/>
        <color theme="1"/>
        <rFont val="Arial"/>
        <family val="2"/>
      </rPr>
      <t>07</t>
    </r>
  </si>
  <si>
    <r>
      <t>42 CFR 438.210(a)(4)(i)</t>
    </r>
    <r>
      <rPr>
        <sz val="10"/>
        <color theme="1"/>
        <rFont val="Aptos Narrow"/>
        <family val="2"/>
      </rPr>
      <t>–</t>
    </r>
    <r>
      <rPr>
        <sz val="10"/>
        <color theme="1"/>
        <rFont val="Arial"/>
        <family val="2"/>
      </rPr>
      <t>(ii)(A)</t>
    </r>
  </si>
  <si>
    <t xml:space="preserve">The contract allows the MCP to place appropriate limits on a service on the basis of criteria applied under the state plan, such as medical necessity, and for utilization control, provided the services furnished can reasonably achieve their purpose. </t>
  </si>
  <si>
    <t>I.F.6.08</t>
  </si>
  <si>
    <t>42 CFR 438.210(a)(4)(ii)(B)</t>
  </si>
  <si>
    <t>The contract allows the MCP to place appropriate limits on a service for utilization control, provided the services supporting individuals with ongoing or chronic conditions or who require long-term services and supports (LTSS) are authorized in a manner that reflects the enrollee’s ongoing need for such services and supports.</t>
  </si>
  <si>
    <t>I.F.6.09</t>
  </si>
  <si>
    <t>42 CFR 438.210(a)(4)(ii)(C)</t>
  </si>
  <si>
    <t>The contract allows the MCP to place appropriate limits on a service for utilization control, provided family planning services are provided in a manner that protects and enables the enrollee’s freedom to choose the method of family planning to be used.</t>
  </si>
  <si>
    <t>I.F.6.10</t>
  </si>
  <si>
    <t>42 CFR 438.210(a)(5)(i)</t>
  </si>
  <si>
    <t>The contract must specify what constitutes "medically necessary services" in a manner that is no more restrictive than the state Medicaid program, including Quantitative and Non-Quantitative Treatment Limits (QTL/NQTL), as indicated in state statutes and regulations, the state plan, and other state policies and procedures.</t>
  </si>
  <si>
    <t>9,10</t>
  </si>
  <si>
    <r>
      <t>I.F.6.11</t>
    </r>
    <r>
      <rPr>
        <sz val="10"/>
        <color theme="1"/>
        <rFont val="Aptos Narrow"/>
        <family val="2"/>
      </rPr>
      <t>–</t>
    </r>
    <r>
      <rPr>
        <sz val="10"/>
        <color theme="1"/>
        <rFont val="Arial"/>
        <family val="2"/>
      </rPr>
      <t>14</t>
    </r>
  </si>
  <si>
    <r>
      <t>42 CFR 438.210(a)(5)(ii)(A)</t>
    </r>
    <r>
      <rPr>
        <sz val="10"/>
        <color theme="1"/>
        <rFont val="Aptos Narrow"/>
        <family val="2"/>
      </rPr>
      <t>–</t>
    </r>
    <r>
      <rPr>
        <sz val="10"/>
        <color theme="1"/>
        <rFont val="Arial"/>
        <family val="2"/>
      </rPr>
      <t>(D)</t>
    </r>
  </si>
  <si>
    <t>The contract must specify what constitutes “medically necessary services” in a manner that addresses the extent to which the MCP is responsible for covering services that address: (1) the prevention, diagnosis, and treatment of an enrollee's disease, condition, and/or disorder that results in health impairments and/or disability; (2) the ability for an enrollee to achieve age-appropriate growth and development; (3) the ability for an enrollee to attain, maintain, or regain functional capacity; and (4) the opportunity for an enrollee receiving LTSS to have access to the benefits of community living, to achieve person-centered goals, and live and work in the setting of their choice .</t>
  </si>
  <si>
    <t>I.F.6.15</t>
  </si>
  <si>
    <t>42 CFR 438.3(e)(1)(ii)</t>
  </si>
  <si>
    <t>The contract specifies that the MCP may cover, in addition to services covered under the state plan, any services necessary for compliance with the requirements for parity in mental health and substance use disorder benefits in 42 CFR Part 438 Subpart K, and the contract identifies the types and amount, duration and scope of services consistent with the analysis of parity compliance conducted by either the state or the MCO.</t>
  </si>
  <si>
    <r>
      <t>I.F.6.16</t>
    </r>
    <r>
      <rPr>
        <sz val="10"/>
        <color theme="1"/>
        <rFont val="Aptos Narrow"/>
        <family val="2"/>
      </rPr>
      <t>–</t>
    </r>
    <r>
      <rPr>
        <sz val="10"/>
        <color theme="1"/>
        <rFont val="Arial"/>
        <family val="2"/>
      </rPr>
      <t>20</t>
    </r>
  </si>
  <si>
    <r>
      <t>42 CFR 438.3(e)(2)(i)</t>
    </r>
    <r>
      <rPr>
        <sz val="10"/>
        <color theme="1"/>
        <rFont val="Aptos Narrow"/>
        <family val="2"/>
      </rPr>
      <t>–</t>
    </r>
    <r>
      <rPr>
        <sz val="10"/>
        <color theme="1"/>
        <rFont val="Arial"/>
        <family val="2"/>
      </rPr>
      <t>(v); SMD #23-001</t>
    </r>
  </si>
  <si>
    <t>The contract specifies that each ILOS that the state has authorized to be a medically appropriate and cost-effective substitute for a covered service or setting under the state plan, and for which the plan has elected to cover at their option.</t>
  </si>
  <si>
    <t>12,13</t>
  </si>
  <si>
    <t>The contract specifies that each ILOS that the state has authorized to be a medically appropriate and cost-effective substitute for a covered service or setting under the state plan, and for which the plan has elected to cover at their option, and an ILOS is offered at the option of the enrollee and MCP is strictly prohibited from requiring enrollees to utilize an ILOS. If an enrollee chooses not to receive an ILOS, they always retain their right to receive the Medicaid-covered state plan service or setting on the same terms as would apply if an ILOS were not an option. An ILOS may not be used to reduce, discourage, or jeopardize Medicaid enrollees’ access to Medicaid-covered state plan services or settings. MCPs are not permitted to deny an enrollee a medically appropriate Medicaid-covered state plan service or setting on the basis that an enrollee has been offered an ILOS, is currently receiving an ILOS, or has received an ILOS in the past.</t>
  </si>
  <si>
    <t>I.F.6.21</t>
  </si>
  <si>
    <t>42 CFR 438.16(d)(1); 42 CFR 438.3(e)(2)(v); SMD #23-001</t>
  </si>
  <si>
    <t>All states that include an ILOS in an MCO, PIHP, or PAHP contract are required to include, at a minimum, the following: (1) the name and definition of each ILOS; (2) the covered service or setting under the state plan for which each ILOS is a medically appropriate and cost effective substitute; (3) the clinically defined target populations for which each ILOS is determined to be medically appropriate and cost effective substitute by the state; (4) the process by which a licensed network or MCO, PIHP, or PAHP staff provider, determines and documents in the enrollee's records that each identified ILOS is medically appropriate for the specific enrollee; (5) the enrollee rights and protections, as defined in 42 CFR 438.3(e)(2)(ii); and (6) a requirement that the MCO, PIHP, or PAHP will utilize specific codes established by the state that identify each ILOS in encounter data, as required under 42 CFR 438.242.</t>
  </si>
  <si>
    <t>I.F.7.01</t>
  </si>
  <si>
    <t>42 CFR 438.3(g); 42 CFR 434.6(a)(12)(i); 42 CFR 447.26(b)</t>
  </si>
  <si>
    <t xml:space="preserve">The contract prohibits the MCP from making payment to a provider for provider-preventable conditions that meet the following criteria:
(1) Is identified in the state plan;
(2) Has been found by the state, based upon a review of medical literature by qualified professionals, to be reasonably preventable through the application of procedures supported by evidence-based guidelines;
(3) Has a negative consequence for the beneficiary;
(4) Is auditable;
(5) Includes, at a minimum, wrong surgical or other invasive procedure performed on a patient; surgical or other invasive procedure performed on the wrong body part; surgical or other invasive procedure performed on the wrong patient. 
</t>
  </si>
  <si>
    <t>I.F.7.02</t>
  </si>
  <si>
    <t>42 CFR 438.3(g); 42 CFR 434.6(a)(12)(ii); 42 CFR 447.26(d)</t>
  </si>
  <si>
    <t>The contract specifies that the MCP must require all providers to report provider-preventable conditions associated with claims for payment or enrollee treatments for which payment would otherwise be made.</t>
  </si>
  <si>
    <t>I.F.7.03</t>
  </si>
  <si>
    <t>42 CFR 438.3(g)</t>
  </si>
  <si>
    <t>The contract requires the MCP to report all identified provider-preventable conditions in a form or frequency as specified by the state.</t>
  </si>
  <si>
    <t>I.F.8.01</t>
  </si>
  <si>
    <t>Sections 1916(a)(2)(D) and 1916(b)(2)(D) of the Act; 42 CFR 438.108; 42 CFR 447.50–57; SMD #10-001</t>
  </si>
  <si>
    <t xml:space="preserve">The contract requires that any cost sharing imposed on Medicaid enrollees is in accordance with Medicaid FFS requirements at 42 CFR 447.50 through 42 CFR 447.57. </t>
  </si>
  <si>
    <t>I.F.8.02</t>
  </si>
  <si>
    <t>ARRA Section 5006(a); 42 CFR 447.52(h); 42 CFR 447.56(a)(1)(x); 42 CFR 447.51(a)(2); SMD #10-001</t>
  </si>
  <si>
    <t>The contract requires the MCP to exempt from premiums any Indian who is eligible to receive or has received an item or service furnished by an IHCP or through referral under contract health services.</t>
  </si>
  <si>
    <t>I.F.8.03</t>
  </si>
  <si>
    <t>The contract requires the MCP to exempt from all cost sharing any Indian who is currently receiving or has ever received an item or service furnished by an IHCP or through referral under contract health services.</t>
  </si>
  <si>
    <t>I.F.9.01</t>
  </si>
  <si>
    <t>Section 1903(i) of the Act</t>
  </si>
  <si>
    <t>The contract prohibits the MCP from paying for organ transplants unless the state plan provides, and the MCP follows, written standards that provide for similarly situated individuals to be treated alike and for any restriction on facilities or practitioners to be consistent with the accessibility of high quality care to enrollees.</t>
  </si>
  <si>
    <t>I.F.9.02</t>
  </si>
  <si>
    <t>Section 1903(i) of the Act, final sentence; Section 1903(i)(2)(A) of the Act</t>
  </si>
  <si>
    <t xml:space="preserve">The contract prohibits the MCP from paying for an item or service (other than an emergency item or service, not including items or services furnished in an emergency room of a hospital) furnished under the plan by any individual or entity during any period when the individual or entity is excluded from participation under title V, XVIII, or XX or under this title pursuant to Sections 1128, 1128A, 1156, or 1842(j)(2) of the Act. </t>
  </si>
  <si>
    <t>I.F.9.03</t>
  </si>
  <si>
    <t>Section 1903(i) of the Act, final sentence; Section 1903(i)(2)(B) of the Act</t>
  </si>
  <si>
    <t>The contract prohibits the MCP from paying for an item or service (other than an emergency item or service, not including items or services furnished in an emergency room of a hospital) furnished at the medical direction or on the prescription of a physician, during the period when such physician is excluded from participation under title V, XVIII, or XX or under this title pursuant to Sections 1128, 1128A, 1156, or 1842(j)(2) of the Act and when the person furnishing such item or service knew, or had reason to know, of the exclusion (after a reasonable time period after reasonable notice has been furnished to the person).</t>
  </si>
  <si>
    <t>I.F.9.04</t>
  </si>
  <si>
    <t>Section 1903(i) of the Act, final sentence; Section 1903(i)(2)(C) of the Act</t>
  </si>
  <si>
    <t>The contract prohibits the MCP from paying for an item or service (other than an emergency item or service, not including items or services furnished in an emergency room of a hospital) furnished by an individual or entity to whom the state has failed to suspend payments during any period when there is a pending investigation of a credible allegation of fraud against the individual or entity, unless the state determines there is good cause not to suspend such payments.</t>
  </si>
  <si>
    <t>I.F.9.05</t>
  </si>
  <si>
    <t>Section 1903(i) of the Act, final sentence; Section 1903(i)(16) of the Act</t>
  </si>
  <si>
    <t>The contract prohibits the MCP from paying for an item or service (other than an emergency item or service, not including items or services furnished in an emergency room of a hospital) with respect to any amount expended for which funds may not be used under the Assisted Suicide Funding Restriction Act (ASFRA) of 1997.</t>
  </si>
  <si>
    <t>I.F.9.06</t>
  </si>
  <si>
    <t>Section 1903(i) of the Act, final sentence; Section 1903(i)(17) of the Act</t>
  </si>
  <si>
    <t>The contract prohibits the MCP from paying for an item or service (other than an emergency item or service, not including items or services furnished in an emergency room of a hospital) with respect to any amount expended for roads, bridges, stadiums, or any other item or service not covered under the state plan.</t>
  </si>
  <si>
    <t>I.F.10.01</t>
  </si>
  <si>
    <t>Section 1903(m)(2)(A)(ix) of the Act</t>
  </si>
  <si>
    <t xml:space="preserve">The contract provides that if a MCP enters into a contract for the provision of services with an FQHC or RHC, the MCP shall provide payment that is not less than the level and amount of payment which the MCP would make for the services if the services were furnished by a provider which is not a FQHC or RHC. </t>
  </si>
  <si>
    <t xml:space="preserve">I.F.11.01 </t>
  </si>
  <si>
    <t>42 CFR 438.3(s)(1)</t>
  </si>
  <si>
    <t xml:space="preserve">If outpatient drugs are included in the contract, the contract requires the MCP to provide coverage of outpatient drugs as defined in Section 1927(k)(2) of the Act, in alignment with standards for such coverage imposed by Section 1927 of the Act. </t>
  </si>
  <si>
    <r>
      <t>I.F.11.02</t>
    </r>
    <r>
      <rPr>
        <sz val="10"/>
        <color theme="1"/>
        <rFont val="Aptos Narrow"/>
        <family val="2"/>
      </rPr>
      <t>–</t>
    </r>
    <r>
      <rPr>
        <sz val="10"/>
        <color theme="1"/>
        <rFont val="Arial"/>
        <family val="2"/>
      </rPr>
      <t xml:space="preserve">03 </t>
    </r>
  </si>
  <si>
    <t>Section 1927(b)(1)(A) of the Act; 42 CFR 438.3(s)(2)</t>
  </si>
  <si>
    <t>If outpatient drugs are included in the contract, the contract requires the MCP to report drug utilization data that is necessary for the state to bill manufacturers for rebates no later than 45 calendar days after the end of each quarterly rebate period, and drug utilization information that includes, at a minimum, information on the total number of units of each dosage form, strength, and package size by National Drug Code (NDC) of each covered outpatient drug dispensed or covered by the MCP.</t>
  </si>
  <si>
    <t xml:space="preserve">I.F.11.04 </t>
  </si>
  <si>
    <t>42 CFR 438.3(s)(3)</t>
  </si>
  <si>
    <t>If outpatient drugs are included in the contract, the contract requires the MCP to establish procedures to exclude utilization data for covered outpatient drugs that are subject to discounts under the 340B drug pricing program from drug utilization data reports when states do not require submission of managed care drug claims data from covered entities directly.</t>
  </si>
  <si>
    <t>I.F.11.05</t>
  </si>
  <si>
    <t>Section 1902(a)(85) of the Act; Section 1004 of the Substance Use-Disorder Prevention that Promotes Opioid Recovery and Treatment for Patients and Communities Act (SUPPORT Act); 42 CFR 438.3(s)(4); 08/05/2019 CIB</t>
  </si>
  <si>
    <t>If outpatient drugs are included in the contract, the contract requires the MCP to operate a drug utilization review program that includes prospective drug review, retrospective drug use review, an educational program as required by 42 CFR Part 456 Subpart K, and has an established process that identifies potential fraud or abuse of controlled substances by enrolled individuals, health care providers and pharmacies.</t>
  </si>
  <si>
    <r>
      <t>I.F.11.06</t>
    </r>
    <r>
      <rPr>
        <sz val="10"/>
        <color theme="1"/>
        <rFont val="Aptos Narrow"/>
        <family val="2"/>
      </rPr>
      <t>–</t>
    </r>
    <r>
      <rPr>
        <sz val="10"/>
        <color theme="1"/>
        <rFont val="Arial"/>
        <family val="2"/>
      </rPr>
      <t>07</t>
    </r>
  </si>
  <si>
    <r>
      <t>Section 1927(d)(5) of the Act; 42 CFR 438.3(s)(5)</t>
    </r>
    <r>
      <rPr>
        <sz val="10"/>
        <color theme="1"/>
        <rFont val="Aptos Narrow"/>
        <family val="2"/>
      </rPr>
      <t>–</t>
    </r>
    <r>
      <rPr>
        <sz val="10"/>
        <color theme="1"/>
        <rFont val="Arial"/>
        <family val="2"/>
      </rPr>
      <t>(6)</t>
    </r>
  </si>
  <si>
    <t>If outpatient drugs are included in the contract, the contract requires the MCP to provide a detailed description of its drug utilization review program activities to the state on an annual basis, and to conduct a prior authorization program that complies with the requirements of Section 1927(d)(5) of the Act.</t>
  </si>
  <si>
    <r>
      <t>I.F.11.08</t>
    </r>
    <r>
      <rPr>
        <sz val="10"/>
        <color theme="1"/>
        <rFont val="Aptos Narrow"/>
        <family val="2"/>
      </rPr>
      <t>–</t>
    </r>
    <r>
      <rPr>
        <sz val="10"/>
        <color theme="1"/>
        <rFont val="Arial"/>
        <family val="2"/>
      </rPr>
      <t>11</t>
    </r>
  </si>
  <si>
    <t>Section 1902(a)(85) of the Act; Section 1004 of the SUPPORT Act; 08/05/2019 CIB</t>
  </si>
  <si>
    <t>If covered outpatient drugs are included in the contract, the contract requires the MCP to implement: (1) prospective safety edits on subsequent fills of opioid prescriptions, as specified by the state, which may include edits to address days’ supply, early refills, duplicate fills and quantity limitations for clinical appropriateness; (2) prospective safety edits on maximum daily morphine milligram equivalents (MME) on opioid prescriptions to limit the daily MME; (3) retrospective reviews on opioid prescriptions exceeding above limitations on an ongoing basis; and (4) retrospective reviews on concurrent utilization of opioids and benzodiazepines as well as opioids and antipsychotics on an ongoing basis.</t>
  </si>
  <si>
    <t>16,17</t>
  </si>
  <si>
    <t>I.F.11.12</t>
  </si>
  <si>
    <t>If covered outpatient drugs are included in the contract and children are enrolled in the contract, the contract requires review of antipsychotic agents for appropriateness for all children 18 and under including foster children based on approved indications and clinical guidelines.</t>
  </si>
  <si>
    <t>16,17, 18</t>
  </si>
  <si>
    <t>I.F.11.13</t>
  </si>
  <si>
    <t>If outpatient drugs are included in the contract, the contract requires the drug utilization review program to have an established process that identifies potential fraud or abuse of controlled substances by enrolled individuals, health care providers, and pharmacies.</t>
  </si>
  <si>
    <t>I.F.12.01</t>
  </si>
  <si>
    <t>42 CFR 438.905(b)</t>
  </si>
  <si>
    <t>The contract specifies that if the MCP does not include an aggregate lifetime or annual dollar limit on any medical/surgical benefits or includes an aggregate lifetime or annual dollar limit that applies to less than one-third of all medical/surgical benefits provided to enrollees through a contract with the state, it may not impose an aggregate lifetime or annual dollar limit, respectively, on mental health or substance use disorder benefits.</t>
  </si>
  <si>
    <t>19,20, 21,22</t>
  </si>
  <si>
    <t>I.F.12.02</t>
  </si>
  <si>
    <t>42 CFR 438.905(c)</t>
  </si>
  <si>
    <t>The contract specifies that if the MCP includes an aggregate lifetime or annual dollar limit on at least two-thirds of all medical/surgical benefits provided to enrollees through a contract with the state, it must either apply the aggregate lifetime or annual dollar limit both to the medical/surgical benefits to which the limit would otherwise apply and to mental health or substance use disorder benefits in a manner that does not distinguish between the medical/surgical benefits and mental health or substance use disorder benefits; or not include an aggregate lifetime or annual dollar limit on mental health or substance use disorder benefits that is more restrictive than the aggregate lifetime or annual dollar limit, respectively, on medical/surgical benefits.</t>
  </si>
  <si>
    <t>I.F.12.03</t>
  </si>
  <si>
    <t>42 CFR 438.905(e)</t>
  </si>
  <si>
    <t>The contract specifies that if the MCP includes an aggregate lifetime limit or annual dollar amount that applies to one-third or more but less than two-thirds of all medical/surgical benefits provided to enrollees through a contract with the state, it must either impose no aggregate lifetime or annual dollar limit on mental health or substance use disorder benefits; or impose an aggregate lifetime or annual dollar limit on mental health or substance use disorder benefits that is no more restrictive than an average limit calculated for medical/surgical benefits in accordance with 42 CFR 438.905(e)(ii).</t>
  </si>
  <si>
    <t>I.F.12.04</t>
  </si>
  <si>
    <t>42 CFR 438.910(b)(1)</t>
  </si>
  <si>
    <t>The contract specifies that the MCP must not apply any financial requirement or treatment limitation to mental health or substance use disorder benefits in any classification that is more restrictive than the predominant financial requirement or treatment limitation of that type applied to substantially all medical/surgical benefits in the same classification furnished to enrollees (whether or not the benefits are furnished by the same MCP).</t>
  </si>
  <si>
    <t>19,22</t>
  </si>
  <si>
    <t>I.F.12.05</t>
  </si>
  <si>
    <t>42 CFR 438.910(b)(2)</t>
  </si>
  <si>
    <t>The contract specifies that if an MCO enrollee is provided mental health or substance use disorder benefits in any classification of benefits (inpatient, outpatient, emergency care, or prescription drugs), mental health or substance use disorder benefits must be provided to the MCO enrollee in every classification in which medical/surgical benefits are provided.</t>
  </si>
  <si>
    <t>I.F.12.06</t>
  </si>
  <si>
    <t>42 CFR 438.910(c)(3)</t>
  </si>
  <si>
    <t>The contract specifies that the MCP may not apply any cumulative financial requirements for mental health or substance use disorder benefits in a classification (inpatient, outpatient, emergency care, prescription drugs) that accumulates separately from any established for medical/surgical benefits in the same classification.</t>
  </si>
  <si>
    <t>I.F.12.07</t>
  </si>
  <si>
    <t>42 CFR 438.910(d)</t>
  </si>
  <si>
    <t>The contract specifies that the MCP may not impose NQTLs for mental health or substance use disorder benefits in any classification unless, under the policies and procedures of the MCP as written and in operation, any processes, strategies, evidentiary standards, or other factors used in applying the NQTL to mental health or substance use disorder benefits in the classification are comparable to, and are applied no more stringently than, the processes, strategies, evidentiary standards, or other factors used in applying the limitation for medical/surgical benefits in the classification.</t>
  </si>
  <si>
    <t>9,19</t>
  </si>
  <si>
    <t>I.F.12.08</t>
  </si>
  <si>
    <t>61 Fed. Reg. 18413, 18414, and 18417 (March 30, 2016)</t>
  </si>
  <si>
    <t xml:space="preserve">The contract specifies the necessary documentation and reporting required from the MCP to the state to establish and demonstrate compliance with 42 CFR Part 438 Subpart K regarding parity in mental health and substance use disorder benefits. </t>
  </si>
  <si>
    <t>I.F.13.01</t>
  </si>
  <si>
    <t>42 CFR 438.110(a)</t>
  </si>
  <si>
    <t xml:space="preserve">If LTSS are covered under a risk contract between the state and the MCP, the contract must provide that the MCP establish and maintain a member advisory committee. </t>
  </si>
  <si>
    <t>I.F.13.02</t>
  </si>
  <si>
    <t>42 CFR 438.110(b)</t>
  </si>
  <si>
    <t>If LTSS are covered under a risk contract between the state and the MCP, the contract requires that the member advisory committee include at least a reasonably representative sample of the LTSS populations, or other individuals representing those enrollees, covered under the contract with the MCP.</t>
  </si>
  <si>
    <t>I.F.13.03</t>
  </si>
  <si>
    <t>Sections 1915(c), 1915(i), and 1915(k) of the Act; 42 CFR 438.3(o); 42 CFR 441.301(c)(4)</t>
  </si>
  <si>
    <t>If the MCP is required to provide LTSS in a community-based setting that could be authorized through a Section 1915(c) waiver, 1915(i) SPA, or 1915(k) SPA, the contract specifies that LTSS must be provided in a setting which complies with the 42 CFR 441.301(c)(4) requirements for home and community-based settings.</t>
  </si>
  <si>
    <t>23,24, 25,26</t>
  </si>
  <si>
    <t>I.F.14.01</t>
  </si>
  <si>
    <r>
      <t>42 CFR 438.3(j)(1)</t>
    </r>
    <r>
      <rPr>
        <sz val="10"/>
        <color theme="1"/>
        <rFont val="Aptos Narrow"/>
        <family val="2"/>
      </rPr>
      <t>–</t>
    </r>
    <r>
      <rPr>
        <sz val="10"/>
        <color theme="1"/>
        <rFont val="Arial"/>
        <family val="2"/>
      </rPr>
      <t>(2); 42 CFR 422.128(a); 42 CFR 422.128(b); 42 CFR 489.102(a)</t>
    </r>
  </si>
  <si>
    <t>The contract requires that each MCP maintain written policies and procedures on advance directives for all adults receiving medical care by or through the MCP.</t>
  </si>
  <si>
    <t>I.F.14.02</t>
  </si>
  <si>
    <r>
      <t>42 CFR 438.3(j)(1)</t>
    </r>
    <r>
      <rPr>
        <sz val="10"/>
        <color theme="1"/>
        <rFont val="Aptos Narrow"/>
        <family val="2"/>
      </rPr>
      <t>–</t>
    </r>
    <r>
      <rPr>
        <sz val="10"/>
        <color theme="1"/>
        <rFont val="Arial"/>
        <family val="2"/>
      </rPr>
      <t>(2); 42 CFR 422.128(b)(1)(ii)(F); 42 CFR 489.102(a)(3)</t>
    </r>
  </si>
  <si>
    <t xml:space="preserve">The contract prohibits the MCP from conditioning the provision of care or otherwise discriminating against an individual based on whether or not the individual has executed an advance directive. </t>
  </si>
  <si>
    <t>I.F.14.03</t>
  </si>
  <si>
    <r>
      <t>42 CFR 438.3(j)(1)</t>
    </r>
    <r>
      <rPr>
        <sz val="10"/>
        <color theme="1"/>
        <rFont val="Aptos Narrow"/>
        <family val="2"/>
      </rPr>
      <t>–</t>
    </r>
    <r>
      <rPr>
        <sz val="10"/>
        <color theme="1"/>
        <rFont val="Arial"/>
        <family val="2"/>
      </rPr>
      <t>(2); 42 CFR 422.128(b)(1)(ii)(H); 42 CFR 489.102(a)(5)</t>
    </r>
  </si>
  <si>
    <t>The contract requires the MCP to educate staff concerning their policies and procedures on advance directives.</t>
  </si>
  <si>
    <t>I.F.15.01</t>
  </si>
  <si>
    <t>Section 1932(b)(3)(B)(i) of the Act; 42 CFR 438.102(a)(2)</t>
  </si>
  <si>
    <t>The contract specifies that an MCP that would otherwise be required to provide, reimburse for, or provide coverage of a counseling or referral service is not required to do so if the MCP objects to the service on moral or religious grounds.</t>
  </si>
  <si>
    <t xml:space="preserve">I.F.16.01 </t>
  </si>
  <si>
    <t>42 CFR 438.100(a)(1); 42 CFR 438.100(b)(2)(i)</t>
  </si>
  <si>
    <t xml:space="preserve">The contract requires the MCP to have written policies guaranteeing each enrollee’s right to receive information on the managed care program and MCP into which he or she is enrolled. </t>
  </si>
  <si>
    <t>I.F.16.02</t>
  </si>
  <si>
    <t>42 CFR 438.100(a)(1); 42 CFR 438.100(b)(2)(ii)</t>
  </si>
  <si>
    <t xml:space="preserve">The contract requires the MCP to have written policies guaranteeing each enrollee’s right to be treated with respect and with due consideration for his or her dignity and privacy. </t>
  </si>
  <si>
    <t>I.F.16.03</t>
  </si>
  <si>
    <t>42 CFR 438.100(a)(1); 42 CFR 438.100(b)(2)(iii)</t>
  </si>
  <si>
    <t>The contract requires the MCP to have written policies guaranteeing each enrollee’s right to receive information on available treatment options and alternatives, presented in a manner appropriate to the enrollee’s condition and ability to understand.</t>
  </si>
  <si>
    <t>I.F.16.04</t>
  </si>
  <si>
    <t>42 CFR 438.100(a)(1); 42 CFR 438.100(b)(2)(iv)</t>
  </si>
  <si>
    <t xml:space="preserve">The contract requires the MCP to have written policies guaranteeing each enrollee’s right to participate in decisions regarding his or her health care, including the right to refuse treatment. </t>
  </si>
  <si>
    <t>I.F.16.05</t>
  </si>
  <si>
    <t>42 CFR 438.100(a)(1); 42 CFR 438.100(b)(2)(v)</t>
  </si>
  <si>
    <t>The contract requires the MCP to have written policies guaranteeing each enrollee’s right to be free from any form of restraint or seclusion used as a means of coercion, discipline, convenience, or retaliation.</t>
  </si>
  <si>
    <t>I.F.16.06</t>
  </si>
  <si>
    <t>42 CFR 438.100(a)(1); 42 CFR 438.100(b)(2)(vi)</t>
  </si>
  <si>
    <t>The contract requires the MCP to have written policies guaranteeing each enrollee's right to request and receive a copy of his or her medical records, and to request that they be amended or corrected.</t>
  </si>
  <si>
    <t>I.F.16.07</t>
  </si>
  <si>
    <t>42 CFR 438.100(a)(1); 42 CFR 438.100(c)</t>
  </si>
  <si>
    <t xml:space="preserve">The contract requires that each enrollee is free to exercise his or her rights without the MCP or its network providers treating the enrollee adversely. </t>
  </si>
  <si>
    <t>In accordance with 42 CFR 438.114, this provision applies to the extent that services required to treat an emergency medical condition, such as dental and behavioral health services, fall within the scope of the services for which the PIHP or PAHP is responsible.</t>
  </si>
  <si>
    <t>Pursuant to SMD #06-010, for services provided by non-contracted hospitals, this amount must be less any payments for indirect costs of medical education and direct costs of graduate medical education that would have been included in FFS payments. In states where Medicaid rates paid to hospitals are negotiated and not publicly released, the applicable payment amount would be the average contract rate that would apply for tertiary hospitals.</t>
  </si>
  <si>
    <t xml:space="preserve">Starting with Item I.F.1.07 through the remainder of subsection 1, requirement numbering has changed since the initial State Guide was released. </t>
  </si>
  <si>
    <t>Under Section 1902(a)(23) of the Act and 42 CFR 431.51(b)(2), this provision applies to the extent that family planning services fall within the scope of the services for which the PIHP or PAHP is responsible.</t>
  </si>
  <si>
    <t>Pursuant to 42 CFR 438.206(b)(2), this requirement applies in addition to the enrollee’s designated source of primary care if that source is not the women’s health specialist.</t>
  </si>
  <si>
    <t>This requirement at 42 CFR 438.910(d)(3) applies to any MCO, PIHP, or PAHP providing access to out-of-network providers for medical/surgical benefits, in states covering medical/surgical and mental health or substance use disorder services under the state plan.</t>
  </si>
  <si>
    <t>This requirement at 42 CFR 438.910(d)(3) applies to MCOs or a PIHP or PAHP providing services to an MCO enrollee, in states covering medical/surgical and mental health or substance use disorder services under the state plan.</t>
  </si>
  <si>
    <t>States have the option to provide Alternative Benefit Plans (ABPs) specifically tailored to meet the needs of certain Medicaid population groups. For those populations, this requirement under 42 CFR 438.210(a)(2) is met if the contract requires the MCP to furnish services in an amount, duration and scope that is no less than the amount, duration and scope described in the approved ABP state plan.</t>
  </si>
  <si>
    <t>Per 42 CFR 438.910(d) NQTLs include, but are not limited to:
• Medical management standards limiting or excluding benefits based on medical necessity or medical appropriateness, or based on whether the treatment is experimental or investigative;
• Formulary design for prescription drugs;
• For MCOs, PIHPs, or PAHPs with multiple network tiers (such as preferred providers and participating providers), network tier design;
• Standards for provider admission to participate in a network, including reimbursement rates;
• MCO, PIHP, or PAHP methods for determining usual, customary, and reasonable charges;
• Refusal to pay for higher-cost therapies until it can be shown that a lower-cost therapy is not effective (also known as fail-first policies or step therapy protocols);
• Exclusions based on failure to complete a course of treatment;
• Restrictions based on geographic location, facility type, provider specialty, and other criteria that limit the scope or duration of benefits for services provided under the MCO, PIHP, or PAHP; and
• Standards for providing access to out-of-network providers.</t>
  </si>
  <si>
    <t xml:space="preserve">Pursuant to 42 CFR 438.210(a)(5), the contract should be clear as to whether the MCP is responsible for providing the full range of EPSDT services, including necessary health care, diagnostic services, treatment and other measures described in Section 1905(a) of the Act to correct or ameliorate defects and physical and mental illnesses and conditions discovered during screening, whether or not such services are covered under the state plan. </t>
  </si>
  <si>
    <t>If the contract specifies services are necessary beyond what is included in the state plan to ensure compliance with 42 CFR Part 438 Subpart K, the analyst must verify that those services are reflected in the capitation rates.</t>
  </si>
  <si>
    <t>The state must confirm that the ILOS is a coverable service in the state plan or section 1915(c) waiver. An example for the clinically oriented definition for the target population(s) could include specific Healthcare Common Procedure Coding System (HCPCS) or Current Procedure Terminology (CPT) costs that identify each ILOS.</t>
  </si>
  <si>
    <r>
      <t xml:space="preserve">Analysts may use the following resources as reference for approvable services and definitions </t>
    </r>
    <r>
      <rPr>
        <sz val="10"/>
        <color theme="1"/>
        <rFont val="Aptos Narrow"/>
        <family val="2"/>
      </rPr>
      <t>–</t>
    </r>
    <r>
      <rPr>
        <sz val="10"/>
        <color theme="1"/>
        <rFont val="Arial"/>
        <family val="2"/>
      </rPr>
      <t xml:space="preserve">
For 1905(a): Mandatory and Optional State Plan Services; Approved State Plan (Section 3) - Access via Laserfiche link from DMCO’s SharePoint site 
For 1915(c), (i), and (k): HCBS Taxonomy Category and Subcategory Definitions
For HRSNs approvable under ILOS: November 16, 2023 CIB - Coverage of Services and Supports to Address Health-Related Social Needs in Medicaid and the Children’s Health Insurance Program</t>
    </r>
  </si>
  <si>
    <t>Mandatory and Optional State Plan Services</t>
  </si>
  <si>
    <t>HCBS Taxonomy Category and Subcategory Definitions</t>
  </si>
  <si>
    <t>November 16, 2023 CIB: Coverage of Services and Supports to Address Health-Related Social Needs in Medicaid and the Children’s Health Insurance Program</t>
  </si>
  <si>
    <t>Certain services/settings are not approvable as an ILOS, such as yoga and childcare services. These should be flagged for the state as not approvable as soon as they are identified in contracts. For nutrition-related services, the definition of the service must not violate room and board provisions (i.e., not more than 2 meals per day). For examples of HRSNs approvable as ILOSs, reference the HRSN Coverage Table in the November 16, 2023 CIB “Coverage of Services and Supports to Address Health-Related Social Needs in Medicaid and the Children’s Health Insurance Program"</t>
  </si>
  <si>
    <t>Pursuant to 42 CFR 447.26(c), no reduction in payment for a provider preventable condition is imposed when the condition defined as a provider preventable condition for a particular patient existed prior to the initiation of treatment for that patient by that provider. Reductions in provider payment may be limited to the extent that the identified provider-preventable conditions would otherwise result in an increase in payment; and the MCP can reasonably isolate for nonpayment the portion of the payment directly related to treatment for, and related to, the provider-preventable conditions.</t>
  </si>
  <si>
    <t>This prohibition under Section 1903(i) of the Act (final sentence) and Section 1903(i)(1) of the Act is only applicable when the contract requires the MCP to cover organ transplants.</t>
  </si>
  <si>
    <t xml:space="preserve">For states where pharmacy benefits are carved out of MCO or PCCM entity benefits, if the MCO or PCCM entity still handles physician administered drugs or hospital dispensed drugs (i.e., partial benefits for covered outpatient drugs), the contract must include this provision. </t>
  </si>
  <si>
    <t>Until the CMS Drug Utilization Review (DUR) final rule is published, this provision may be addressed either through a MCO or PCCM entity program or a state-wide program that accomplishes these reviews for all MCO or PCCM entity beneficiaries. If accomplished through a state-wide program, mark this item as “N/A” and include a comment to explain that the requirement is met through a state-wide program.</t>
  </si>
  <si>
    <t>CMS is using enforcement discretion to work with states on the inclusion of SUPPORT Act DUR requirements; approval of contract actions will not be withheld when a contract action effective on or after 10/01/19 does not meet the SUPPORT Act DUR requirements; however, CMS will notify the state that the SUPPORT Act DUR requirements should be incorporated into the MCO or PCCM entity contract via an upcoming contract action.</t>
  </si>
  <si>
    <t>Applies to MCOs or a PIHP or PAHP providing services to an MCO enrollee in states covering medical/surgical and mental health or substance use disorder services under the state plan.</t>
  </si>
  <si>
    <t>The contract would also meet this requirement if, instead of including the regulatory text, the contract specifies that the MCP must comply with parity requirements for aggregate lifetime and annual dollar limits in 42 CFR 438.905 or specifies that the MCP cannot impose an aggregate lifetime or annual dollar limit on mental health or substance use disorder benefits.</t>
  </si>
  <si>
    <t>42 CFR Part 438 Subpart K neither sanctions nor prohibits aggregate lifetime and annual dollar limits; the rule merely provides the standards for applying parity requirements to such limits if the limits are otherwise authorized.</t>
  </si>
  <si>
    <t>Applies where the full scope of medical/surgical and mental health and substance use disorder services are provided through the MCO.</t>
  </si>
  <si>
    <t>If the MCP is not required to provide services that could be authorized through Sections 1915(c), 1915(i), or 1915(k) of the Act, mark the status column as “N/A” and include a comment that the MCP is not required to provide LTSS.</t>
  </si>
  <si>
    <t xml:space="preserve">If the MCP is required to provide services that could be authorized through Sections 1915(c), 1915(i), or 1915(k) of the Act, but the 42 CFR 441.301(c)(4) settings requirements do not apply to the contract period under review, mark the “status” column as “N/A” and include a comment that the settings requirements do not apply to the contract period under review. See Tip 21 for information on the applicability of the settings requirements. It may be necessary to coordinate with the DMCO HCBS analyst to confirm whether or not the settings requirements apply to the contract period under review. </t>
  </si>
  <si>
    <t>If the MCP is required to provide services that could be authorized through Sections 1915(c), 1915(i), or 1915(k) of the Act, but the 42 CFR 441.301(c)(4) settings requirements do apply to the MCP contract period under review, the contract must specify that the LTSS are provided in a setting which complies with the 42 CFR 441.301(c)(4) requirements for home and community-based settings. See Tip 21 for information on the applicability of the settings requirements. It may be necessary to coordinate with the DMCO HCBS analyst to confirm whether or not the settings requirements apply to the contract period under review.</t>
  </si>
  <si>
    <t>If the MCP contract provides for the delivery of services that could be authorized through Sections 1915(c), 1915(i), or 1915(k) of the Act and were initially approved by CMS, under any federal authority on or after 3/17/14, the MCP contract must comply with the settings requirements. If the MCP contract provides for the delivery of services that could be authorized through Sections 1915(c), 1915(i), or 1915(k) of the Act and were initially approved by CMS, under any federal authority, prior to 3/17/14, the MCP contract must comply with settings requirements based on the timeframe described in the state’s settings transition plan approved by CMS. 
The status of CMS review of state transition plans is available at:</t>
  </si>
  <si>
    <t xml:space="preserve">https://www.medicaid.gov/medicaid-chip-program-information/by-topics/long-term-services-and-supports/home-and-community-based-services/statewide-transition-plans.html. </t>
  </si>
  <si>
    <t>The HCBS settings requirements apply to services that are authorized through a 1915(c) waiver, a 1915(i) SPA, or a 1915(k) SPA. The settings requirements also apply to services authorized under any federal authority that “could be” authorized through a 1915(c) waiver, a 1915(i) SPA, or a 1915(k) SPA. For instance, a service authorized under an 1115 waiver or 1915(b)(3) authority must meet the settings requirements when the service is of a nature that “could be” authorized under 1915(c), 1915(i), or 1915(k).</t>
  </si>
  <si>
    <t>This requirement only applies to PAHP contracts if the PAHP's provider network includes the provider types outlined at 42 CFR 489.102(a), including: home health agencies, providers of home health care (and for Medicaid purposes, providers of personal care services), hospices, and religious nonmedical institutions.</t>
  </si>
  <si>
    <r>
      <t>According to 42 CFR 438.100(a)(1), the state must ensure that each MCO, PIHP, PAHP, PCCM, and PCCM entity has written policies regarding the enrollee rights specified in 42 CFR 438.100. According to 438.100(b)(2)(vi), the state must ensure that each enrollee of an MCO, PIHP, PAHP, PCCM or PCCM entity has the right to</t>
    </r>
    <r>
      <rPr>
        <sz val="10"/>
        <color theme="1"/>
        <rFont val="Aptos Narrow"/>
        <family val="2"/>
      </rPr>
      <t>—</t>
    </r>
    <r>
      <rPr>
        <sz val="10"/>
        <color theme="1"/>
        <rFont val="Arial"/>
        <family val="2"/>
      </rPr>
      <t>if the privacy rule, as set forth in 45 CFR Parts 160 and 164, Subparts A and E, applies</t>
    </r>
    <r>
      <rPr>
        <sz val="10"/>
        <color theme="1"/>
        <rFont val="Aptos Narrow"/>
        <family val="2"/>
      </rPr>
      <t>—</t>
    </r>
    <r>
      <rPr>
        <sz val="10"/>
        <color theme="1"/>
        <rFont val="Arial"/>
        <family val="2"/>
      </rPr>
      <t>request and receive a copy of his or her medical records, and request that they be amended or corrected, as specified in 45 CFR 164.524 and 164.526.</t>
    </r>
  </si>
  <si>
    <t>Subpart G - Quality and Utilization Management</t>
  </si>
  <si>
    <t>I.G.1.01</t>
  </si>
  <si>
    <t>42 CFR 438.350</t>
  </si>
  <si>
    <t xml:space="preserve">The contract requires the MCP to undergo annual, external independent reviews of the quality, timeliness, and access to the services covered under the contract. </t>
  </si>
  <si>
    <t>I.G.2.01</t>
  </si>
  <si>
    <t>42 CFR 438.208(b)(1)</t>
  </si>
  <si>
    <t>The contract requires that the MCP implement procedures to ensure that each enrollee has an ongoing source of care appropriate to their needs.</t>
  </si>
  <si>
    <t>I.G.2.02</t>
  </si>
  <si>
    <t xml:space="preserve">The contract requires that the MCP formally designate a person or entity as primarily responsible for coordinating services accessed by the enrollee. </t>
  </si>
  <si>
    <t>I.G.2.03</t>
  </si>
  <si>
    <t xml:space="preserve">The contract requires that the enrollee be provided information on how to contact their designated person or entity. </t>
  </si>
  <si>
    <r>
      <t>I.G.2.04</t>
    </r>
    <r>
      <rPr>
        <sz val="10"/>
        <color theme="1"/>
        <rFont val="Aptos Narrow"/>
        <family val="2"/>
      </rPr>
      <t>–</t>
    </r>
    <r>
      <rPr>
        <sz val="10"/>
        <color theme="1"/>
        <rFont val="Arial"/>
        <family val="2"/>
      </rPr>
      <t>07</t>
    </r>
  </si>
  <si>
    <r>
      <t>42 CFR 438.208(b)(2)(i)</t>
    </r>
    <r>
      <rPr>
        <sz val="10"/>
        <color theme="1"/>
        <rFont val="Aptos Narrow"/>
        <family val="2"/>
      </rPr>
      <t>–</t>
    </r>
    <r>
      <rPr>
        <sz val="10"/>
        <color theme="1"/>
        <rFont val="Arial"/>
        <family val="2"/>
      </rPr>
      <t>(iv)</t>
    </r>
  </si>
  <si>
    <t>The contract requires the MCP to implement procedures to coordinate the services the MCP furnishes to the enrollee between settings of care, including appropriate discharge planning for short-term and long-term hospital and institutional stays; with the services the enrollee receives from any other MCO, PIHP, or PAHP; the services the enrollee receives in FFS; and the services the enrollee receives from community and support providers.</t>
  </si>
  <si>
    <t>I.G.2.08</t>
  </si>
  <si>
    <t>42 CFR 438.208(b)(3)</t>
  </si>
  <si>
    <t>The contract requires the MCP to make a best effort to conduct an initial screening of each enrollee's needs, within 90 days of the effective date of enrollment for all new enrollees.</t>
  </si>
  <si>
    <t>I.G.2.09</t>
  </si>
  <si>
    <t xml:space="preserve">The contract requires the MCP to make subsequent attempts to conduct an initial screening of each enrollee's needs if the initial attempt to contact the enrollee is unsuccessful. </t>
  </si>
  <si>
    <t>I.G.2.10</t>
  </si>
  <si>
    <t>42 CFR 438.208(b)(4)</t>
  </si>
  <si>
    <t>The contract requires the MCP to share with the state or other MCOs, PIHPs, and PAHPs serving the enrollee the results of any identification and assessment of that enrollee's needs to prevent duplication of those activities.</t>
  </si>
  <si>
    <t>I.G.2.11</t>
  </si>
  <si>
    <t>42 CFR 438.208(b)(5)</t>
  </si>
  <si>
    <t>The contract requires the MCP to ensure that each provider furnishing services to enrollees maintains and shares an enrollee health record in accordance with professional standards.</t>
  </si>
  <si>
    <t>I.G.2.12</t>
  </si>
  <si>
    <t>42 CFR 438.208(b)(6); 42 CFR 438.224; 45 CFR Part 160; 45 CFR Part 164</t>
  </si>
  <si>
    <t>The contract requires the MCP to use and disclose individually identifiable health information, such as medical records and any other health or enrollment information that identifies a particular enrollee, in accordance with the confidentiality requirements in 45 CFR Parts 160 and 164.</t>
  </si>
  <si>
    <t>I.G.2.13</t>
  </si>
  <si>
    <r>
      <t>42 CFR 438.62(b)(1)</t>
    </r>
    <r>
      <rPr>
        <sz val="6"/>
        <color theme="1"/>
        <rFont val="Aptos Narrow"/>
        <family val="2"/>
      </rPr>
      <t>–</t>
    </r>
    <r>
      <rPr>
        <sz val="10"/>
        <color theme="1"/>
        <rFont val="Arial"/>
        <family val="2"/>
      </rPr>
      <t>(2)</t>
    </r>
  </si>
  <si>
    <t xml:space="preserve">The contract specifies that the MCP will implement a transition of care policy that is consistent with federal requirements and at least meets the state defined transition of care policy. </t>
  </si>
  <si>
    <t>I.G.3.01</t>
  </si>
  <si>
    <t>42 CFR 438.210(b)(1)</t>
  </si>
  <si>
    <t xml:space="preserve">The contract requires that the MCP and its subcontractors have in place and follow written policies and procedures for processing requests for initial and continuing authorizations of services. </t>
  </si>
  <si>
    <t>I.G.3.02</t>
  </si>
  <si>
    <t>42 CFR 438.210(b)(2)(i)</t>
  </si>
  <si>
    <t xml:space="preserve">The contract requires the MCP to have in effect mechanisms to ensure consistent application of review criteria for authorization decisions. </t>
  </si>
  <si>
    <t>I.G.3.03</t>
  </si>
  <si>
    <t>42 CFR 438.210(b)(2)(ii)</t>
  </si>
  <si>
    <t xml:space="preserve">The contract requires the MCP to consult with the requesting provider for medical services when appropriate. </t>
  </si>
  <si>
    <t>I.G.3.04</t>
  </si>
  <si>
    <t>42 CFR 438.210(b)(2)(iii)</t>
  </si>
  <si>
    <t xml:space="preserve">The contract requires the MCP to authorize LTSS based on an enrollee’s current needs assessment and consistent with the person-centered service plan. </t>
  </si>
  <si>
    <t>I.G.3.05</t>
  </si>
  <si>
    <t>42 CFR 438.210(b)(3)</t>
  </si>
  <si>
    <t xml:space="preserve">The contract requires that any decision to deny a service authorization request or to authorize a service in an amount, duration, or scope that is less than requested, be made by an individual who has appropriate expertise in addressing the enrollee's medical, behavioral health, or LTSS needs. </t>
  </si>
  <si>
    <t>I.G.3.06</t>
  </si>
  <si>
    <t>The contract requires that the MCP's prior authorization requirements comply with the requirements for parity in mental health and substance use disorder benefits in 42 CFR 438.910(d).</t>
  </si>
  <si>
    <t>I.G.3.07</t>
  </si>
  <si>
    <t>42 CFR 438.210(d)(1)</t>
  </si>
  <si>
    <t xml:space="preserve">The contract requires that for standard authorization decisions, the MCP provide notice as expeditiously as the enrollee’s condition requires and within state-established timeframes that may not exceed 14 calendar days after receipt of request for service, with a possible extension of 14 days if the enrollee or provider requests an extension or the MCP justifies the need for additional information and how the extension is in the enrollee’s interest. </t>
  </si>
  <si>
    <t>I.G.3.08</t>
  </si>
  <si>
    <t>42 CFR 438.210(d)(2)</t>
  </si>
  <si>
    <t xml:space="preserve">The contract requires that when a provider indicates, or the MCP determines, that following the standard timeframe could seriously jeopardize the enrollee's life or health or ability to attain, maintain, or regain maximum function, the MCP must make an expedited authorization decision and provide notice as expeditiously as the enrollee's health condition requires and no later than 72 hours after receipt of the request for service. </t>
  </si>
  <si>
    <t>I.G.3.09</t>
  </si>
  <si>
    <t>42 CFR 438.210(d)(3)</t>
  </si>
  <si>
    <t>The contract requires that for all covered outpatient drug authorization decisions, the MCP contract must provide notice as described in Section 1927(d)(5)(A) of the Act. The MCP may require as a condition of coverage or payment for a covered outpatient drug for which FFP is available the approval of the drug before its dispensing for any medically accepted indication only if the system providing for such approval provides response by telephone or other telecommunication device within 24 hours of a request for prior authorization.</t>
  </si>
  <si>
    <t>I.G.3.10</t>
  </si>
  <si>
    <t>42 CFR 438.210(e)</t>
  </si>
  <si>
    <t>The contract specifies that compensation to individuals or entities that conduct utilization management activities is not structured so as to provide incentives for denying, limiting, or discontinuing medically necessary services to any enrollee.</t>
  </si>
  <si>
    <t>I.G.4.01</t>
  </si>
  <si>
    <t>42 CFR 438.236(b)(1)</t>
  </si>
  <si>
    <t>The contract requires the MCP to adopt practice guidelines that are based on valid and reliable clinical evidence or a consensus of providers in the particular field.</t>
  </si>
  <si>
    <t>I.G.4.02</t>
  </si>
  <si>
    <t>42 CFR 438.236(b)(2)</t>
  </si>
  <si>
    <t xml:space="preserve">The contract requires the MCP to adopt practice guidelines that consider the needs of the enrollees. </t>
  </si>
  <si>
    <t>I.G.4.03</t>
  </si>
  <si>
    <t>42 CFR 438.236(b)(3)</t>
  </si>
  <si>
    <t>The contract requires the MCP to adopt practice guidelines in consultation with network providers.</t>
  </si>
  <si>
    <t>I.G.4.04</t>
  </si>
  <si>
    <t>42 CFR 438.236(b)(4)</t>
  </si>
  <si>
    <t xml:space="preserve">The contract requires the MCP to review and update practice guidelines periodically as appropriate. </t>
  </si>
  <si>
    <t>I.G.4.05</t>
  </si>
  <si>
    <t>42 CFR 438.236(d)</t>
  </si>
  <si>
    <t xml:space="preserve">The contract requires that decisions regarding utilization management, enrollee education, coverage of services, and other areas to which practice guidelines apply should be consistent with such practice guidelines. </t>
  </si>
  <si>
    <t>I.G.5.01</t>
  </si>
  <si>
    <t>42 CFR 438.330(a)(1); 42 CFR 438.330(a)(3)</t>
  </si>
  <si>
    <t>The contract requires that the MCP establish and implement an ongoing comprehensive Quality Assessment and Performance Improvement (QAPI) program for the services it furnishes to its enrollees.</t>
  </si>
  <si>
    <t>I.G.5.02</t>
  </si>
  <si>
    <t>42 CFR 438.330(b)(1); 42 CFR 438.330(d)(1); 42 CFR 438.330(a)(2)</t>
  </si>
  <si>
    <t xml:space="preserve">The contract requires that the comprehensive QAPI program includes performance improvement projects (PIPs), including any required by the state or CMS, that focus on clinical and non-clinical areas. </t>
  </si>
  <si>
    <t>I.G.5.03</t>
  </si>
  <si>
    <t>42 CFR 438.330(b)(2); 42 CFR 438.330(c); 42 CFR 438.330(a)(2)</t>
  </si>
  <si>
    <t xml:space="preserve">The contract requires that the comprehensive QAPI program includes collection and submission of performance measurement data, including any required by the state or CMS. </t>
  </si>
  <si>
    <t>I.G.5.04</t>
  </si>
  <si>
    <t>42 CFR 438.330(b)(3)</t>
  </si>
  <si>
    <t xml:space="preserve">The contract requires that the comprehensive QAPI program includes mechanisms to detect both underutilization and overutilization of services. </t>
  </si>
  <si>
    <t>I.G.5.05</t>
  </si>
  <si>
    <t>42 CFR 438.330(b)(4); 42 CFR 438.340</t>
  </si>
  <si>
    <t xml:space="preserve">The contract requires that the comprehensive QAPI program includes mechanisms to assess the quality and appropriateness of care furnished to enrollees with special health care needs, as defined by the state in the quality strategy. </t>
  </si>
  <si>
    <t>I.G.5.06</t>
  </si>
  <si>
    <t>42 CFR 438.330(b)(5)(i)</t>
  </si>
  <si>
    <t>The contract requires that for MCPs providing LTSS, the comprehensive QAPI program includes mechanisms to assess the quality and appropriateness of care furnished to enrollees using LTSS, including an assessment of care between care settings.</t>
  </si>
  <si>
    <t>I.G.5.07</t>
  </si>
  <si>
    <t>The contract requires that for MCPs providing LTSS, the comprehensive QAPI program includes mechanisms to assess the quality and appropriateness of care furnished to enrollees using LTSS, including a comparison of services and supports received with those set forth in the enrollee’s treatment/service plan.</t>
  </si>
  <si>
    <t>I.G.5.08</t>
  </si>
  <si>
    <t>42 CFR 438.330(b)(5)(ii); 42 CFR 441.302; 42 CFR 441.730(a); 42 CFR 441.302(h)</t>
  </si>
  <si>
    <t xml:space="preserve">The contract requires that for MCPs providing LTSS, the comprehensive QAPI program includes participation in efforts by the state to prevent, detect, and remediate critical incidents (consistent with assuring beneficiary health and welfare that are based, at a minimum, on the requirements on the state for home and community-based waiver programs). </t>
  </si>
  <si>
    <t>I.G.5.09</t>
  </si>
  <si>
    <r>
      <t>42 CFR 438.330(c)(1)</t>
    </r>
    <r>
      <rPr>
        <sz val="10"/>
        <color theme="1"/>
        <rFont val="Aptos Narrow"/>
        <family val="2"/>
      </rPr>
      <t>–</t>
    </r>
    <r>
      <rPr>
        <sz val="10"/>
        <color theme="1"/>
        <rFont val="Arial"/>
        <family val="2"/>
      </rPr>
      <t>(2)</t>
    </r>
  </si>
  <si>
    <t xml:space="preserve">The contract requires that each MCP annually measure and report to the state on its performance, using the standard measures required by the state; submit to the state data, specified by the state, which enables the state to calculate the MCP’s performance using the standard measures identified by the state under 42 CFR 438.330(c)(1); or perform a combination of these activities. </t>
  </si>
  <si>
    <t>I.G.5.10</t>
  </si>
  <si>
    <t>42 CFR 438.330(d)(2)</t>
  </si>
  <si>
    <t xml:space="preserve">The contract requires that each PIP be designed to achieve significant improvement, sustained over time, in health outcomes and enrollee satisfaction. </t>
  </si>
  <si>
    <t>I.G.5.11</t>
  </si>
  <si>
    <t>42 CFR 438.330(d)(2)(i)</t>
  </si>
  <si>
    <t>The contract requires that each PIP include measurement of performance using objective quality indicators.</t>
  </si>
  <si>
    <t>I.G.5.12</t>
  </si>
  <si>
    <t>42 CFR 438.330(d)(2)(ii)</t>
  </si>
  <si>
    <t>The contract requires that each PIP include implementation of interventions to achieve improvement in the access to and quality of care.</t>
  </si>
  <si>
    <t>I.G.5.13</t>
  </si>
  <si>
    <t>42 CFR 438.330(d)(2)(iii)</t>
  </si>
  <si>
    <t>The contract requires that each PIP include an evaluation of the effectiveness of the interventions based on the performance measures collected as part of the PIP.</t>
  </si>
  <si>
    <t>I.G.5.14</t>
  </si>
  <si>
    <t>42 CFR 438.330(d)(2)(iv)</t>
  </si>
  <si>
    <t xml:space="preserve">The contract requires that each PIP include planning and initiation of activities for increasing or sustaining improvement. </t>
  </si>
  <si>
    <t>I.G.5.15</t>
  </si>
  <si>
    <t>42 CFR 438.330(d)(1) and (3)</t>
  </si>
  <si>
    <t>The contract requires that the MCP report the status and results of each PIP to the state as requested, but not less than once per year.</t>
  </si>
  <si>
    <t>I.G.5.16</t>
  </si>
  <si>
    <t>42 CFR 438.330(d)(4); 42 CFR 422.152(c)</t>
  </si>
  <si>
    <t xml:space="preserve">At the state’s option, the contract specifies that the state may permit a MCP exclusively serving dual eligibles to substitute a Medicare Advantage Organization (MAO) chronic care improvement program for one or more of the PIPs otherwise required. </t>
  </si>
  <si>
    <t>I.G.5.17</t>
  </si>
  <si>
    <t>42 CFR 438.330(e)(2); 42 CFR 438.310(c)(2)</t>
  </si>
  <si>
    <t xml:space="preserve">At the state’s option, the contract requires that the MCP develop a process to evaluate the impact and effectiveness of its own QAPI. </t>
  </si>
  <si>
    <t xml:space="preserve">I.G.6.01 </t>
  </si>
  <si>
    <t>42 CFR 438.206(c)(2)</t>
  </si>
  <si>
    <t xml:space="preserve">The contract requires that the MCP participate in the state's efforts to promote the delivery of services in a culturally competent manner to all enrollees, including those with limited English proficiency and diverse cultural and ethnic backgrounds, disabilities, and regardless of sex. </t>
  </si>
  <si>
    <t xml:space="preserve">I.G.7.01 </t>
  </si>
  <si>
    <t>42 CFR 438.208(c)(2)</t>
  </si>
  <si>
    <t xml:space="preserve">The contract requires that the MCP implement mechanisms to comprehensively assess each Medicaid enrollee identified as having special health care needs to identify any ongoing special conditions of the enrollee that require a course of treatment or regular care monitoring. </t>
  </si>
  <si>
    <t xml:space="preserve">I.G.7.02 </t>
  </si>
  <si>
    <t xml:space="preserve">The contract requires that the MCP implement mechanisms to comprehensively assess each Medicaid enrollee identified as needing LTSS to identify any ongoing special conditions of the enrollee that require a course of treatment or regular care monitoring. </t>
  </si>
  <si>
    <t>I.G.7.03</t>
  </si>
  <si>
    <t xml:space="preserve">The contract requires that the assessment mechanisms must use appropriate providers or individuals meeting LTSS service coordination requirements of the state or the MCP as appropriate. </t>
  </si>
  <si>
    <t>I.G.7.04</t>
  </si>
  <si>
    <t>42 CFR 438.208(c)(3)</t>
  </si>
  <si>
    <t>The contract requires that MCPs produce a treatment or service plan for enrollees who require LTSS.</t>
  </si>
  <si>
    <t>I.G.7.05</t>
  </si>
  <si>
    <t xml:space="preserve">If the state requires MCPs to produce a treatment or service plan for enrollees with special health care needs that are determined through assessment to need a course of treatment or regular care monitoring, the contract requires that the MCP produce such a treatment or service plan. </t>
  </si>
  <si>
    <t>I.G.7.06</t>
  </si>
  <si>
    <t>42 CFR 438.208(c)(3)(i)</t>
  </si>
  <si>
    <t>The contract requires that, for enrollees who require LTSS, the MCP must include a treatment or service plan developed by an individual meeting LTSS services coordination requirements with enrollee participation, and in consultation with any providers caring for the enrollee.</t>
  </si>
  <si>
    <t>I.G.7.07</t>
  </si>
  <si>
    <r>
      <t>42 CFR 438.208(c)(3)(ii); 42 CFR 441.301(c)(1)</t>
    </r>
    <r>
      <rPr>
        <sz val="10"/>
        <color theme="1"/>
        <rFont val="Aptos Narrow"/>
        <family val="2"/>
      </rPr>
      <t>–</t>
    </r>
    <r>
      <rPr>
        <sz val="10"/>
        <color theme="1"/>
        <rFont val="Arial"/>
        <family val="2"/>
      </rPr>
      <t>(2)</t>
    </r>
  </si>
  <si>
    <r>
      <t>The contract requires that, for enrollees who require LTSS, the plan be developed by a person trained in person-centered planning using a person-centered process and plan as defined in 42 CFR 441.301(c)(1)</t>
    </r>
    <r>
      <rPr>
        <sz val="10"/>
        <color theme="1"/>
        <rFont val="Aptos Narrow"/>
        <family val="2"/>
      </rPr>
      <t>–</t>
    </r>
    <r>
      <rPr>
        <sz val="10"/>
        <color theme="1"/>
        <rFont val="Arial"/>
        <family val="2"/>
      </rPr>
      <t>(2).</t>
    </r>
  </si>
  <si>
    <t>I.G.7.08</t>
  </si>
  <si>
    <t>42 CFR 438.208(c)(3)(iii)</t>
  </si>
  <si>
    <t>The contract requires that, for enrollees who require LTSS, the treatment or service plan be approved by the MCP in a timely manner, if this approval is required by the MCP.</t>
  </si>
  <si>
    <t>I.G.7.09</t>
  </si>
  <si>
    <t>42 CFR 438.208(c)(3)(iv)</t>
  </si>
  <si>
    <t>The contract requires that, for enrollees who require LTSS, the plan be developed in accordance with any applicable state quality assurance and utilization review standards.</t>
  </si>
  <si>
    <t>I.G.7.10</t>
  </si>
  <si>
    <t>42 CFR 438.208(c)(3)(v); 42 CFR 441.301(c)(3)</t>
  </si>
  <si>
    <t>The contract requires that, for enrollees who require LTSS, the treatment or service plan be reviewed and revised upon reassessment of functional need at least every 12 months, or when the enrollee's circumstances or needs change significantly, or at the request of the enrollee.</t>
  </si>
  <si>
    <t>I.G.7.11</t>
  </si>
  <si>
    <t>The contract requires that, for enrollees with special health care needs as required by the state, the treatment or service plan be approved by the MCP in a timely manner, if this approval is required by the MCP.</t>
  </si>
  <si>
    <t>I.G.7.12</t>
  </si>
  <si>
    <t>The contract requires that, for enrollees with special health care needs, the treatment or service plan be developed in accordance with any applicable state quality assurance and utilization review standards.</t>
  </si>
  <si>
    <t>I.G.7.13</t>
  </si>
  <si>
    <t xml:space="preserve">The contract requires that, for enrollees with special health care needs as required by the state, the treatment or service plan be reviewed and revised upon reassessment of functional need, at least every 12 months, or when the enrollee's circumstances or needs change significantly, or at the request of the enrollee. </t>
  </si>
  <si>
    <t>I.G.7.14</t>
  </si>
  <si>
    <t>42 CFR 438.208(c)(4)</t>
  </si>
  <si>
    <t>For enrollees with special health care needs determined through an assessment to need a course of treatment or regular care monitoring, the contract requires that the MCP have a mechanism in place to allow enrollees to directly access a specialist as appropriate for the enrollee's condition and identified needs.</t>
  </si>
  <si>
    <t>5,6</t>
  </si>
  <si>
    <t>I.G.8.01</t>
  </si>
  <si>
    <t>42 CFR 438.332(a)</t>
  </si>
  <si>
    <t xml:space="preserve">The contract requires that each MCP inform the state as to whether it has been accredited by a private independent accrediting entity. </t>
  </si>
  <si>
    <t>I.G.8.02</t>
  </si>
  <si>
    <t>42 CFR 438.332(b)(1)</t>
  </si>
  <si>
    <t>The contract requires that each MCP that has received accreditation by a private independent accrediting entity must authorize the private independent accrediting entity to provide the state a copy of its most recent accreditation review, including its accreditation status, survey type, and level (as applicable).</t>
  </si>
  <si>
    <t>I.G.8.03</t>
  </si>
  <si>
    <t>42 CFR 438.332(b)(2)</t>
  </si>
  <si>
    <t>The contract requires that each MCP that has received accreditation by a private independent accrediting entity must authorize the private independent accrediting entity to provide the state a copy of its most recent accreditation review, recommended actions or improvements, corrective action plans, and summaries of findings.</t>
  </si>
  <si>
    <t>I.G.8.04</t>
  </si>
  <si>
    <t>42 CFR 438.332(b)(3)</t>
  </si>
  <si>
    <t>The contract requires that each MCP that has received accreditation by a private independent accrediting entity must authorize the private independent accrediting entity to provide the state a copy of its most recent accreditation review, including the expiration date of the accreditation.</t>
  </si>
  <si>
    <t>States must have in effect a transition of care policy in accordance with 42 CFR 438.62 and must require  MCPs to implement the transition of care policy. How a state chooses to meet these federal requirements may vary. For example, a state may: (1) include its transition of care policy within the MCP contract or as an attachment to the contract; (2) outline in the contract the process by which the state will share the model enrollee handbook; or (3) use another method.</t>
  </si>
  <si>
    <t>Per 42 CFR 438.62(b)(1) and 42 CFR 457.1216, effective with the annual rating period beginning on or after 07/01/2018 (for Medicaid and CHIP), the transition of care policy must include the following:
(i) The enrollee has access to services consistent with the access they previously had, and is permitted to retain their current provider for a period of time if that provider is not in the MCO, PIHP or PAHP network.
(ii) The enrollee is referred to appropriate providers of services that are in the network.
(iii) The state, in the case of FFS, PCCM, or PCCM entity, or the MCO, PIHP or PAHP that was previously serving the enrollee, fully and timely complies with requests for historical utilization data from the new MCO, PIHP, PAHP, PCCM, or PCCM entity in compliance with federal and state law.
(iv) Consistent with federal and state law, the enrollee’s new provider(s) are able to obtain copies of the enrollee’s medical records, as appropriate.
(v) Any other necessary procedures as specified by the Secretary to ensure continued access to services to prevent serious detriment to the enrollee’s health or reduce the risk of hospitalization or institutionalization.
Effective 01/01/2022 (for Medicaid and CHIP) with regard to data, the transition of care policy must include the following:
(i) A process for the electronic exchange of, at a minimum, the data classes and elements included in the content standard adopted at 45 CFR 170.213. Such information received by the MCO, PIHP, or PAHP must be incorporated into the MCO’s, PIHP’s, or PAHP’s records about the current enrollee. With the approval and at the direction of a current or former enrollee or the enrollee’s personal representative, the MCO, PIHP, or PAHP must:
(A) Receive all such data for a current enrollee from any other payer that has provided coverage to the enrollee within the preceding 5 years;
(B) At any time the enrollee is currently enrolled in the MCO, PIHP, or PAHP and up to 5 years after disenrollment, send all such data to any other payer that currently covers the enrollee or a payer the enrollee or the enrollee’s personal representative specifically requests receive the data; and
(C) Send data received from another payer in the electronic form and format it was received.</t>
  </si>
  <si>
    <t>This requirement under 42 CFR 438.910(d) applies to MCOs, PIHPs, or PAHPs providing services to an MCO enrollee in states covering medical/surgical and mental health or substance use disorder services under the state plan.</t>
  </si>
  <si>
    <t xml:space="preserve">This requirement, per 42 CFR 438.310(c)(2), applies to PCCM entities whose contracts with the state provide for shared savings, incentive payments, or other financial reward for the PCCM entity for improved quality outcomes. Therefore, "N/A" may be appropriate for a PCCM entity. </t>
  </si>
  <si>
    <t>For PIHPs and PAHPs, the state determines, based on the scope of the entity's services and on the way the state has organized the delivery of managed care services, whether a particular PIHP or PAHP is required to implement mechanisms for identifying, assessing, and producing a treatment plan for an individual with special health care needs as specified in 42 CFR 438.208(c). This requirement may be marked "N/A" for PIHPs and PAHPs.</t>
  </si>
  <si>
    <r>
      <t>For the requirement at 42 CFR 438.208(c)(3)(ii), see the person-centered planning process and person-centered service plan requirements at 42 CFR 431.301(c)(1)</t>
    </r>
    <r>
      <rPr>
        <sz val="10"/>
        <rFont val="Aptos Narrow"/>
        <family val="2"/>
      </rPr>
      <t>–</t>
    </r>
    <r>
      <rPr>
        <sz val="10"/>
        <rFont val="Arial"/>
        <family val="2"/>
      </rPr>
      <t>(2), as the treatment or service plan must meet these requirements.</t>
    </r>
  </si>
  <si>
    <t>Subpart H - Grievances and Appeals</t>
  </si>
  <si>
    <t>I.H.1 Grievances and Appeals System</t>
  </si>
  <si>
    <t>I.H.1.01</t>
  </si>
  <si>
    <t>42 CFR 438.402(a); 42 CFR 438.228(a)</t>
  </si>
  <si>
    <t>The contract requires that the MCP have a grievance and appeal system in place for enrollees.</t>
  </si>
  <si>
    <t>I.H.1.02</t>
  </si>
  <si>
    <t>42 CFR 438.402(b); 42 CFR 438.228(a)</t>
  </si>
  <si>
    <t>The contract requires that the MCP has only one level of appeal for enrollees.</t>
  </si>
  <si>
    <t>I.H.1.03</t>
  </si>
  <si>
    <t>42 CFR 438.406(a); 42 CFR 438.228(a)</t>
  </si>
  <si>
    <t>The contract requires the MCP to give enrollees any reasonable assistance in completing grievance and appeal forms and other procedural steps related to a grievance or appeal. This includes, but is not limited to, auxiliary aids and services upon request, such as providing interpreter services and toll-free numbers with Teletypewriter TTY/TDD and interpreter capability.</t>
  </si>
  <si>
    <t>I.H.1.04</t>
  </si>
  <si>
    <t>42 CFR 438.406(b)(1); 42 CFR 438.228(a)</t>
  </si>
  <si>
    <t>The contract requires the MCP to acknowledge receipt of each grievance and appeal of adverse benefit determinations.</t>
  </si>
  <si>
    <t>I.H.1.05</t>
  </si>
  <si>
    <t>42 CFR 438.406(b)(2)(i); 42 CFR 438.228(a)</t>
  </si>
  <si>
    <t>The contract requires that the MCP ensure that decision makers on grievances and appeals of adverse benefit determinations were not involved in any previous level of review or decision-making.</t>
  </si>
  <si>
    <t>I.H.1.06</t>
  </si>
  <si>
    <t>The contract requires that the MCP ensure that decision makers on grievances and appeals of adverse benefit determinations were not subordinates of any individual who was involved in a previous level of review or decision-making.</t>
  </si>
  <si>
    <t>I.H.1.07</t>
  </si>
  <si>
    <t>42 CFR 438.406(b)(2)(ii)(A); 42 CFR 438.228(a)</t>
  </si>
  <si>
    <t>The contract requires the MCP to ensure that decision makers on grievances and appeals of adverse benefit determinations are individuals with appropriate clinical expertise, as determined by the state, in treating the enrollee's condition or disease if the decision involves an appeal of a denial based on lack of medical necessity.</t>
  </si>
  <si>
    <t>I.H.1.08</t>
  </si>
  <si>
    <t>42 CFR 438.406(b)(2)(ii)(B); 42 CFR 438.228(a)</t>
  </si>
  <si>
    <t>The contract requires the MCP to ensure that decision makers on grievances and appeals of adverse benefit determinations are individuals with appropriate clinical expertise, as determined by the state, in treating the enrollee's condition or disease if the decision involves a grievance regarding denial of expedited resolution of an appeal.</t>
  </si>
  <si>
    <t>I.H.1.09</t>
  </si>
  <si>
    <t>42 CFR 438.406(b)(2)(ii)(C); 42 CFR 438.228(a)</t>
  </si>
  <si>
    <t>The contract requires the MCP to ensure that decision makers on grievances and appeals of adverse benefit determinations are individuals with appropriate clinical expertise, as determined by the state, in treating the enrollee's condition or disease if the decision involves a grievance or appeal involving clinical issues.</t>
  </si>
  <si>
    <t>I.H.1.10</t>
  </si>
  <si>
    <t>42 CFR 438.406(b)(2)(iii); 42 CFR 438.228(a)</t>
  </si>
  <si>
    <t>The contract requires the MCP to ensure that decision makers on grievances and appeals of adverse benefit determinations take into account all comments, documents, records, and other information submitted by the enrollee or their representative without regard to whether such information was submitted or considered in the initial adverse benefit determination.</t>
  </si>
  <si>
    <t>I.H.1.11</t>
  </si>
  <si>
    <t>42 CFR 438.56(d)(5)(ii); 42 CFR 438.56(e)(1); 42 CFR 438.228(a)</t>
  </si>
  <si>
    <t>If the state requires the enrollee to seek redress through the MCP’s grievance system before the state makes a decision on the enrollee’s request for disenrollment, the contract requires the MCP to complete a review of the grievance in time to permit the disenrollment to be effective no later than the first day of the second month following the month in which the enrollee requests disenrollment or the MCP refers the request to the state.</t>
  </si>
  <si>
    <t>I.H.2.01</t>
  </si>
  <si>
    <t>42 CFR 438.404(b)(1)</t>
  </si>
  <si>
    <t>The contract requires that the MCP's notice of adverse benefit determination explains the adverse benefit determination the MCP has made or intends to make.</t>
  </si>
  <si>
    <t>I.H.2.02</t>
  </si>
  <si>
    <t>42 CFR 438.404(b)(2)</t>
  </si>
  <si>
    <t>The contract requires that the MCP's notice of adverse benefit determination explains the reasons for the adverse benefit determination, including the right of the enrollee to be provided upon request and free of charge, reasonable access to and copies of all documents, records, and other information relevant to the enrollee's adverse benefit determination. Such information includes medical necessity criteria, and any processes, strategies, or evidentiary standards used in setting coverage limits.</t>
  </si>
  <si>
    <t>I.H.2.03</t>
  </si>
  <si>
    <r>
      <t>42 CFR 438.404(b)(3); 42 CFR 438.402(b)</t>
    </r>
    <r>
      <rPr>
        <sz val="10"/>
        <color theme="1"/>
        <rFont val="Aptos Narrow"/>
        <family val="2"/>
      </rPr>
      <t>–</t>
    </r>
    <r>
      <rPr>
        <sz val="10"/>
        <color theme="1"/>
        <rFont val="Arial"/>
        <family val="2"/>
      </rPr>
      <t>(c)</t>
    </r>
  </si>
  <si>
    <t>The contract requires that the MCP's notice of adverse benefit determination explains the enrollee's right to request an appeal of the MCP's adverse benefit determination, including information on exhausting the MCP's one level of appeal and the right to request a state fair hearing after receiving notice that the adverse benefit determination is upheld.</t>
  </si>
  <si>
    <t>I.H.2.04</t>
  </si>
  <si>
    <t>42 CFR 438.404(b)(4)</t>
  </si>
  <si>
    <t>The contract requires that the MCP's notice of adverse benefit determination explains the procedures for exercising the enrollee's rights to appeal.</t>
  </si>
  <si>
    <t>I.H.2.05</t>
  </si>
  <si>
    <t>42 CFR 438.404(b)(5)</t>
  </si>
  <si>
    <t>The contract requires that the MCP's notice of adverse benefit determination explains the circumstances under which an appeal process can be expedited and how to request it.</t>
  </si>
  <si>
    <t>I.H.2.06</t>
  </si>
  <si>
    <t>42 CFR 438.404(b)(6)</t>
  </si>
  <si>
    <t>The contract requires that the MCP's notice of adverse benefit determination explains the enrollee’s right to have benefits continue pending the resolution of the appeal, how to request that benefits be continued, and the circumstances, consistent with state policy, under which the enrollee may be required to pay the costs of continued services.</t>
  </si>
  <si>
    <t>I.H.3.01</t>
  </si>
  <si>
    <t>42 CFR 438.404(c)(1); 42 CFR 431.211</t>
  </si>
  <si>
    <t>The contract requires the MCP to mail the notice of adverse benefit determination at least 10 days before the date of action, when the action is a termination, suspension, or reduction of previously authorized Medicaid-covered services.</t>
  </si>
  <si>
    <t>I.H.3.02</t>
  </si>
  <si>
    <t>42 CFR 438.404(c)(1); 42 CFR 431.214</t>
  </si>
  <si>
    <t>The contract allows the MCP to mail the notice of adverse benefit determination as few as 5 days prior to the date of action if the agency has facts indicating that action should be taken because of probable fraud by the beneficiary, and the facts have been verified, if possible, through secondary sources.</t>
  </si>
  <si>
    <t>I.H.3.03</t>
  </si>
  <si>
    <t>Section 1919(e)(7) of the Act; 42 CFR 438.404(c)(1); 42 CFR 431.213;  42 CFR 431.231(d); 42 CFR 483.15</t>
  </si>
  <si>
    <t xml:space="preserve">The contract requires the MCP to mail the notice of adverse benefit determination by the date of the action when any of the following occur:
• The recipient has died.
• The enrollee submits a signed written statement requesting service termination. 
• The enrollee submits a signed written statement including information that requires service termination or reduction and indicates that he understands that service termination or reduction will result.
• The enrollee has been admitted to an institution where he or she is ineligible under the plan for further services.
• The enrollee’s address is determined unknown based on returned mail with no forwarding address.
• The enrollee is accepted for Medicaid services by another local jurisdiction, state, territory, or commonwealth.
• A change in the level of medical care is prescribed by the enrollee’s physician.
• The notice involves an adverse determination with regard to preadmission screening requirements of Section 1919(e)(7) of the Act.
• The transfer or discharge from a facility will occur in an expedited fashion.
</t>
  </si>
  <si>
    <t>I.H.3.04</t>
  </si>
  <si>
    <t>42 CFR 438.404(c)(2)</t>
  </si>
  <si>
    <t>The contract requires the MCP to give notice of adverse benefit determination on the date of determination when the action is a denial of payment.</t>
  </si>
  <si>
    <t>I.H.3.05</t>
  </si>
  <si>
    <t>42 CFR 438.210(d)(1); 42 CFR 438.404(c)(3)</t>
  </si>
  <si>
    <t>The contract requires the MCP to give notice of adverse benefit determination as expeditiously as the enrollee’s condition requires within state-established timeframes that may not exceed 14 calendar days following receipt of the request for service, for standard authorization decisions that deny or limit services.</t>
  </si>
  <si>
    <r>
      <t>I.H.3.06</t>
    </r>
    <r>
      <rPr>
        <sz val="10"/>
        <color theme="1"/>
        <rFont val="Aptos Narrow"/>
        <family val="2"/>
      </rPr>
      <t>–</t>
    </r>
    <r>
      <rPr>
        <sz val="10"/>
        <color theme="1"/>
        <rFont val="Arial"/>
        <family val="2"/>
      </rPr>
      <t>07</t>
    </r>
  </si>
  <si>
    <r>
      <t>42 CFR 438.404(c)(4); 42 CFR 438.210(d)(1)(i)</t>
    </r>
    <r>
      <rPr>
        <sz val="10"/>
        <color theme="1"/>
        <rFont val="Aptos Narrow"/>
        <family val="2"/>
      </rPr>
      <t>–</t>
    </r>
    <r>
      <rPr>
        <sz val="10"/>
        <color theme="1"/>
        <rFont val="Arial"/>
        <family val="2"/>
      </rPr>
      <t>(ii)</t>
    </r>
  </si>
  <si>
    <t>The contract allows the MCP to extend the 14 calendar day notice of adverse benefit determination timeframe for standard authorization decisions that deny or limit services up to 14 additional calendar days if the enrollee or the provider requests an extension or if the MCP justifies a need (to the state agency, upon request) for additional information and shows how the extension is in the enrollee’s best interest.</t>
  </si>
  <si>
    <t>I.H.3.08</t>
  </si>
  <si>
    <t>42 CFR 438.210(d)(1)(ii); 42 CFR 438.404(c)(4)(i)</t>
  </si>
  <si>
    <t>The contract requires that if the MCP extends the 14 calendar day notice of adverse benefit determination timeframe for standard authorization decisions that deny or limit services, it must give the enrollee written notice of the reason for the extension and inform the enrollee of the right to file a grievance if he or she disagrees with the decision.</t>
  </si>
  <si>
    <t>I.H.3.09</t>
  </si>
  <si>
    <t>42 CFR 438.210(d)(1)(ii); 42 CFR 438.404(c)(4)(ii)</t>
  </si>
  <si>
    <t>The contract requires that if the MCP extends the 14 calendar day notice of adverse benefit determination timeframe for standard authorization decisions that deny or limit services, it must issue and carry out its determination as expeditiously as the enrollee's health condition requires and no later than the date the extension expires.</t>
  </si>
  <si>
    <t>I.H.3.10</t>
  </si>
  <si>
    <t>42 CFR 438.210(d)(2)(i); 42 CFR 438.404(c)(6)</t>
  </si>
  <si>
    <t>The MCP contract requires that for cases in which a provider indicates, or the MCP determines, that following the standard authorization timeframe could seriously jeopardize the enrollee's life or health or his/her ability to attain, maintain, or regain maximum function, the MCP must make an expedited service authorization decision and provide notice as expeditiously as the enrollee’s health condition requires and no later than 72 hours after receipt of the request for service.</t>
  </si>
  <si>
    <t>I.H.3.11</t>
  </si>
  <si>
    <t>42 CFR 438.210(d)(2)(ii); 42 CFR 438.404(c)(6)</t>
  </si>
  <si>
    <t>The contract provides that the MCP may extend the 72 hour expedited service authorization decision time period by up to 14 calendar days if the enrollee requests an extension, or if the MCP justifies (to the state agency, upon request) a need for additional information and how the extension is in the enrollee’s interest.</t>
  </si>
  <si>
    <t>I.H.3.12</t>
  </si>
  <si>
    <t>42 CFR 438.404(c)(5)</t>
  </si>
  <si>
    <t>The contract requires that the MCP give enrollees notice on the date that the timeframes expire when service authorization decisions are not reached within the applicable timeframes for either standard or expedited service authorizations.</t>
  </si>
  <si>
    <t>I.H.4.01</t>
  </si>
  <si>
    <t>42 CFR 438.402(c)(1); 42 CFR 438.408</t>
  </si>
  <si>
    <t>The contract requires the MCP to allow enrollees to file appeals, grievances, and state fair hearing requests (after receiving notice that an adverse benefit determination is upheld).</t>
  </si>
  <si>
    <t>I.H.4.02</t>
  </si>
  <si>
    <t>42 CFR 438.402(c)(1)(i)(B)</t>
  </si>
  <si>
    <t>If the state chooses to offer and arrange for an external medical review that complies with 42 CFR 402(c)(1)(i)(B), the process for such review and the MCP’s obligation to comply with such review is outlined in the contract.</t>
  </si>
  <si>
    <t>I.H.4.03</t>
  </si>
  <si>
    <r>
      <t>42 CFR 438.402(c)(1)(i)</t>
    </r>
    <r>
      <rPr>
        <sz val="10"/>
        <color theme="1"/>
        <rFont val="Aptos Narrow"/>
        <family val="2"/>
      </rPr>
      <t>–</t>
    </r>
    <r>
      <rPr>
        <sz val="10"/>
        <color theme="1"/>
        <rFont val="Arial"/>
        <family val="2"/>
      </rPr>
      <t>(ii); 
42 CFR 438.408</t>
    </r>
  </si>
  <si>
    <t>If state law permits, the contract requires the MCP to allow providers, or authorized representatives, acting on behalf of the enrollee and with the enrollee's written consent, to request an appeal, file a grievance, or request a state fair hearing request.</t>
  </si>
  <si>
    <t>I.H.5.01</t>
  </si>
  <si>
    <t>42 CFR 438.408; 
42 CFR 438.402(c)(1)(i)(A)</t>
  </si>
  <si>
    <t xml:space="preserve">The contract requires that in the case that the MCP fails to adhere to notice and timing requirements, the enrollee is deemed to have exhausted the MCP's appeals process, and the enrollee may initiate a state fair hearing. </t>
  </si>
  <si>
    <t>I.H.5.02</t>
  </si>
  <si>
    <t>42 CFR 438.402(c)(2)(ii)</t>
  </si>
  <si>
    <t>The contract requires the MCP to allow the enrollee to file an appeal to the MCP within 60 calendar days from the date on the adverse benefit determination notice.</t>
  </si>
  <si>
    <t>I.H.5.03</t>
  </si>
  <si>
    <t>The contract requires the MCP to allow the provider or authorized representative acting on behalf of the enrollee, as state law permits, to file an appeal to the MCP within 60 calendar days from the date on the adverse benefit determination notice.</t>
  </si>
  <si>
    <t>I.H.6.01</t>
  </si>
  <si>
    <t>42 CFR 438.402(c)(3)(ii)</t>
  </si>
  <si>
    <t>The contract requires that the MCP allow the enrollee to request an appeal either orally or in writing.</t>
  </si>
  <si>
    <t>I.H.6.02</t>
  </si>
  <si>
    <t>42 CFR 438.402(c)(3)(ii); 42 CFR 438.402(c)(1)(ii)</t>
  </si>
  <si>
    <t xml:space="preserve">The contract requires that the MCP allow the provider or authorized representative acting on behalf of the enrollee, as state law permits, to request an appeal either orally or in writing. </t>
  </si>
  <si>
    <t>I.H.6.03</t>
  </si>
  <si>
    <t>42 CFR 438.406(b)(3)</t>
  </si>
  <si>
    <t>The contract requires the MCP to ensure that oral inquiries seeking to appeal an adverse benefit determination are treated as appeals.</t>
  </si>
  <si>
    <t>I.H.6.04</t>
  </si>
  <si>
    <t>42 CFR 438.406(b)(4)</t>
  </si>
  <si>
    <t>The contract requires the MCP to provide the enrollee a reasonable opportunity, in person and in writing, to present evidence and testimony and make legal and factual arguments.</t>
  </si>
  <si>
    <t>I.H.6.05</t>
  </si>
  <si>
    <t>42 CFR 438.406(b)(5)</t>
  </si>
  <si>
    <t>The contract requires the MCP to provide the enrollee and his or her representative the enrollee's case file (including medical records, other documents and records, and any new or additional evidence considered, relied upon, or generated by the MCP [or at the direction of the MCP]) in connection with the appeal of the adverse benefit determination.</t>
  </si>
  <si>
    <t>I.H.6.06</t>
  </si>
  <si>
    <r>
      <t>42 CFR 438.406(b)(5); 42 CFR 438.408(b)</t>
    </r>
    <r>
      <rPr>
        <sz val="10"/>
        <color theme="1"/>
        <rFont val="Aptos Narrow"/>
        <family val="2"/>
      </rPr>
      <t>–</t>
    </r>
    <r>
      <rPr>
        <sz val="10"/>
        <color theme="1"/>
        <rFont val="Arial"/>
        <family val="2"/>
      </rPr>
      <t>(c)</t>
    </r>
  </si>
  <si>
    <t>The contract requires the MCP to provide the enrollee and his or her representative the enrollee's case file free of charge and sufficiently in advance of the resolution timeframe for standard and expedited appeal resolutions. For standard resolution of an appeal and notice to the affected parties, the MCP must comply with the state-established timeframe that is no longer than 30 calendar days from the day the MCP receives the appeal. For expedited resolution of an appeal and notice to affected parties, the MCP must comply with the state-established timeframe that is no longer than 72 hours after the MCP receives the appeal.</t>
  </si>
  <si>
    <t>I.H.6.07</t>
  </si>
  <si>
    <t>42 CFR 438.406(b)(6)</t>
  </si>
  <si>
    <t>The contract requires the MCP to consider the enrollee, his or her representative, or the legal representative of a deceased enrollee’s estate as parties to an appeal.</t>
  </si>
  <si>
    <t>I.H.6.08</t>
  </si>
  <si>
    <t>42 CFR 438.410(a)</t>
  </si>
  <si>
    <t>The contract requires the MCP to establish and maintain an expedited review process for appeals, when the MCP determines (for a request from the enrollee) or when the provider indicates (in making the request on the enrollee's behalf or supporting the enrollee's request) that taking the time for a standard resolution could seriously jeopardize the enrollee's life, physical or mental health, or ability to attain, maintain, or regain maximum function.</t>
  </si>
  <si>
    <t>I.H.6.09</t>
  </si>
  <si>
    <t xml:space="preserve">42 CFR 438.406(b)(4); 42 CFR 438.408(b); 42 CFR 438.408(c) </t>
  </si>
  <si>
    <t>The contract requires the MCP to inform enrollees of the limited time available to present evidence and testimony, in person and in writing, and make legal and factual arguments in the case of an expedited appeal resolution. The MCP must inform enrollees of this sufficiently in advance of the resolution timeframe for appeals.</t>
  </si>
  <si>
    <t>I.H.6.10</t>
  </si>
  <si>
    <t>42 CFR 438.410(c); 42 CFR 438.408(b)(2); 42 CFR 438.408(c)(2)</t>
  </si>
  <si>
    <t>The contract requires that if the MCP denies a request for expedited resolution of an appeal, it must transfer the appeal to the standard timeframe of no longer than 30 calendar days from the day the MCP receives the appeal (with a possible 14-day extension).</t>
  </si>
  <si>
    <t>I.H.7.01</t>
  </si>
  <si>
    <t>42 CFR 438.408(a); 42 CFR 438.408(b)(2)</t>
  </si>
  <si>
    <t>The contract requires the MCP to resolve each appeal and provide notice, as expeditiously as the enrollee’s health condition requires, within state-established timeframes not to exceed 30 calendar days from the day the MCP receives the appeal.</t>
  </si>
  <si>
    <r>
      <t>I.H.7.02</t>
    </r>
    <r>
      <rPr>
        <sz val="10"/>
        <color theme="1"/>
        <rFont val="Aptos Narrow"/>
        <family val="2"/>
      </rPr>
      <t>–</t>
    </r>
    <r>
      <rPr>
        <sz val="10"/>
        <color theme="1"/>
        <rFont val="Arial"/>
        <family val="2"/>
      </rPr>
      <t>03</t>
    </r>
  </si>
  <si>
    <t>42 CFR 438.408(c)(1); 42 CFR 438.408(b)(2)</t>
  </si>
  <si>
    <t>The contract provides that the MCP may extend the timeframe for processing an appeal by up to 14 calendar days if the enrollee requests the extension or if the MCP shows that there is need for additional information and that the delay is in the enrollee's interest (upon state request).</t>
  </si>
  <si>
    <t>I.H.7.04</t>
  </si>
  <si>
    <t>42 CFR 438.408(c)(2)(i); 42 CFR 438.408(b)(2)</t>
  </si>
  <si>
    <t>The contract specifies that if the MCP extends the timeline for an appeal not at the request of the enrollee, it must make reasonable efforts to give the enrollee prompt oral notice of the delay.</t>
  </si>
  <si>
    <t>I.H.7.05</t>
  </si>
  <si>
    <t>42 CFR 438.408(c)(2)(ii); 42 CFR 438.408(b)(2)</t>
  </si>
  <si>
    <t>The contract specifies that if the MCP extends the timeline for an appeal not at the request of the enrollee, it must give the enrollee written notice, within two calendar days, of the reason for the decision to extend the timeframe and inform the enrollee of the right to file a grievance if he or she disagrees with that decision.</t>
  </si>
  <si>
    <t>I.H.7.06</t>
  </si>
  <si>
    <t>42 CFR 438.408(c)(2)(iii); 42 CFR 438.408(b)(2)</t>
  </si>
  <si>
    <t>The contract specifies that if the MCP extends the timeline for an appeal not at the request of the enrollee, it must resolve the appeal as expeditiously as the enrollee's health condition requires and no later than the date the extension expires.</t>
  </si>
  <si>
    <t>I.H.7.07</t>
  </si>
  <si>
    <t>42 CFR 438.408(a); 42 CFR 438.408(b)(3)</t>
  </si>
  <si>
    <t>The contract requires the MCP to resolve each expedited appeal and provide notice, as expeditiously as the enrollee’s health condition requires, within state-established timeframes not to exceed 72 hours after the MCP receives the expedited appeal request.</t>
  </si>
  <si>
    <r>
      <t>I.H.7.08</t>
    </r>
    <r>
      <rPr>
        <sz val="10"/>
        <color theme="1"/>
        <rFont val="Aptos Narrow"/>
        <family val="2"/>
      </rPr>
      <t>–</t>
    </r>
    <r>
      <rPr>
        <sz val="10"/>
        <color theme="1"/>
        <rFont val="Arial"/>
        <family val="2"/>
      </rPr>
      <t>09</t>
    </r>
  </si>
  <si>
    <r>
      <t>42 CFR 438.408(c)(1)(i)</t>
    </r>
    <r>
      <rPr>
        <sz val="10"/>
        <color theme="1"/>
        <rFont val="Aptos Narrow"/>
        <family val="2"/>
      </rPr>
      <t>–</t>
    </r>
    <r>
      <rPr>
        <sz val="10"/>
        <color theme="1"/>
        <rFont val="Arial"/>
        <family val="2"/>
      </rPr>
      <t>(ii); 42 CFR 438.408(b)(3))</t>
    </r>
  </si>
  <si>
    <t>The contract provides that the MCP may extend the timeframe for processing an expedited appeal by up to 14 calendar days if the MCP shows (to the satisfaction of the state agency upon its request) that there is need for additional information and that the delay is in the enrollee’s interest.</t>
  </si>
  <si>
    <t>I.H.7.10</t>
  </si>
  <si>
    <t>42 CFR 438.408(c)(2)(i); 42 CFR 438.408(b)(3)</t>
  </si>
  <si>
    <t>The contract requires that if the MCP extends the timeline for processing an expedited appeal not at the request of the enrollee, it must make reasonable efforts to give the enrollee prompt oral notice of the delay.</t>
  </si>
  <si>
    <t>I.H.7.11</t>
  </si>
  <si>
    <t>42 CFR 438.408(c)(2)(ii); 42 CFR 438.408(b)(3)</t>
  </si>
  <si>
    <t>The contract requires that if the MCP extends the timeline for processing an expedited appeal not at the request of the enrollee, it must give the enrollee written notice, within 2 calendar days, of the reason for the decision to extend the timeframe and inform the enrollee of the right to file a grievance if he or she disagrees with that decision.</t>
  </si>
  <si>
    <t>I.H.7.12</t>
  </si>
  <si>
    <t>42 CFR 438.408(c)(2)(iii); 42 CFR 438.408(b)(3)</t>
  </si>
  <si>
    <t>The contract requires that if the MCP extends the timeline for processing an expedited appeal not at the request of the enrollee, it must resolve the appeal as expeditiously as the enrollee's health condition requires and no later than the date the extension expires.</t>
  </si>
  <si>
    <r>
      <t>I.H.8.01</t>
    </r>
    <r>
      <rPr>
        <sz val="10"/>
        <color theme="1"/>
        <rFont val="Aptos Narrow"/>
        <family val="2"/>
      </rPr>
      <t>–</t>
    </r>
    <r>
      <rPr>
        <sz val="10"/>
        <color theme="1"/>
        <rFont val="Arial"/>
        <family val="2"/>
      </rPr>
      <t>04</t>
    </r>
  </si>
  <si>
    <r>
      <t>42 CFR 438.408(d)(2)(i); 42 CFR 438.408(e)(1)</t>
    </r>
    <r>
      <rPr>
        <sz val="10"/>
        <color theme="1"/>
        <rFont val="Aptos Narrow"/>
        <family val="2"/>
      </rPr>
      <t>–</t>
    </r>
    <r>
      <rPr>
        <sz val="10"/>
        <color theme="1"/>
        <rFont val="Arial"/>
        <family val="2"/>
      </rPr>
      <t>(2); 42 CFR 438.10</t>
    </r>
  </si>
  <si>
    <t>The contract requires that the MCP provide written notice of the resolution of the appeals process in a format and language that, at a minimum, meets applicable notification standards and includes results of the appeal resolution; date of the appeal resolution; and for appeal decisions not wholly in the enrollee’s favor:
• The right to request a state fair hearing.
• How to request a state fair hearing.
• The right to request and receive benefits pending a hearing.
• How to request the continuation of benefits.
• Notice that the enrollee may, consistent with state policy, be liable for the cost of any continued benefits if the MCP’s adverse benefit determination is upheld in the hearing.</t>
  </si>
  <si>
    <t>I.H.8.05</t>
  </si>
  <si>
    <t>42 CFR 438.408(d)(2)(ii)</t>
  </si>
  <si>
    <t xml:space="preserve">The contract requires the MCP to provide written notice, and make reasonable efforts to provide oral notice, of the resolution of an expedited appeal. </t>
  </si>
  <si>
    <t>I.H.9.01</t>
  </si>
  <si>
    <r>
      <t>42 CFR 438.420(a); 42 CFR 438.420(b)(1)</t>
    </r>
    <r>
      <rPr>
        <sz val="10"/>
        <color theme="1"/>
        <rFont val="Aptos Narrow"/>
        <family val="2"/>
      </rPr>
      <t>–</t>
    </r>
    <r>
      <rPr>
        <sz val="10"/>
        <color theme="1"/>
        <rFont val="Arial"/>
        <family val="2"/>
      </rPr>
      <t>(5); 42 CFR 438.402(c)(2)(ii)</t>
    </r>
  </si>
  <si>
    <t>The contract requires that the MCP continue the enrollee's benefits while an appeal is in process if all of the following occur:
• The enrollee files the request for an appeal within 60 calendar days following the date on the adverse benefit determination notice.
• The appeal involves the termination, suspension, or reduction of a previously authorized service.
• The enrollee’s services were ordered by an authorized provider.
• The period covered by the original authorization has not expired.
• The request for continuation of benefits is filed on or before the later of the following: within 10 calendar days of the MCP sending the notice of adverse benefit determination or the intended effective date of the MCP’s proposed adverse benefit determination.</t>
  </si>
  <si>
    <t>I.H.9.02</t>
  </si>
  <si>
    <r>
      <t>42 CFR 438.420(c)(1)</t>
    </r>
    <r>
      <rPr>
        <sz val="10"/>
        <color theme="1"/>
        <rFont val="Aptos Narrow"/>
        <family val="2"/>
      </rPr>
      <t>–</t>
    </r>
    <r>
      <rPr>
        <sz val="10"/>
        <color theme="1"/>
        <rFont val="Arial"/>
        <family val="2"/>
      </rPr>
      <t>(3); 42 CFR 438.408(d)(2)</t>
    </r>
  </si>
  <si>
    <t>The contract requires that if, at the enrollee's request, the MCP continues or reinstates the enrollee's benefits while the appeal or state fair hearing is pending, the benefits must be continued until one of the following occurs: 
• The enrollee withdraws the appeal or request for state fair hearing.
• The enrollee does not request a state fair hearing and continuation of benefits within 10 calendar days from the date the MCP sends the notice of an adverse appeal resolution.
• A state fair hearing decision adverse to the enrollee is issued.</t>
  </si>
  <si>
    <t>I.H.9.03</t>
  </si>
  <si>
    <t>42 CFR 438.420(d); 42 CFR 431.230(b)</t>
  </si>
  <si>
    <t>The contract provides that the MCP may, consistent with the state's usual policy on recoveries and as specified in the MCP's contract, recover the cost of continued services furnished to the enrollee while the appeal or state fair hearing was pending if the final resolution of the appeal or state fair hearing upholds the MCP’s adverse benefit determination.</t>
  </si>
  <si>
    <t>I.H.9.04</t>
  </si>
  <si>
    <t>42 CFR 438.424(a)</t>
  </si>
  <si>
    <t>The contract requires the MCP to authorize or provide the disputed services promptly, and as expeditiously as the enrollee's health condition requires (but no later than 72 hours from the date it receives notice reversing the determination) if the services were not furnished while the appeal was pending and if the MCP or state fair hearing officer reverses a decision to deny, limit, or delay services.</t>
  </si>
  <si>
    <t>I.H.9.05</t>
  </si>
  <si>
    <t>42 CFR 438.424(b)</t>
  </si>
  <si>
    <t>The contract requires the MCP to pay for disputed services received by the enrollee while the appeal was pending, unless state policy and regulations provide for the state to cover the cost of such services when the MCP or state fair hearing officer reverses a decision to deny authorization of the services.</t>
  </si>
  <si>
    <t>I.H.9.06</t>
  </si>
  <si>
    <t>42 CFR 438.10(c); 42 CFR 438.404</t>
  </si>
  <si>
    <t>The contract requires that the MCP notify the requesting provider and give the enrollee written notice of any decision to deny a service authorization request, or to authorize a service in an amount, duration, or scope that is less than requested.</t>
  </si>
  <si>
    <t>I.H.10.01</t>
  </si>
  <si>
    <t>42 CFR 438.402(c)(2)(i)</t>
  </si>
  <si>
    <t>The contract specifies that an enrollee may file a grievance with an MCP at any time.</t>
  </si>
  <si>
    <t>I.H.10.02</t>
  </si>
  <si>
    <t>42 CFR 438.402(c)(3)(i)</t>
  </si>
  <si>
    <t>The contract specifies that an enrollee may file a grievance either orally or in writing.</t>
  </si>
  <si>
    <t>I.H.10.03</t>
  </si>
  <si>
    <t xml:space="preserve">The contract specifies whether enrollees may file grievances only with the MCP or if the enrollee can also file a grievance directly with the state. </t>
  </si>
  <si>
    <t>I.H.10.04</t>
  </si>
  <si>
    <t>42 CFR 438.408(a); 42 CFR 438.408(b)(1)</t>
  </si>
  <si>
    <t>The contract requires that the MCP resolve each grievance and provide notice, as expeditiously as the enrollee’s health condition requires, within state-established timeframes not to exceed 90 calendar days from the day the MCP receives the grievance.</t>
  </si>
  <si>
    <t>I.H.10.05</t>
  </si>
  <si>
    <t>42 CFR 438.408(c)(1)(i); 42 CFR 438.408(b)(1)</t>
  </si>
  <si>
    <t>The contract provides that the MCP may extend the timeframe for processing a grievance by up to 14 calendar days if the enrollee requests the extension.</t>
  </si>
  <si>
    <t>I.H.10.06</t>
  </si>
  <si>
    <t>42 CFR 438.408(c)(1)(ii); 42 CFR 438.408(b)(1)</t>
  </si>
  <si>
    <t>The contract provides that the MCP may extend the timeframe for processing a grievance by up to 14 calendar days if the MCP shows that there is need for additional information and that the delay is in the enrollee’s interest (upon state request).</t>
  </si>
  <si>
    <t>I.H.10.07</t>
  </si>
  <si>
    <t>42 CFR 438.408(c)(2)(i); 42 CFR 438.408(b)(1)</t>
  </si>
  <si>
    <t>The contract provides that if the MCP extends the timeline for a grievance not at the request of the enrollee, it must make reasonable efforts to give the enrollee prompt oral notice of the delay.</t>
  </si>
  <si>
    <t>I.H.10.08</t>
  </si>
  <si>
    <t>42 CFR 438.408(c)(2)(ii); 42 CFR 438.408(b)(1)</t>
  </si>
  <si>
    <t>The contract provides that if the MCP extends the timeline for a grievance not at the request of the enrollee, it must give the enrollee written notice, within 2 calendar days, of the reason for the decision to extend the timeframe and inform the enrollee of the right to file a grievance if he or she disagrees with that decision.</t>
  </si>
  <si>
    <t>I.H.10.09</t>
  </si>
  <si>
    <t>42 CFR 438.408(d)(1); 42 CFR 438.10</t>
  </si>
  <si>
    <t>The contract specifies the state-established method that the MCP will use to notify an enrollee of the resolution of a grievance in a format and language that, at a minimum, meets applicable notification standards.</t>
  </si>
  <si>
    <t>I.H.11.01</t>
  </si>
  <si>
    <t>42 CFR 438.416(a)</t>
  </si>
  <si>
    <t>The contract requires that the MCP maintain records of grievances and appeals.</t>
  </si>
  <si>
    <t>I.H.11.02</t>
  </si>
  <si>
    <t xml:space="preserve">42 CFR 438.416(b)(1) </t>
  </si>
  <si>
    <t>The contract requires that the MCP's record of each grievance or appeal include a general description of the reason for the appeal or grievance.</t>
  </si>
  <si>
    <t>I.H.11.03</t>
  </si>
  <si>
    <t xml:space="preserve">42 CFR 438.416(b)(2) </t>
  </si>
  <si>
    <t>The contract requires that the MCP's record of each grievance or appeal include the date received.</t>
  </si>
  <si>
    <t>I.H.11.04</t>
  </si>
  <si>
    <t xml:space="preserve">42 CFR 438.416(b)(3) </t>
  </si>
  <si>
    <t>The contract requires that the MCP's record of each grievance or appeal include the date of each review or, if applicable, review meeting.</t>
  </si>
  <si>
    <t>I.H.11.05</t>
  </si>
  <si>
    <t xml:space="preserve">42 CFR 438.416(b)(4) </t>
  </si>
  <si>
    <t>The contract requires that the MCP's record of each grievance or appeal include resolution information for each level of the appeal or grievance, if applicable.</t>
  </si>
  <si>
    <t>I.H.11.06</t>
  </si>
  <si>
    <t xml:space="preserve">42 CFR 438.416(b)(5) </t>
  </si>
  <si>
    <t>The contract requires that the MCP's record of each grievance or appeal include the date of resolution at each level, if applicable.</t>
  </si>
  <si>
    <t>I.H.11.07</t>
  </si>
  <si>
    <t xml:space="preserve">42 CFR 438.416(b)(6) </t>
  </si>
  <si>
    <t>The contract requires that the MCP's record of each grievance or appeal include the name of the covered person for whom the appeal or grievance was filed.</t>
  </si>
  <si>
    <t>I.H.11.08</t>
  </si>
  <si>
    <t>42 CFR 438.416(c)</t>
  </si>
  <si>
    <t xml:space="preserve">The contract requires that the MCP's record of each grievance or appeal be accurately maintained in a manner accessible to the state and available upon request to CMS. </t>
  </si>
  <si>
    <t>Pursuant to 42 CFR 438.56(d)(5)(iii), the contract provides that if, as a result of the grievance process the MCP approves a disenrollment request, the state agency is not required to make a determination.</t>
  </si>
  <si>
    <t>If the contract clearly specifies that the enrollee will receive a notice of adverse benefit determination when payment for a service has been denied, then the contract also meets the requirement in 42 CFR 438.915(b), which requires the MCP to make available to the enrollee the reason for any denial by the MCP of reimbursement or payment for services for mental health or substance use disorder benefits to the enrollee. If the contract does not clearly provide this, then follow up is required to include this language.</t>
  </si>
  <si>
    <t>Pursuant to 42 CFR 438.408(c), the MCP may extend the 14 calendar day service authorization notice timeframe by up to 14 additional calendar days if the enrollee or provider requests extension, or if the MCP justifies (to the state agency upon request) a need for additional information and how the extension is in the enrollee's interest.</t>
  </si>
  <si>
    <t>Pursuant to 42 CFR 438.404(c)(5), untimely service authorizations constitute a denial and are considered adverse benefit determinations.</t>
  </si>
  <si>
    <t>An "N/A" selection is appropriate when the state does not offer or arrange for external medical reviews under 42 CFR 438.402(c)(1)(i)(B).</t>
  </si>
  <si>
    <t>Pursuant to 42 CFR 438.406(b)(3), oral inquiries seeking to appeal an adverse benefit determination are treated as appeals in order to establish the earliest possible filing date for the appeal.</t>
  </si>
  <si>
    <t>Pursuant to 438.408(b)(2), for standard resolution of an appeal and notice to the affected parties, the state must establish a timeframe that is no longer than 30 calendar days from the day the MCP receives the appeal. Pursuant to 438.408(b)(3), for expedited resolution of an appeal and notice to affected parties, the state must establish a timeframe that is no longer than 72 hours after the MCP receives the appeal.</t>
  </si>
  <si>
    <t>Refer to Beneficiary Notification (Tab C) for further detail regarding the notification requirements at 42 CFR 438.408(d)(2)(i).</t>
  </si>
  <si>
    <t>Refer to Beneficiary Notification (Tab C) for further detail regarding the notification requirements at 42 CFR 438.408(d)(1).</t>
  </si>
  <si>
    <t xml:space="preserve"> Subpart I -  Program Integrity</t>
  </si>
  <si>
    <t>I.I.1 Exclusions; I.I.2 Requirements, Procedures, and Reporting; I.I.3 Disclosure</t>
  </si>
  <si>
    <r>
      <t>I.I.1.01</t>
    </r>
    <r>
      <rPr>
        <sz val="10"/>
        <color theme="1"/>
        <rFont val="Aptos Narrow"/>
        <family val="2"/>
      </rPr>
      <t>–</t>
    </r>
    <r>
      <rPr>
        <sz val="10"/>
        <color theme="1"/>
        <rFont val="Arial"/>
        <family val="2"/>
      </rPr>
      <t>09; I.I.2.17</t>
    </r>
    <r>
      <rPr>
        <sz val="10"/>
        <color theme="1"/>
        <rFont val="Aptos Narrow"/>
        <family val="2"/>
      </rPr>
      <t>–</t>
    </r>
    <r>
      <rPr>
        <sz val="10"/>
        <color theme="1"/>
        <rFont val="Arial"/>
        <family val="2"/>
      </rPr>
      <t>37 and 41; I.I.3.01</t>
    </r>
    <r>
      <rPr>
        <sz val="10"/>
        <color theme="1"/>
        <rFont val="Aptos Narrow"/>
        <family val="2"/>
      </rPr>
      <t>–</t>
    </r>
    <r>
      <rPr>
        <sz val="10"/>
        <color theme="1"/>
        <rFont val="Arial"/>
        <family val="2"/>
      </rPr>
      <t>03</t>
    </r>
  </si>
  <si>
    <r>
      <t>Sections 1124(a)(2)(A), 1903(i)(2), and 1903(m)(2)(A)(viii) of the Act; 42 CFR 438.214(d)(1)</t>
    </r>
    <r>
      <rPr>
        <sz val="10"/>
        <color theme="1"/>
        <rFont val="Aptos Narrow"/>
        <family val="2"/>
      </rPr>
      <t>–</t>
    </r>
    <r>
      <rPr>
        <sz val="10"/>
        <color theme="1"/>
        <rFont val="Arial"/>
        <family val="2"/>
      </rPr>
      <t>(2); 42 CFR 438.808(a); 42 CFR 438.808(b)(1)</t>
    </r>
    <r>
      <rPr>
        <sz val="10"/>
        <color theme="1"/>
        <rFont val="Aptos Narrow"/>
        <family val="2"/>
      </rPr>
      <t>–</t>
    </r>
    <r>
      <rPr>
        <sz val="10"/>
        <color theme="1"/>
        <rFont val="Arial"/>
        <family val="2"/>
      </rPr>
      <t>(3); 42 CFR 431.55(h); 42 CFR 1001.1901(c); 42 CFR 1002.3(b)(3); 42 CFR 438.608(c)(2); 42 CFR 455.100</t>
    </r>
    <r>
      <rPr>
        <sz val="10"/>
        <color theme="1"/>
        <rFont val="Aptos Narrow"/>
        <family val="2"/>
      </rPr>
      <t>–</t>
    </r>
    <r>
      <rPr>
        <sz val="10"/>
        <color theme="1"/>
        <rFont val="Arial"/>
        <family val="2"/>
      </rPr>
      <t>104; SMD #08-003; SMD #09-001; Exec. Order No. 12549; 42 CFR 438.610(a)</t>
    </r>
    <r>
      <rPr>
        <sz val="10"/>
        <color theme="1"/>
        <rFont val="Aptos Narrow"/>
        <family val="2"/>
      </rPr>
      <t>–</t>
    </r>
    <r>
      <rPr>
        <sz val="10"/>
        <color theme="1"/>
        <rFont val="Arial"/>
        <family val="2"/>
      </rPr>
      <t>(b)</t>
    </r>
  </si>
  <si>
    <t xml:space="preserve">The contract prohibits the MCP from knowingly having a relationship with any individual or entity (or is affiliated with a person/entity) that is debarred, suspended, or otherwise excluded from participation and requires written disclosures in accordance with Sections 1903(i)(2), 1124(a)(2)(A), and 1903(m)(2)(A)(viii) of the Act, and regulatory requirements including 42 CFR 438.214, 438.608, 438.610, and 438.808. </t>
  </si>
  <si>
    <t>1, 2, 3, 4, 5, 6, 7, 12</t>
  </si>
  <si>
    <r>
      <t>I.I.2.01</t>
    </r>
    <r>
      <rPr>
        <sz val="10"/>
        <color theme="1"/>
        <rFont val="Aptos Narrow"/>
        <family val="2"/>
      </rPr>
      <t>–</t>
    </r>
    <r>
      <rPr>
        <sz val="10"/>
        <color theme="1"/>
        <rFont val="Arial"/>
        <family val="2"/>
      </rPr>
      <t>14</t>
    </r>
  </si>
  <si>
    <r>
      <t>42 CFR 438.604(a)(1)</t>
    </r>
    <r>
      <rPr>
        <sz val="10"/>
        <color theme="1"/>
        <rFont val="Aptos Narrow"/>
        <family val="2"/>
      </rPr>
      <t>–</t>
    </r>
    <r>
      <rPr>
        <sz val="10"/>
        <color theme="1"/>
        <rFont val="Arial"/>
        <family val="2"/>
      </rPr>
      <t xml:space="preserve">(6); 42 CFR 438.604(b); 42 CFR 438.606; 42 CFR 438.818          </t>
    </r>
  </si>
  <si>
    <t xml:space="preserve">The contract requires the MCP to submit encounter data consistent with federal requirements including 42 CFR 438.604. </t>
  </si>
  <si>
    <t>8,9</t>
  </si>
  <si>
    <t>I.I.2.15</t>
  </si>
  <si>
    <t>42 CFR 438.604; 42 CFR 438.606(a)</t>
  </si>
  <si>
    <t xml:space="preserve">The contract requires that data, documentation, or information submitted to the state by the MCP are certified by one of the following:
• The MCP’s Chief Executive Officer (CEO).
• The MCP’s Chief Financial Officer (CFO).
• An individual who reports directly to the CEO or CFO with delegated authority to sign for the CEO or CFO so that the CEO or CFO is ultimately responsible for the certification. 
</t>
  </si>
  <si>
    <t>I.I.2.16</t>
  </si>
  <si>
    <r>
      <t>42 CFR 438.606(c); 42 CFR 438.604(a)</t>
    </r>
    <r>
      <rPr>
        <sz val="10"/>
        <color theme="1"/>
        <rFont val="Aptos Narrow"/>
        <family val="2"/>
      </rPr>
      <t>–</t>
    </r>
    <r>
      <rPr>
        <sz val="10"/>
        <color theme="1"/>
        <rFont val="Arial"/>
        <family val="2"/>
      </rPr>
      <t>(b)</t>
    </r>
  </si>
  <si>
    <t xml:space="preserve">The contract requires the MCP to submit certification concurrently with the submission of data, documentation, or information. </t>
  </si>
  <si>
    <t>I.I.2.38</t>
  </si>
  <si>
    <r>
      <t>42 CFR 438.608(b); 42 CFR 455.100</t>
    </r>
    <r>
      <rPr>
        <sz val="10"/>
        <color theme="1"/>
        <rFont val="Aptos Narrow"/>
        <family val="2"/>
      </rPr>
      <t>–</t>
    </r>
    <r>
      <rPr>
        <sz val="10"/>
        <color theme="1"/>
        <rFont val="Arial"/>
        <family val="2"/>
      </rPr>
      <t>106; 42 CFR 455.400</t>
    </r>
    <r>
      <rPr>
        <sz val="10"/>
        <color theme="1"/>
        <rFont val="Aptos Narrow"/>
        <family val="2"/>
      </rPr>
      <t>–</t>
    </r>
    <r>
      <rPr>
        <sz val="10"/>
        <color theme="1"/>
        <rFont val="Arial"/>
        <family val="2"/>
      </rPr>
      <t>470</t>
    </r>
  </si>
  <si>
    <t xml:space="preserve">The contract requires the MCP to ensure that all network providers are enrolled with the state as Medicaid providers consistent with provider disclosure, screening, and enrollment requirements. </t>
  </si>
  <si>
    <t>10, 11</t>
  </si>
  <si>
    <t>I.I.2.39</t>
  </si>
  <si>
    <t>42 CFR 438.608(c)(3)</t>
  </si>
  <si>
    <t xml:space="preserve">The contract requires the MCP and any subcontractor to report to the state within 60 calendar days when it has identified capitation payments or other payments in excess of amounts specified in the contract. </t>
  </si>
  <si>
    <t>I.I.2.40</t>
  </si>
  <si>
    <t>42 CFR 438.3(m)</t>
  </si>
  <si>
    <t xml:space="preserve">The contract requires the MCP to submit audited financial reports specific to the Medicaid contract on an annual basis. The audit must be conducted in accordance with generally accepted accounting principles and generally accepted auditing standards. </t>
  </si>
  <si>
    <t>I.I.2.41</t>
  </si>
  <si>
    <t>42 CFR 438.214(d)(2)</t>
  </si>
  <si>
    <t>The contract requires that the MCP terminate any providers of services or persons terminated [as described in section 1902(kk)(8) of the Social Security Act] under Title XIX, Title XVIII, or Title XXI from participating as a provider in any network.</t>
  </si>
  <si>
    <t>I.I.4.01</t>
  </si>
  <si>
    <t>Sections 1903(m)(4)(A) and 1318(b) of the Act</t>
  </si>
  <si>
    <t>The contract requires the MCP to report to the state and, upon request, to the Secretary of the Department of Health &amp; Human Services (DHHS), the Inspector General of the DHHS, and the Comptroller General a description of transactions between the MCP and a party in interest (as defined in section 1318(b) of such Act), including the following transactions: (i) Any sale or exchange, or leasing of any property between the MCP and such a party; (ii) Any furnishing for consideration of goods, services (including management services), or facilities between the MCP and such a party, but not including salaries paid to employees for services provided in the normal course of their employment; (iii) Any lending of money or other extension of credit between the MCP and such a party.</t>
  </si>
  <si>
    <t>I.I.5.01</t>
  </si>
  <si>
    <t xml:space="preserve">42 CFR 438.608(a); 42 CFR 438.608(a)(1)(i) </t>
  </si>
  <si>
    <t>The contract requires the MCP or subcontractor, to the extent that the subcontractor is delegated responsibility by the MCP for coverage of services and payment of claims under the contract between the state and the MCP, to implement and maintain a compliance program that must include written policies, procedures, and standards of conduct that articulate the organization's commitment to comply with all applicable requirements and standards under the contract, and all applicable federal and state requirements.</t>
  </si>
  <si>
    <t>I.I.5.02</t>
  </si>
  <si>
    <t xml:space="preserve">42 CFR 438.608(a); 42 CFR 438.608(a)(1)(ii) </t>
  </si>
  <si>
    <t xml:space="preserve">The contract requires the MCP or subcontractor, to the extent that the subcontractor is delegated responsibility by the MCP for coverage of services and payment of claims under the contract between the state and the MCP, to implement and maintain a compliance program that must include a Compliance Officer (CO) who is responsible for developing and implementing policies, procedures, and practices designed to ensure compliance with the requirements of the contract and who reports directly to the CEO and the Board of Directors (BoD). </t>
  </si>
  <si>
    <t>I.I.5.03</t>
  </si>
  <si>
    <t xml:space="preserve">42 CFR 438.608(a); 42 CFR 438.608(a)(1)(iii) </t>
  </si>
  <si>
    <t>The contract requires the MCP or subcontractor, to the extent that the subcontractor is delegated responsibility by the MCP for coverage of services and payment of claims under the contract between the state and the MCP, to implement and maintain a compliance program that must include a Regulatory Compliance Committee (RCC) on the BoD and at the senior management level charged with overseeing the organization's compliance program and its compliance with the requirements under the contract.</t>
  </si>
  <si>
    <t>I.I.5.04</t>
  </si>
  <si>
    <t xml:space="preserve">42 CFR 438.608(a); 42 CFR 438.608(a)(1)(iv) </t>
  </si>
  <si>
    <t>The contract requires the MCP or subcontractor, to the extent that the subcontractor is delegated responsibility by the MCP for coverage of services and payment of claims under the contract between the state and the MCP, to implement and maintain a compliance program that must include a system for training and education for the CO, the organization's senior management, and the organization's employees for the federal and state standards and requirements under the contract.</t>
  </si>
  <si>
    <t>I.I.5.05</t>
  </si>
  <si>
    <t xml:space="preserve">42 CFR 438.608(a); 42 CFR 438.608(a)(1)(v) </t>
  </si>
  <si>
    <t>The contract requires the MCP or subcontractor, to the extent that the subcontractor is delegated responsibility by the MCP for coverage of services and payment of claims under the contract between the state and the MCP, to implement and maintain a compliance program that must include effective lines of communication between the CO and the organization's employees.</t>
  </si>
  <si>
    <t>I.I.5.06</t>
  </si>
  <si>
    <t xml:space="preserve">42 CFR 438.608(a); 42 CFR 438.608(a)(1)(vi) </t>
  </si>
  <si>
    <t xml:space="preserve">The contract requires the MCP or subcontractor, to the extent that the subcontractor is delegated responsibility by the MCP for coverage of services and payment of claims under the contract between the state and the MCP, to implement and maintain a compliance program that must include enforcement of standards through well-publicized disciplinary guidelines. </t>
  </si>
  <si>
    <t>I.I.5.07</t>
  </si>
  <si>
    <t xml:space="preserve">42 CFR 438.608(a); 42 CFR 438.608(a)(1)(vii) </t>
  </si>
  <si>
    <t>The contract requires the MCP or subcontractor, to the extent that the subcontractor is delegated responsibility by the MCP for coverage of services and payment of claims under the contract between the state and the MCP, to implement and maintain a compliance program that must include the establishment and implementation of procedures and a system with dedicated staff for routine internal monitoring and auditing of compliance risks, prompt response to compliance issues as they are raised, investigation of potential compliance problems as identified in the course of self-evaluation and audits, correction of such problems promptly and thoroughly (or coordination of suspected criminal acts with law enforcement agencies) to reduce the potential for recurrence, and ongoing compliance with the requirements under the contract.</t>
  </si>
  <si>
    <t>I.I.5.08</t>
  </si>
  <si>
    <t>42 CFR 438.608(a)(2)</t>
  </si>
  <si>
    <t xml:space="preserve">The contract requires the MCP or subcontractor, to the extent that the subcontractor is delegated responsibility by the MCP for coverage of services and payment of claims under the contract between the state and the MCP, to implement and maintain arrangements or procedures for reporting of all overpayments identified or recovered, specifying the overpayments due to potential fraud, to the state. </t>
  </si>
  <si>
    <t xml:space="preserve">The contract requires the MCP or subcontractor, to the extent that the subcontractor is delegated responsibility by the MCP for coverage of services and payment of claims under the contract between the state and the MCP, to implement and maintain arrangements or procedures for reporting within 30 calendar days of all overpayments identified or recovered, specifying the overpayments due to potential fraud, to the state. </t>
  </si>
  <si>
    <r>
      <t>I.I.5.09</t>
    </r>
    <r>
      <rPr>
        <sz val="10"/>
        <color theme="1"/>
        <rFont val="Aptos Narrow"/>
        <family val="2"/>
      </rPr>
      <t>–</t>
    </r>
    <r>
      <rPr>
        <sz val="10"/>
        <color theme="1"/>
        <rFont val="Arial"/>
        <family val="2"/>
      </rPr>
      <t>10</t>
    </r>
  </si>
  <si>
    <t>42 CFR 438.608(a)(3)</t>
  </si>
  <si>
    <t>The contract requires the MCP or subcontractor, to the extent that the subcontractor is delegated responsibility by the MCP for coverage of services and payment of claims under the contract between the state and the MCP, to implement and maintain arrangements or procedures for prompt notification to the state when it receives information about changes in an enrollee's circumstances that may affect the enrollee's eligibility including changes in the enrollee's residence or the death of an enrollee.</t>
  </si>
  <si>
    <r>
      <t>I.I.5.11 and 14</t>
    </r>
    <r>
      <rPr>
        <sz val="10"/>
        <color theme="1"/>
        <rFont val="Aptos Narrow"/>
        <family val="2"/>
      </rPr>
      <t>–</t>
    </r>
    <r>
      <rPr>
        <sz val="10"/>
        <color theme="1"/>
        <rFont val="Arial"/>
        <family val="2"/>
      </rPr>
      <t>15</t>
    </r>
  </si>
  <si>
    <t>42 CFR 438.608(a)(4); 42 CFR 438.608(a)(7); 42 CFR 438.608(a)(8); 42 CFR 455.23</t>
  </si>
  <si>
    <t xml:space="preserve">The contract requires the MCP or subcontractor, to the extent that the subcontractor is delegated responsibility by the MCP for coverage of services and payment of claims under the contract between the state and the MCP, to implement and maintain arrangements or procedures for: (1) notification to the state when it receives information about a change in a network provider's circumstances that may affect the network provider's eligibility to participate in the managed care program, including the termination of the provider agreement with the MCP; (2) the prompt referral of any potential fraud, waste, or abuse that the MCP identifies to the state Medicaid program integrity unit or any potential fraud directly to the state's Medicaid Fraud Control Unit (MFCU); and (3) the MCP's suspension of payments to a network provider for which the state determines there is a credible allegation of fraud. </t>
  </si>
  <si>
    <t>I.I.5.12</t>
  </si>
  <si>
    <t>42 CFR 438.608(a)(5)</t>
  </si>
  <si>
    <t>The contract requires the MCP or subcontractor, to the extent that the subcontractor is delegated responsibility by the MCP for coverage of services and payment of claims under the contract between the state and the MCP, to implement and maintain arrangements or procedures that include provisions to verify, by sampling or other methods, whether services that have been represented to have been delivered by network providers were received by enrollees and the application of such verification processes on a regular basis.</t>
  </si>
  <si>
    <t>I.I.5.13</t>
  </si>
  <si>
    <t>Section 1902(a)(68) of the Act; 42 CFR 438.608(a)(6)</t>
  </si>
  <si>
    <t xml:space="preserve">For MCPs that make or receive annual payments under the contract of at least $5,000,000, the contract requires the MCP or subcontractor, to the extent that the subcontractor is delegated responsibility by the MCP for coverage of services and payment of claims under the contract between the state and the MCP, to implement and maintain written policies for all employees of the entity, and of any contractor or agent, that provide detailed information about the False Claims Act (FCA) and other federal and state laws, including information about rights of employees to be protected as whistleblowers. </t>
  </si>
  <si>
    <r>
      <t>I.I.6.01</t>
    </r>
    <r>
      <rPr>
        <sz val="10"/>
        <color theme="1"/>
        <rFont val="Aptos Narrow"/>
        <family val="2"/>
      </rPr>
      <t>–</t>
    </r>
    <r>
      <rPr>
        <sz val="10"/>
        <color theme="1"/>
        <rFont val="Arial"/>
        <family val="2"/>
      </rPr>
      <t>03</t>
    </r>
  </si>
  <si>
    <r>
      <t>42 CFR 438.608(d)(1)(i)</t>
    </r>
    <r>
      <rPr>
        <sz val="10"/>
        <color theme="1"/>
        <rFont val="Aptos Narrow"/>
        <family val="2"/>
      </rPr>
      <t>–</t>
    </r>
    <r>
      <rPr>
        <sz val="10"/>
        <color theme="1"/>
        <rFont val="Arial"/>
        <family val="2"/>
      </rPr>
      <t>(iii)</t>
    </r>
  </si>
  <si>
    <t>The contract requires that the MCP specify the retention policies for the treatment of recoveries of all overpayments from the MCP to a provider, including specifically the (1) retention policies for the treatment of recoveries of overpayments due to fraud, waste, or abuse; (2) the process, timeframes, and documentation required for reporting the recovery of all overpayments; (3) the process, timeframes, and documentation required for payment of recoveries of overpayments to the state in situations where the MCP is not permitted to retain some or all of the recoveries of overpayments.</t>
  </si>
  <si>
    <t>I.I.6.04</t>
  </si>
  <si>
    <t>42 CFR 438.608(d)(2)</t>
  </si>
  <si>
    <t xml:space="preserve">The contract requires the MCP to have, and require the use of, a mechanism for a network provider to report to the MCP when it has received an overpayment, to return the overpayment to the MCP within 60 calendar days after the date on which the overpayment was identified, and to notify the MCP in writing of the reason for the overpayment. </t>
  </si>
  <si>
    <t>I.I.6.05</t>
  </si>
  <si>
    <t>42 CFR 438.604(a)(7); 42 CFR 438.606; 42 CFR 438.608(d)(3)</t>
  </si>
  <si>
    <t>The contract requires the MCP to submit an annual report of overpayment recoveries.</t>
  </si>
  <si>
    <t>The contract requires the MCP to submit an annual report of overpayment recoveries. As required in 42 CFR 438.608(d)(3), the MCP must report annually to the state on all overpayments identified or recovered.</t>
  </si>
  <si>
    <t>I.I.7.01</t>
  </si>
  <si>
    <t>Letter to State Medicaid Directors dated 9/4/2020</t>
  </si>
  <si>
    <t>Should any part of the scope of work under this contract relate to a state program that is no longer authorized by law (e.g., which has been vacated by a court of law, or for which CMS has withdrawn federal authority, or which is the subject of a legislative repeal), the MCP must do no work on that part after the effective date of the loss of program authority. The state must adjust either capitation rates if using a risk-based contract or payments if using a non-risk contract to remove costs that are specific to any program or activity that is no longer authorized by law. If the MCP works on a program or activity no longer authorized by law after the date the legal authority for the work ends, the MCP will not be paid for that work. If the state paid the MCP in advance to work on a no-longer-authorized program or activity and under the terms of this contract the work was to be performed after the date the legal authority ended, the payment for that work should be returned to the state. However, if the MCP worked on a program or activity prior to the date legal authority ended for that program or activity, and the state included the cost of performing that work in its payments to the MCP, the MCP may keep the payment for that work even if the payment was made after the date the program or activity lost legal authority.</t>
  </si>
  <si>
    <t>DATE</t>
  </si>
  <si>
    <t>Pursuant to 42 CFR 438.214(d)(1), CMS encourages states to require the MCP to check their employees and contractors every month against the OIG’s List of Excluded Individuals/Entities (LEIE) and the GSA's Excluded Parties List System (EPLS) to ensure that no employee or contractor has been excluded.</t>
  </si>
  <si>
    <t>Pursuant to 42 CFR 438.214(d)(1), CMS encourages the state to require MCPs to notify the state agency promptly of any action it takes to limit the ability of an individual or entity to participate in its network. This includes, but is not limited to, suspension actions, settlement agreements, and situations where an individual or entity voluntarily withdraws from the network to avoid a formal sanction.</t>
  </si>
  <si>
    <t>The analyst should reference Sections 1128 and 1128A of the Act to learn about violations that can lead to a provider’s exclusion.</t>
  </si>
  <si>
    <t xml:space="preserve">In accordance with Section 1128(b)(8) of the Act, a sanctioned individual is a person who:
1. Has a direct or indirect ownership or control interest of 5 percent or more in the entity, and:
   a. Has had a conviction of relating to fraud, obstruction of an investigation or audit, controlled substance misdemeanor or felony, program related crimes, patient abuse, or felony healthcare fraud; or
   b. Has been assessed a civil monetary penalty under Section 1128A or 1129 of the Act; or
   c. Has been excluded from participation under a program under title XVIII or under a state health care program.
2. Has an ownership or control interest (as defined in Section 1124(a)(3) of the Act) in the entity, and:
   a. Has had a conviction of relating to fraud, obstruction of an investigation or audit, controlled substance misdemeanor or felony, program related crimes, patient abuse, or felony healthcare fraud; or
   b. Has been assessed a civil monetary penalty under Section 1128A or 1129 of the Act; or    
   c. Has been excluded from participation under a program under title XVIII or under a state health care program
3. Is an officer, director, agent, or managing employee of the MCP, and:    
   a. Has had a conviction of relating to fraud, obstruction of an investigation or audit, controlled substance misdemeanor or felony, program related crimes, patient abuse, or felony healthcare fraud; or
   b. Has been assessed a civil monetary penalty under Section 1128A or 1129 of the Act; or     
   c. Has been excluded from participation under a program under title XVIII or under a state health care program 
4. No longer has direct or indirect ownership or control interest of 5 percent or more in the MCP or no longer has an ownership or control interest defined under Section 1124(a)(3) of the Act, because of a transfer of ownership or control interest, in anticipation of or following a conviction, assessment, or exclusion against the person, to an immediate family member or a member of the household of the person who continues to maintain an ownership or control interest who:
   a. Has had a conviction of relating to fraud, obstruction of an investigation or audit, controlled substance misdemeanor or felony, program related crimes, patient abuse, or felony healthcare fraud; or
   b. Has been assessed a civil monetary penalty under Section 1128A or 1129 of the Act; or
   c. Has been excluded from participation under a program under title XVIII or under a state health care program.
</t>
  </si>
  <si>
    <t>This requirement only applies to PIHPs, PAHPs, PCCMs, and PCCM entities that operate under Section 1915(b)(1) authority. This requirement applies to all MCOs and HIOs.</t>
  </si>
  <si>
    <t>Crimes under Section 1128(b)(8)(B) of Act include conviction relating to fraud, conviction relating to obstruction of an investigation or audit, misdemeanor conviction relating to a controlled substance, conviction of program-related crimes, conviction relating to patient abuse, felony conviction relating to health care fraud, and felony conviction relating to a controlled substance.</t>
  </si>
  <si>
    <t>An individual or entity that would provide services through an individual or entity debarred, suspended, or excluded under 42 CFR 438.610(a) or (b) is an individual or entity that intends to meet its contractual obligations by subcontracting or employing an individual or entity debarred, suspended, or excluded under 42 CFR 438.610(a) or (b). For example, an MCO contracts with a Pharmacy Benefits Manager (PBM), which subcontracts to a pharmacy, which employs a debarred pharmacist. Because of the debarred pharmacist, the MCO cannot contract with the PBM until the pharmacy or pharmacist is terminated.</t>
  </si>
  <si>
    <t>Under 42 CFR 438.818, enrollee encounter data reports must comply with the Health Insurance Portability and Accountability Act of 1996 (HIPAA) security and privacy standards, and reports must be submitted in the format required by the Medicaid Statistical Information System or format required by any successor system to the Medicaid Statistical Information System. Additionally, states must ensure that enrollee encounter data is validated for accuracy and completeness as required under 42 CFR 438.242 before submitting to CMS, and must validate that the data submitted to CMS is a complete and accurate representation of the information submitted to the state by the MCP.</t>
  </si>
  <si>
    <r>
      <t>The data, documentation and information that must be certified under 42 CFR 438.604 and 42 CFR 438.606 is described in I.I.2.01</t>
    </r>
    <r>
      <rPr>
        <sz val="10"/>
        <rFont val="Aptos Narrow"/>
        <family val="2"/>
      </rPr>
      <t>–</t>
    </r>
    <r>
      <rPr>
        <sz val="10"/>
        <rFont val="Arial"/>
        <family val="2"/>
      </rPr>
      <t>I.I.2.13 and I.I.6.05.</t>
    </r>
  </si>
  <si>
    <t>Under 42 CFR 438.608(b), this provision does not require the network provider to render services to FFS beneficiaries.</t>
  </si>
  <si>
    <t xml:space="preserve">Pursuant to 42 CFR 438.608(b), the disclosure and screening functions can be delegated. The enrollment functions cannot be delegated. </t>
  </si>
  <si>
    <t>Termination, according to 42 CFR 455.101, is defined as follows:  
•	For a Medicaid or CHIP provider, a state Medicaid program or CHIP has taken an action to revoke the provider's billing privileges, and the provider has exhausted all applicable appeal rights or the timeline for appeal has expired.
•	For a Medicare provider, supplier or eligible professional, the Medicare program has revoked the provider or supplier's billing privileges, and the provider has exhausted all applicable appeal rights or the timeline for appeal has expired.
•	In all three programs, there is no expectation on the part of the provider or supplier or the state or Medicare program that the revocation is temporary and the provider, supplier, or eligible professional will be required to reenroll with the applicable program if they wish billing privileges to be reinstated.
•	The requirement for termination applies in cases where providers, suppliers, or eligible professionals were terminated or had their billing privileges revoked for cause which may include, but is not limited to fraud, integrity or quality.  
The state determines that providers have been terminated from Medicaid, CHIP, or Medicare pursuant to 42 CFR 455.101 through monitoring the CMS Data Exchange System (DEX) during the state’s provider screening/enrollment process and on an ongoing basis.</t>
  </si>
  <si>
    <t>This requirement under 42 CFR 438.608(a)(6) may be marked "N/A" if annual payments are less than $5,000,000.</t>
  </si>
  <si>
    <t>This recovery provision under 42 CFR 438.608(d)(1) does not apply to any amount of a recovery to be retained under FCA cases or through other investigations.</t>
  </si>
  <si>
    <t xml:space="preserve">The SMD letter dated 9/4/2020 provides contract language that should be incorporated into existing MCP contracts via amendment, and should be included in any new based contracts the state executes with an MCP. The letter is available at https://www.medicaid.gov/medicaid/managed-care/downloads/mco-contract-language.pdf. </t>
  </si>
  <si>
    <t>Subpart J - General Terms and Conditions</t>
  </si>
  <si>
    <t xml:space="preserve">I.J.1.01 </t>
  </si>
  <si>
    <t>42 CFR 438.3(h)</t>
  </si>
  <si>
    <t>The contract requires that the state, CMS, the OIG, the Comptroller General, and their designees be allowed to inspect and audit any records or documents of the MCP at any time.</t>
  </si>
  <si>
    <t xml:space="preserve">I.J.1.02 </t>
  </si>
  <si>
    <t>The contract requires that the state, CMS, the OIG, the Comptroller General, and their designees be allowed to inspect and audit any records or documents of the MCP's subcontractors at any time.</t>
  </si>
  <si>
    <t>I.J.1.03</t>
  </si>
  <si>
    <t>The contract requires that the state, CMS, the OIG, the Comptroller General, and their designees be allowed to inspect the premises, physical facilities, and equipment where Medicaid-related activities are conducted at any time.</t>
  </si>
  <si>
    <t>I.J.1.04</t>
  </si>
  <si>
    <t>The contract requires that the state, CMS, the OIG, the Comptroller General and their designees have the right to audit records or documents of the MCP for 10 years from the final date of the contract period or from the date of completion of any audit, whichever is later.</t>
  </si>
  <si>
    <t>I.J.1.05</t>
  </si>
  <si>
    <t>The contract requires that the state, CMS, the OIG, the Comptroller General and their designees have the right to audit records or documents of the MCP’s subcontractors for 10 years from the final date of the contract period or from the date of completion of any audit, whichever is later.</t>
  </si>
  <si>
    <t xml:space="preserve">I.J.1.06 </t>
  </si>
  <si>
    <t>Section 1903(m)(2)(A)(iv) of the Act</t>
  </si>
  <si>
    <t xml:space="preserve">The risk contract requires that the Secretary and the state (or any person or organization designated by either) have the right to audit and inspect any books or records of the MCP or its subcontractors pertaining to:
• The ability of the MCP to bear the risk of financial losses.
• Services performed or payable amounts under the contract.
</t>
  </si>
  <si>
    <t xml:space="preserve">I.J.1.07 </t>
  </si>
  <si>
    <t>42 CFR 438.3(u)</t>
  </si>
  <si>
    <t>The contract requires that the MCP and the MCP’s subcontractors retain, as applicable, enrollee grievance and appeal records in 42 CFR 438.416, base data in 42 CFR 438.5(c), MLR reports in 42 CFR 438.8(k), and the data, information, and documentation specified in 42 CFR 438.604, 438.606, 438.608, and 438.610 for a period of no less than 10 years.</t>
  </si>
  <si>
    <t xml:space="preserve">I.J.2.01 </t>
  </si>
  <si>
    <t>42 CFR 438.3(f)(1); 42 CFR 438.100(d)</t>
  </si>
  <si>
    <t xml:space="preserve">The contract requires the MCP to comply with all applicable federal and state laws and regulations including:
• Title VI of the Civil Rights Act of 1964
• The Age Discrimination Act of 1975
• The Rehabilitation Act of 1973
• Title IX of the Education Amendments of 1972 (regarding education programs and activities)
• The Americans with Disabilities Act
• Section 1557 of the Patient Protection and Affordable Care Act (ACA)
</t>
  </si>
  <si>
    <t xml:space="preserve">I.J.2.02 </t>
  </si>
  <si>
    <t>42 CFR 438.100(a)(2)</t>
  </si>
  <si>
    <t xml:space="preserve">The contract requires the MCP to comply with any applicable federal and state laws that pertain to enrollee rights and ensure that its employees and contracted providers observe and protect those rights. </t>
  </si>
  <si>
    <t xml:space="preserve">I.J.3.01 </t>
  </si>
  <si>
    <t>42 CFR 438.230(b)(1); 42 CFR 438.3(k)</t>
  </si>
  <si>
    <t>The contract requires the MCP to maintain ultimate responsibility for adhering to and otherwise fully complying with all terms and conditions of its contract with the state, notwithstanding any relationship(s) that the MCP may have with any subcontractor.</t>
  </si>
  <si>
    <t xml:space="preserve">I.J.3.02 </t>
  </si>
  <si>
    <r>
      <t>42 CFR 438.230(c)(1)(i)</t>
    </r>
    <r>
      <rPr>
        <sz val="10"/>
        <color theme="1"/>
        <rFont val="Aptos Narrow"/>
        <family val="2"/>
      </rPr>
      <t>–</t>
    </r>
    <r>
      <rPr>
        <sz val="10"/>
        <color theme="1"/>
        <rFont val="Arial"/>
        <family val="2"/>
      </rPr>
      <t>(ii); 42 CFR 438.3(k)</t>
    </r>
  </si>
  <si>
    <t>The contract requires that if any of the MCP's activities or obligations under the contract with the state are delegated to a subcontractor, the activities and obligations, and related reporting responsibilities, are specified in the contract or written agreement between the MCP and the subcontractor.</t>
  </si>
  <si>
    <t>I.J.3.03</t>
  </si>
  <si>
    <t>42 CFR 438.230(c)(1)(iii); 42 CFR 438.3(k)</t>
  </si>
  <si>
    <t>The contract requires that if any of the MCP's activities or obligations under the contract with the state are delegated to a subcontractor, the contract or written arrangement between the MCP and the subcontractor must either provide for revocation of the delegation of activities or obligations, or specify other remedies in instances where the state or the MCP determines that the subcontractor has not performed satisfactorily.</t>
  </si>
  <si>
    <t xml:space="preserve">I.J.3.04 </t>
  </si>
  <si>
    <t>42 CFR 438.230(c)(2); 42 CFR 438.3(k)</t>
  </si>
  <si>
    <t xml:space="preserve">The contract specifies that contracts between the MCP and subcontractors require the subcontractor to comply with all applicable Medicaid laws, regulations, subregulatory guidance, and contract provisions. </t>
  </si>
  <si>
    <t xml:space="preserve">I.J.3.05 </t>
  </si>
  <si>
    <t>42 CFR 438.230(c)(3)(i); 42 CFR 438.3(k)</t>
  </si>
  <si>
    <t>The contract specifies that contracts between the MCP and subcontractors require the subcontractor to agree that the state, CMS, the OIG, the Comptroller General, or their designees have the right to audit, evaluate, and inspect any books, records, contracts, computer or other electronic systems of the subcontractor, or of the subcontractor's contractor, that pertain to any aspect of services and activities performed, or determination of amounts payable under the MCP's contract with the state.</t>
  </si>
  <si>
    <t xml:space="preserve">I.J.3.06 </t>
  </si>
  <si>
    <t>42 CFR 438.230(c)(3)(ii); 42 CFR 438.3(k)</t>
  </si>
  <si>
    <t>The contract specifies that contracts between the MCP and subcontractors require the subcontractor to make available, for the purposes of an audit, evaluation, or inspection by the state, CMS, the OIG, the Comptroller General or their designees, its premises, physical facilities, equipment, books, records, contracts, computer, or other electronic systems relating to its Medicaid enrollees.</t>
  </si>
  <si>
    <t xml:space="preserve">I.J.3.07 </t>
  </si>
  <si>
    <t>42 CFR 438.230(c)(3)(iii); 42 CFR 438.3(k)</t>
  </si>
  <si>
    <t>The contract specifies that contracts between the MCP and subcontractors require the subcontractor to agree that the right to audit by the state, CMS, the OIG, the Comptroller General or their designees, will exist through 10 years from the final date of the contract period or from the date of completion of any audit, whichever is later.</t>
  </si>
  <si>
    <t>I.J.3.08</t>
  </si>
  <si>
    <t>42 CFR 438.230(c)(3)(iv); 42 CFR 438.3(k)</t>
  </si>
  <si>
    <t xml:space="preserve">The contract specifies that contracts between the MCP and subcontractors require that if the state, CMS, or the OIG determine that there is a reasonable possibility of fraud or similar risk, the state, CMS, or the OIG may inspect, evaluate, and audit the subcontractor at any time. </t>
  </si>
  <si>
    <t xml:space="preserve">I.J.4.01 </t>
  </si>
  <si>
    <t>42 CFR Part 433 Subpart D; 42 CFR 447.20</t>
  </si>
  <si>
    <t xml:space="preserve">The contract specifies any activities the MCP is to perform related to Third Party Liability (TPL), including:
• The activities and obligations, and related reporting responsibilities, are specified in the contract or written agreement between the MCP and the subcontractor.
• How the MCP will reduce payments based on payments by a third party for any part of a service.
• Whether the state or the MCP retains the TPL collections.
• How the state monitors to confirm that the MCP is upholding contractual requirements for TPL activities.
</t>
  </si>
  <si>
    <t xml:space="preserve">I.J.4.02  </t>
  </si>
  <si>
    <t>42 CFR 438.3(t)</t>
  </si>
  <si>
    <t xml:space="preserve">If the state enters into a Coordination of Benefits Agreement (COBA) with Medicare for FFS, the contract specifies the methodology by which the state ensures that the appropriate MCO, PIHP, or PAHP receives all applicable crossover claims for which the MCO, PIHP, or PAHP is responsible. </t>
  </si>
  <si>
    <t xml:space="preserve">I.J.5.01 </t>
  </si>
  <si>
    <t>Sections 1903(m)(5)(A)(i), 1903(m)(5)(B), 1932(e)(1)(A)(i), and 1932(e)(2)(A)(i) of the Act; 42 CFR 438.700(b)(1); 42 CFR 438.702(a); 42 CFR 438.704(b)(1)</t>
  </si>
  <si>
    <t xml:space="preserve">The contract provides that if the MCP fails to substantially provide medically necessary services to an enrollee that the MCP is required to provide under law or under its contract with the state, the state may impose a civil monetary penalty of up to $25,000 for each failure to provide services.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t>
  </si>
  <si>
    <t>I.J.5.02</t>
  </si>
  <si>
    <t>Sections 1903(m)(5)(A)(ii), 1903(m)(5)(B), 1932(e)(1)(A)(ii), and 1932(e)(2)(A)(iii) of the Act; 42 CFR 438.700(b)(2); 42 CFR 438.702(a); 42 CFR 438.704(c)</t>
  </si>
  <si>
    <t xml:space="preserve">The contract provides that if the MCP imposes premiums or charges on enrollees that are in excess of those permitted in the Medicaid program, the state may impose a civil monetary penalty of up to $25,000 or double the amount of the excess charges (whichever is greater).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t>
  </si>
  <si>
    <t xml:space="preserve">I.J.5.03 </t>
  </si>
  <si>
    <t>Sections 1903(m)(5)(A)(iii), 1903(m)(5)(B), 1932(e)(1)(A)(iii), and 1932(e)(2)(A)(ii) and (iv) of the Act; 42 CFR 438.700(b)(3); 42 CFR 438.702(a); 42 CFR 438.704(b)(2) and (3)</t>
  </si>
  <si>
    <r>
      <t xml:space="preserve">The contract provides that if the MCP discriminates among enrollees on the basis of their health status or need for health services, the state may impose a civil monetary penalty of up to $100,000 for each determination of discrimination. The state may impose a civil monetary penalty of up to $15,000 for each </t>
    </r>
    <r>
      <rPr>
        <sz val="10"/>
        <rFont val="Arial"/>
        <family val="2"/>
      </rPr>
      <t xml:space="preserve">individual the MCP did not enroll because of a discriminatory practice, up to the $100,000 maximum.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t>
    </r>
  </si>
  <si>
    <t xml:space="preserve">I.J.5.04 </t>
  </si>
  <si>
    <t>Sections 1932(e)(1)(iv), 1903(m)(5)(A)(iv)(l), 1903(m)(5)(B), 1932(e)(1)(A)(iv)(I), and 1932(e)(2)(A)(ii) of the Act; 42 CFR 438.700(b)(4); 42 CFR 438.702(a); 42 CFR 438.704(b)(2)</t>
  </si>
  <si>
    <t xml:space="preserve">The contract provides that if the MCP misrepresents or falsifies information that it furnishes to CMS or to the state, the state may impose a civil monetary penalty of up to $100,000 for each instance of misrepresentation.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t>
  </si>
  <si>
    <t>I.J.5.05</t>
  </si>
  <si>
    <t>Sections 1903(m)(5)(A)(iv)(II), 1903(m)(5)(B), 1932(e)(1)(A)(iv)(II), and 1932(e)(2)(A)(i) of the Act; 42 CFR 438.702(a); 42 CFR 438.700(b)(5); 42 CFR 438.704(b)(1)</t>
  </si>
  <si>
    <t xml:space="preserve">The contract provides that if the MCP misrepresents or falsifies information that it furnishes to an enrollee, potential enrollee, or health care provider, the state may impose a civil monetary penalty of up to $25,000 for each instance of misrepresentation.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t>
  </si>
  <si>
    <t>I.J.5.06</t>
  </si>
  <si>
    <t xml:space="preserve">Sections 1903(m)(5)(A)(v), 1903(m)(5)(B), 1932(e)(1)(A)(v), and 1932(e)(2)(A)(i) of the Act; 42 CFR 438.700(b)(6); 42 CFR 438.702(a); 42 CFR 438.704(b)(1) </t>
  </si>
  <si>
    <t xml:space="preserve">The contract provides that if the MCP fails to comply with the Medicare Physician Incentive Plan requirements, the state may impose a civil monetary penalty of up to $25,000 for each failure to comply.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t>
  </si>
  <si>
    <t>4,6</t>
  </si>
  <si>
    <t xml:space="preserve">I.J.5.07 </t>
  </si>
  <si>
    <t>Sections 1932(e)(1)(A) and 1932(e)(2)(A)(i) of the Act; 42 CFR 438.700(c); 42 CFR 438.704(b)(1)</t>
  </si>
  <si>
    <t xml:space="preserve">The contract provides that if the MCP distributes marketing materials that have not been approved by the state or that contain false or misleading information, either directly or indirectly through any agent or independent contractor, the state may impose a civil monetary penalty of up to $25,000 for each distribution. </t>
  </si>
  <si>
    <r>
      <t>I.J.5.08</t>
    </r>
    <r>
      <rPr>
        <sz val="10"/>
        <color theme="1"/>
        <rFont val="Aptos Narrow"/>
        <family val="2"/>
      </rPr>
      <t>–</t>
    </r>
    <r>
      <rPr>
        <sz val="10"/>
        <color theme="1"/>
        <rFont val="Arial"/>
        <family val="2"/>
      </rPr>
      <t xml:space="preserve">09 </t>
    </r>
  </si>
  <si>
    <r>
      <t>Sections 1932(e)(2)(C), 1932(e)(2)(D), and 1932(e)(2)(E) of the Act; 42 CFR 438.700(d)(1); 42 CFR 438.702(a)(3)</t>
    </r>
    <r>
      <rPr>
        <sz val="10"/>
        <color theme="1"/>
        <rFont val="Aptos Narrow"/>
        <family val="2"/>
      </rPr>
      <t>–</t>
    </r>
    <r>
      <rPr>
        <sz val="10"/>
        <color theme="1"/>
        <rFont val="Arial"/>
        <family val="2"/>
      </rPr>
      <t>(5)</t>
    </r>
  </si>
  <si>
    <t xml:space="preserve">The contract provides that if the MCP violates any other applicable requirements in Sections 1903(m) or 1932 of the Act or any implementing regulations, the state may impose only the following sanctions:
• Grant enrollees the right to disenroll without cause.
• Suspend all new enrollments to the MCP after the date the Secretary or the state notifies the MCP of a determination of a violation of any requirement under Sections 1903(m) or 1932 of the Act.
• Suspend payments for all new enrollments to the MCP until CMS or the state is satisfied that the reason for imposition of the sanction no longer exists and is not likely to recur. 
</t>
  </si>
  <si>
    <t>I.J.5.10</t>
  </si>
  <si>
    <t>42 CFR 438.702(b)</t>
  </si>
  <si>
    <t>The contract provides that the state may impose additional sanctions provided for under state statutes or regulations to address noncompliance.</t>
  </si>
  <si>
    <t xml:space="preserve">I.J.5.11 </t>
  </si>
  <si>
    <t>Section 1903(m)(5)(B)(ii) of the Act; 42 CFR 438.700(b)(1); 42 CFR 438.726(b); 42 CFR 438.730(e)(1)(i)</t>
  </si>
  <si>
    <t>The MCP contract specifies that the state will deny payments for new enrollees when, and for so long as, payment for those enrollees is denied by CMS based on the state’s recommendation, when the MCP fails substantially to provide medically necessary services that the MCP is required to provide, under law or under its contract with the state, to an enrollee covered under the contract.</t>
  </si>
  <si>
    <t xml:space="preserve">I.J.5.12 </t>
  </si>
  <si>
    <t>Section 1903(m)(5)(B)(ii) of the Act; 42 CFR 438.700(b)(2); 42 CFR 438.726(b); 42 CFR 438.730(e)(1)(i)</t>
  </si>
  <si>
    <t>The MCP contract specifies that the state will deny payments for new enrollees when, and for so long as, payment for those enrollees is denied by CMS based on the state’s recommendation, when the MCP imposes on enrollees premiums or charges that are in excess of the premiums or charges permitted under the Medicaid program.</t>
  </si>
  <si>
    <t xml:space="preserve">I.J.5.13 </t>
  </si>
  <si>
    <t xml:space="preserve">Section 1903(m)(5)(B)(ii) of the Act; 42 CFR 438.700(b)(3); 42 CFR 438.726(b); 42 CFR 438.730(e)(1)(i) </t>
  </si>
  <si>
    <t>The MCP contract specifies that the state will deny payments for new enrollees when, and for so long as, payment for those enrollees is denied by CMS based on the state’s recommendation, when the MCP acts to discriminate among enrollees on the basis of their health status or need for health care services.</t>
  </si>
  <si>
    <t xml:space="preserve">I.J.5.14 </t>
  </si>
  <si>
    <t>Section 1903(m)(5)(B)(ii) of the Act; 42 CFR 438.700(b)(4); 42 CFR 438.726(b); 42 CFR 438.730(e)(1)(i)</t>
  </si>
  <si>
    <t>The MCP contract specifies that the state will deny payments for new enrollees when, and for so long as, payment for those enrollees is denied by CMS based on the state’s recommendation, when the MCP misrepresents or falsifies information that it furnishes to CMS or to the state.</t>
  </si>
  <si>
    <t xml:space="preserve">I.J.5.15 </t>
  </si>
  <si>
    <t>Section 1903(m)(5)(B)(ii) of the Act; 42 CFR 438.700(b)(5); 42 CFR 438.726(b); 42 CFR 438.730(e)(1)(i)</t>
  </si>
  <si>
    <t>The MCP contract specifies that the state will deny payments for new enrollees when, and for so long as, payment for those enrollees is denied by CMS based on the state’s recommendation, when the MCP misrepresents or falsifies information that it furnishes to an enrollee, potential enrollee, or health care provider.</t>
  </si>
  <si>
    <t xml:space="preserve">I.J.5.16 </t>
  </si>
  <si>
    <t>Section 1903(m)(5)(B)(ii) of the Act; 42 CFR 438.700(b)(6); 42 CFR 438.726(b); 42 CFR 438.730(e)(1)(i)</t>
  </si>
  <si>
    <t>The MCP contract specifies that the state will deny payments for new enrollees when, and for so long as, payment for those enrollees is denied by CMS based on the state’s recommendation, when the MCP fails to comply with the requirements for Medicare Physician Incentive Plan as set forth in 42 CFR 422.208 and 422.210.</t>
  </si>
  <si>
    <t xml:space="preserve">I.J.5.17 </t>
  </si>
  <si>
    <t>42 CFR 438.726(b); 42 CFR 438.730(e)(1)(ii)</t>
  </si>
  <si>
    <t>The contract specifies that the state will deny payments for new enrollees when, and for so long as, payment for those enrollees is denied by CMS. CMS may deny payment to the state for new enrollees if its determination is not timely contested by the MCP.</t>
  </si>
  <si>
    <t xml:space="preserve">I.J.5.18 </t>
  </si>
  <si>
    <t>Section 1932(e)(2)(B)(i) of the Act; 42 CFR 438.706(a)</t>
  </si>
  <si>
    <t xml:space="preserve">The contract specifies the circumstances under which the state will impose optional temporary management. Temporary management may only be imposed when the state finds, through on-site surveys, enrollee or other complaints, financial status, or any other source:
• There is continued egregious behavior by the MCP;
• There is substantial risk to enrollees’ health; or
• The sanction is necessary to ensure the health of the MCP’s enrollees in one of two circumstances:
o While improvements are made to remedy violations that require sanctions; or
o Until there is an orderly termination or reorganization of the MCP. 
</t>
  </si>
  <si>
    <t xml:space="preserve">I.J.5.19 </t>
  </si>
  <si>
    <r>
      <t>Section 1932(e)(2)(B)(ii) of the Act; 42 CFR 438.706(b)</t>
    </r>
    <r>
      <rPr>
        <sz val="10"/>
        <color theme="1"/>
        <rFont val="Aptos Narrow"/>
        <family val="2"/>
      </rPr>
      <t>–</t>
    </r>
    <r>
      <rPr>
        <sz val="10"/>
        <color theme="1"/>
        <rFont val="Arial"/>
        <family val="2"/>
      </rPr>
      <t>(d)</t>
    </r>
  </si>
  <si>
    <t xml:space="preserve">The contract specifies that the state must impose mandatory temporary management when an MCP repeatedly fails to meet substantive requirements in Sections 1903(m) or 1932 of the Act or 42 CFR Part 438. The state may not delay the imposition of temporary management to provide a hearing and may not terminate temporary management until it determines that the MCP can ensure the sanctioned behavior will not reoccur. </t>
  </si>
  <si>
    <t xml:space="preserve">I.J.5.20 </t>
  </si>
  <si>
    <t>The contract specifies that the state must grant enrollees the right to terminate MCP enrollment without cause when an MCP repeatedly fails to meet substantive requirements in Sections 1903(m) or 1932 of the Act or 42 CFR Part 438.</t>
  </si>
  <si>
    <t xml:space="preserve">I.J.6.01 </t>
  </si>
  <si>
    <t>Sections 1903(m), 1905(t), and 1932 of the Act; 42 CFR 438.708(a); 42 CFR 438.708(b)</t>
  </si>
  <si>
    <t xml:space="preserve">The contract specifies that the state may terminate the MCP contract, and place enrollees into a different MCP or provide Medicaid benefits through other state plan authority, if the state determines that the MCP has failed to carry out the substantive terms of its contracts or meet the applicable requirements of Sections 1932, 1903(m) or 1905(t) of the Act. </t>
  </si>
  <si>
    <t xml:space="preserve">I.J.7.01 </t>
  </si>
  <si>
    <t xml:space="preserve">Section 1932(b)(6) of the Act; 42 CFR 438.106(a) </t>
  </si>
  <si>
    <t xml:space="preserve">The contract specifies that Medicaid enrollees are not held liable for the MCP’s debts in the event the MCP becomes insolvent. </t>
  </si>
  <si>
    <t>I.J.7.02</t>
  </si>
  <si>
    <t>Section 1932(b)(6) of the Act; 42 CFR 438.106(b)(1)</t>
  </si>
  <si>
    <t>The contract specifies that Medicaid enrollees are not held liable for covered services provided to the enrollee, for which the state does not pay the MCP.</t>
  </si>
  <si>
    <t>I.J.7.03</t>
  </si>
  <si>
    <t>Section 1932(b)(6) of the Act; 42 CFR 438.106(b)(2); 42 CFR 438.3(k); 42 CFR 438.230</t>
  </si>
  <si>
    <t>The contract specifies that Medicaid enrollees are not held liable for covered services provided to the enrollee, for which the state or MCP does not pay the provider that furnished the service under a contractual, referral, or other arrangement.</t>
  </si>
  <si>
    <t>I.J.7.04</t>
  </si>
  <si>
    <t>Section 1932(b)(6) of the Act; 42 CFR 438.106(c); 42 CFR 438.3(k); 42 CFR 438.230</t>
  </si>
  <si>
    <t xml:space="preserve">The contract specifies that Medicaid enrollees are not held liable for covered services furnished under a contract, referral, or other arrangement to the extent that those payments are in excess of the amount the enrollee would owe if the MCP covered the services directly. </t>
  </si>
  <si>
    <t>I.J.7.05</t>
  </si>
  <si>
    <t>42 CFR 438.116(a)</t>
  </si>
  <si>
    <t xml:space="preserve">The contract requires the MCP to provide assurances satisfactory to the state that its provision against the risk of insolvency is adequate to ensure that Medicaid enrollees will not be liable for the MCP’s debt if the MCP becomes insolvent. </t>
  </si>
  <si>
    <t>I.J.7.06</t>
  </si>
  <si>
    <t>Section 1903(m)(1) of the Act; 42 CFR 438.116(b)</t>
  </si>
  <si>
    <t xml:space="preserve">The contract requires the MCP to meet the state's solvency standards for private health maintenance organizations, or be licensed or certified by the state as a risk-bearing entity. </t>
  </si>
  <si>
    <t>II.J.1 Inspection</t>
  </si>
  <si>
    <t xml:space="preserve">II.J.1.01 </t>
  </si>
  <si>
    <t>42 CFR 457.1201(g);
42 CFR 438.3(h)</t>
  </si>
  <si>
    <t>II.J.1.02</t>
  </si>
  <si>
    <t>II.J.1.03</t>
  </si>
  <si>
    <t>II.J.1.04</t>
  </si>
  <si>
    <t>II.J.1.05</t>
  </si>
  <si>
    <t>II.J.1.06</t>
  </si>
  <si>
    <t>42 CFR 457.1201(q);
42 CFR 438.3(u)</t>
  </si>
  <si>
    <t>The contract requires that the MCP and the MCP’s subcontractors retain, as applicable, enrollee grievance and appeal records in 42 CFR 438.416, base data in 42 CFR 438.5(c), MLR reports in 42 CFR 438.8(k), and the data, information, and documentation specified in 42 CFR 438.604 (except 438.604(a)(2)), 438.606, 438.608, and 438.610 for a period of no less than 10 years.</t>
  </si>
  <si>
    <t>II.J.2 Compliance with State and Federal Laws</t>
  </si>
  <si>
    <t xml:space="preserve">II.J.2.01 </t>
  </si>
  <si>
    <t>42 CFR 457.1201(f);
42 CFR 457.1220;
42 CFR 438.3(f)(1); 
42 CFR 438.100(d)</t>
  </si>
  <si>
    <t xml:space="preserve">The contract requires the MCP to comply with all applicable Federal and state laws and regulations including:
• Title VI of the CRA of 1964.
• The Age Discrimination Act of 1975.
• The Rehabilitation Act of 1973.
• Title IX of the Education Amendments of 1972 (regarding education programs and activities).
• The Americans with Disabilities Act.
• Section 1557 of the ACA.
</t>
  </si>
  <si>
    <t xml:space="preserve">II.J.2.02 </t>
  </si>
  <si>
    <t>42 CFR 457.1220;
42 CFR 438.100(a)(2)</t>
  </si>
  <si>
    <t xml:space="preserve">The contract requires the MCP to comply with any applicable Federal and state laws that pertain to enrollee rights and ensure that its employees and contracted providers observe and protect those rights. </t>
  </si>
  <si>
    <t>II.J.3 Subcontracts and Other Contracts and Written Agreements</t>
  </si>
  <si>
    <t xml:space="preserve">II.J.3.01 </t>
  </si>
  <si>
    <t>42 CFR 457.1201(i);
42 CFR 457.1233(b);
42 CFR 438.230(b)(1)</t>
  </si>
  <si>
    <t>The contract requires that in any contract or written agreement that the MCP has with any individual or entity that relates directly or indirectly to the performance of the MCP's obligations under its contract, the MCP must maintain ultimate responsibility for adhering to and otherwise fully complying with all terms and conditions of its contract with the state, notwithstanding any relationship(s) that the MCP may have with the individual or entity.</t>
  </si>
  <si>
    <t>II.J.3.01</t>
  </si>
  <si>
    <t>42 CFR 457.1233(b);
42 CFR 438.230(b)(1)</t>
  </si>
  <si>
    <t>II.J.3.02</t>
  </si>
  <si>
    <t xml:space="preserve">42 CFR 457.1201(i);
42 CFR 457.1233(b);
42 CFR 438.230(c)(1)(i) - (ii)
</t>
  </si>
  <si>
    <t xml:space="preserve">The contract requires that in any contract or written agreement that the MCP has with any individual or entity that relates directly or indirectly to the performance of the MCP's obligations under its contract, if any of the MCP's activities or obligations under the contract with the state are delegated to the individual or entity, the activities and obligations, and related reporting responsibilities, are specified in the contract or written agreement between the MCP and the individual or entity. </t>
  </si>
  <si>
    <t xml:space="preserve">42 CFR 457.1233(b);
42 CFR 438.230(c)(1)(i) - (ii)
</t>
  </si>
  <si>
    <t>II.J.3.03</t>
  </si>
  <si>
    <t xml:space="preserve">42 CFR 457.1201(i);
42 CFR 457.1233(b);
42 CFR 438.230(c)(1)(iii)
</t>
  </si>
  <si>
    <t>The contract requires that in any contract or written agreement that the MCP has with any individual or entity that relates directly or indirectly to the performance of the MCP's obligations under its contract, if any of the MCP's activities or obligations under the contract with the state are delegated to the individual or entity, the contract or written arrangement between the MCP and the individual or entity must either provide for revocation of the delegation of activities or obligations, or specify other remedies, in instances where the state or the MCP determines that the individual or entity has not performed satisfactorily.</t>
  </si>
  <si>
    <t xml:space="preserve">42 CFR 457.1233(b);
42 CFR 438.230(c)(1)(iii)
</t>
  </si>
  <si>
    <t>II.J.3.04</t>
  </si>
  <si>
    <t>42 CFR 457.1201(i);
42 CFR 457.1233(b);
42 CFR 438.230(c)(2)</t>
  </si>
  <si>
    <t>The contract specifies that in any contract or written agreement that the MCP has with any individual or entity that relates directly or indirectly to the performance of the MCP's obligations under its contract, the contract or written agreement between the MCP and the individual or entity requires the individual or entity to comply with all applicable CHIP laws, regulations, including applicable subregulatory guidance and contract provisions.</t>
  </si>
  <si>
    <t>42 CFR 457.1233(b);
42 CFR 438.230(c)(2)</t>
  </si>
  <si>
    <t xml:space="preserve">The contract specifies that in any contract or written agreement that the MCP has with any individual or entity that relates directly or indirectly to the performance of the MCP's obligations under its contract, the contract or written agreement between the MCP and the individual or entity requires the individual or entity to comply with all applicable CHIP laws, regulations, including applicable subregulatory guidance and contract provisions. </t>
  </si>
  <si>
    <t>II.J.3.05</t>
  </si>
  <si>
    <t xml:space="preserve">42 CFR 457.1201(i);
42 CFR 457.1233(b);
42 CFR 438.230(c)(3)(i) </t>
  </si>
  <si>
    <t>The contract specifies that in any contract or written agreement that the MCP has with any individual or entity that relates directly or indirectly to the performance of the MCP's obligations under its contract, the contract or written agreement between the MCP and the individual or entity requires the individual or entity to agree that the state, CMS, the DHHS Inspector General, the Comptroller General, or their designees have the right to audit, evaluate, and inspect any books, records, contracts, computer or other electronic systems of the individual or entity, or of the individual or entity's contractor, that pertain to any aspect of services and activities performed, or determination of amounts payable under the MCP's contract with the state.</t>
  </si>
  <si>
    <t xml:space="preserve">42 CFR 457.1233(b);
42 CFR 438.230(c)(3)(i) </t>
  </si>
  <si>
    <t>II.J.3.06</t>
  </si>
  <si>
    <t xml:space="preserve">42 CFR 457.1201(i);
42 CFR 457.1233(b);
42 CFR 438.230(c)(3)(ii) 
</t>
  </si>
  <si>
    <t>The contract specifies that in any contract or written agreement that the MCP has with any individual or entity that relates directly or indirectly to the performance of the MCP's obligations under its contract, the contract or written agreement between the MCP and the individual or entity requires the individual or entity to make available, for the purposes of an audit, evaluation, or inspection by the state, CMS, the HHS Inspector General, the Comptroller General or their designees, its premises, physical facilities, equipment, books, records, contracts, computer, or other electronic systems relating to its CHIP enrollees.</t>
  </si>
  <si>
    <t xml:space="preserve">42 CFR 457.1233(b);
42 CFR 438.230(c)(3)(ii) 
</t>
  </si>
  <si>
    <t>II.J.3.07</t>
  </si>
  <si>
    <t xml:space="preserve">42 CFR 457.1201(i);
42 CFR 457.1233(b);
42 CFR 438.230(c)(3)(iii)
</t>
  </si>
  <si>
    <t>The contract specifies that in any contract or written agreement that the MCP has with any individual or entity that relates directly or indirectly to the performance of the MCP's obligations under its contract, the contract or written agreement requires the individual or entity to agree that the right to audit by the state, CMS, the HHS Inspector General, the Comptroller General or their designees, will exist through 10 years from the final date of the contract period or from the date of completion of any audit, whichever is later.</t>
  </si>
  <si>
    <t xml:space="preserve">42 CFR 457.1233(b);
42 CFR 438.230(c)(3)(iii)
</t>
  </si>
  <si>
    <t>II.J.3.08</t>
  </si>
  <si>
    <t xml:space="preserve">42 CFR 457.1201(i);
42 CFR 457.1233(b);
42 CFR 438.230(c)(3)(iv)
</t>
  </si>
  <si>
    <t xml:space="preserve">The contract specifies that in any contract or written agreement that the MCP has with any individual or entity that relates directly or indirectly to the performance of the MCP's obligations under its contract, the contract or written agreement between the MCP and the individual or entity requires that if the state, CMS, or the HHS Inspector General determine that there is a reasonable possibility of fraud or similar risk, the state, CMS, or the HHS Inspector General may inspect, evaluate, and audit the individual or entity at any time. </t>
  </si>
  <si>
    <t xml:space="preserve">42 CFR 457.1233(b);
42 CFR 438.230(c)(3)(iv)
</t>
  </si>
  <si>
    <t>II.J.3.09</t>
  </si>
  <si>
    <t>II.J.3.10</t>
  </si>
  <si>
    <t>II.J.3.11</t>
  </si>
  <si>
    <t>42 CFR 457.1233(b);
42 CFR 438.230(c)(1)(iii)</t>
  </si>
  <si>
    <t>II.J.3.12</t>
  </si>
  <si>
    <t xml:space="preserve">The contract specifies that contracts between the MCP and subcontractors require the subcontractor to comply with all applicable Medicaid laws, regulations, including applicable subregulatory guidance and contract provisions. </t>
  </si>
  <si>
    <t>II.J.3.13</t>
  </si>
  <si>
    <t>42 CFR 457.1233(b);
42 CFR 438.230(c)(3)(i)</t>
  </si>
  <si>
    <t>The contract specifies that contracts between the MCP and subcontractors require the subcontractor to agree that the state, CMS, the DHHS Inspector General, the Comptroller General, or their designees have the right to audit, evaluate, and inspect any books, records, contracts, computer or other electronic systems of the subcontractor, or of the subcontractor's contractor, that pertain to any aspect of services and activities performed, or determination of amounts payable under the MCP's contract with the state.</t>
  </si>
  <si>
    <t>II.J.3.14</t>
  </si>
  <si>
    <t>42 CFR 457.1233(b);
42 CFR 438.230(c)(3)(ii)</t>
  </si>
  <si>
    <t>The contract specifies that contracts between the MCP and subcontractors require the subcontractor to make available, for the purposes of an audit, evaluation, or inspection by the state, CMS, the DHHS Inspector General, the Comptroller General or their designees, its premises, physical facilities, equipment, books, records, contracts, computer, or other electronic systems relating to its CHIP enrollees.</t>
  </si>
  <si>
    <t>II.J.3.15</t>
  </si>
  <si>
    <t>42 CFR 457.1233(b);
42 CFR 438.230(c)(3)(iii)</t>
  </si>
  <si>
    <t>The contract specifies that contracts between the MCP and subcontractors require the subcontractor to agree that the right to audit by the state, CMS, the DHHS Inspector General, the Comptroller General or their designees, will exist through 10 years from the final date of the contract period or from the date of completion of any audit, whichever is later.</t>
  </si>
  <si>
    <t>II.J.3.16</t>
  </si>
  <si>
    <t>42 CFR 457.1233(b);
42 CFR 438.230(c)(3)(iv)</t>
  </si>
  <si>
    <t xml:space="preserve">The contract specifies that contracts between the MCP and subcontractors require that if the state, CMS, or the DHHS Inspector General determine that there is a reasonable possibility of fraud or similar risk, the state, CMS, or the DHHS Inspector General may inspect, evaluate, and audit the subcontractor at any time. </t>
  </si>
  <si>
    <t>II.J.4 Sanctions</t>
  </si>
  <si>
    <t xml:space="preserve">II.J.4.01 </t>
  </si>
  <si>
    <t>Sections 1903(m)(5)(A)(i); 
1903(m)(5)(B); 
1932(e)(1)(A)(i); 
1932(e)(2)(A)(i) of the Act; 
42 CFR 457.1270(a); 
42 CFR 438.700(b)(1); 
42 CFR 438.702(a); 
42 CFR 438.704(b)(1)</t>
  </si>
  <si>
    <t xml:space="preserve">The contract provides that if the MCP fails to substantially provide medically necessary services to an enrollee that the MCP is required to provide under law or under its contract with the state, the state may impose a civil monetary penalty of up to $25,000 for each failure to provide services.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t>
  </si>
  <si>
    <t>II.J.4.02</t>
  </si>
  <si>
    <t>Sections 1903(m)(5)(A)(ii); 
1903(m)(5)(B); 
1932(e)(1)(A)(ii); 
1932(e)(2)(A)(iii) of the Act; 
42 CFR 457.1270(a); 
42 CFR 438.700(b)(2); 
42 CFR 438.702(a); 
42 CFR 438.704(c)</t>
  </si>
  <si>
    <t xml:space="preserve">The contract provides that if the MCP imposes premiums or charges on enrollees that are in excess of those permitted in the Medicaid program, the state may impose a civil monetary of up to $25,000 or double the amount of the excess charges (whichever is greater).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t>
  </si>
  <si>
    <t xml:space="preserve">II.J.4.03 </t>
  </si>
  <si>
    <t>Sections 1903(m)(5)(A)(iii); 
1903(m)(5)(B); 
1932(e)(1)(A)(iii); 
1932(e)(2)(A)(ii) &amp; (iv) of the Act; 
42 CFR 457.1270(a); 
42 CFR 438.700(b)(3); 
42 CFR 438.702(a); 
42 CFR 438.704(b)(2) and (3)</t>
  </si>
  <si>
    <r>
      <t xml:space="preserve">The contract provides that if the MCP discriminates among enrollees on the basis of their health status or need for health services, the state may impose a civil monetary penalty of up to $100,000 for each determination of discrimination. The state may impose a civil monetary penalty of up to $15,000 for each </t>
    </r>
    <r>
      <rPr>
        <u/>
        <sz val="10"/>
        <rFont val="Times New Roman"/>
        <family val="1"/>
      </rPr>
      <t>individual</t>
    </r>
    <r>
      <rPr>
        <sz val="10"/>
        <rFont val="Times New Roman"/>
        <family val="1"/>
      </rPr>
      <t xml:space="preserve"> the MCP did not enroll because of a discriminatory practice, up to the $100,000 maximum.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t>
    </r>
  </si>
  <si>
    <t xml:space="preserve">II.J.4.04 </t>
  </si>
  <si>
    <t>Sections 1932(e)(1)(iv); 
1903(m)(5)(A)(iv)(l); 
1903(m)(5)(B); 
1932(e)(1)(A)(iv)(I); 
1932(e)(2)(A)(ii) of the Act; 
42 CFR 457.1270(a); 
42 CFR 438.700(b)(4); 
42 CFR 438.702(a); 
42 CFR 438.704(b)(2)</t>
  </si>
  <si>
    <t>II.J.4.05</t>
  </si>
  <si>
    <t>Sections 1903(m)(5)(A)(iv)(II); 
1903(m)(5)(B); 
1932(e)(1)(A)(iv)(II); 
1932(e)(2)(A)(i) of the Act; 
42 CFR 457.1270(a); 
42 CFR 438.702(a); 
42 CFR 438.700(b)(5); 
42 CFR 438.704(b)(1)</t>
  </si>
  <si>
    <t>II.J.4.06</t>
  </si>
  <si>
    <t xml:space="preserve">Sections 1903(m)(5)(A)(v); 
1903(m)(5)(B); 
1932(e)(1)(A)(v); 
1932(e)(2)(A)(i) of the Act; 
42 CFR 457.1270(a); 
42 CFR 438.700(b)(6); 
42 CFR 438.702(a); 
42 CFR 438.704(b)(1) </t>
  </si>
  <si>
    <t xml:space="preserve">The contract provides that if the MCP fails to comply with the Medicare PIP requirements, the state may impose a civil monetary penalty of up to $25,000 for each failure to comply.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t>
  </si>
  <si>
    <t xml:space="preserve">II.J.4.07 </t>
  </si>
  <si>
    <t>Sections 1932(e)(1)(A); 
1932(e)(2)(A)(i) of the Act; 
42 CFR 457.1270(a); 
42 CFR 438.700(c); 
42 CFR 438.704(b)(1)</t>
  </si>
  <si>
    <t xml:space="preserve">II.J.4.08 </t>
  </si>
  <si>
    <t>Sections 1932(e)(2)(C); 
1932(e)(2)(D); 
1932(e)(2)(E) of the Act; 
42 CFR 457.1270(a); 
42 CFR 438.700(d)(1); 
42 CFR 438.702(a)(3) - (5)</t>
  </si>
  <si>
    <t xml:space="preserve">The contract provides that if the MCP violates any other applicable requirements in sections 1903(m) or 1932 of the Act or any implementing regulations, the state may impose only the following sanctions:
• Grant enrollees the right to disenroll without cause.
• Suspend all new enrollments to the MCP after the date the Secretary or the state notifies the MCP of a determination of a violation of any requirement under sections 1903(m) or 1932 of the Act.
• Suspend payments for all new enrollments to the MCP until CMS or the state is satisfied that the reason for imposition of the sanction no longer exists and is not likely to recur. 
</t>
  </si>
  <si>
    <t xml:space="preserve">II.J.4.09 </t>
  </si>
  <si>
    <t xml:space="preserve">42 CFR 457.1270(a); 
42 CFR 438.702(b)
</t>
  </si>
  <si>
    <t>II.J.4.10</t>
  </si>
  <si>
    <t>Section 1903(m)(5)(B)(ii) of the Act; 
42 CFR 457.1270(a); 
42 CFR 438.700(b)(1); 
42 CFR 438.726(b); 
42 CFR 438.730(e)(1)(i)</t>
  </si>
  <si>
    <t>II.J.4.11</t>
  </si>
  <si>
    <t>Section 1903(m)(5)(B)(ii) of the Act; 
42 CFR 457.1270(a); 
42 CFR 438.700(b)(2); 
42 CFR 438.726(b); 
42 CFR 438.730(e)(1)(i)</t>
  </si>
  <si>
    <t>II.J.4.12</t>
  </si>
  <si>
    <t xml:space="preserve">Section 1903(m)(5)(B)(ii) of the Act; 
42 CFR 457.1270(a); 
42 CFR 438.700(b)(3); 
42 CFR 438.726(b); 
42 CFR 438.730(e)(1)(i) </t>
  </si>
  <si>
    <t>II.J.4.13</t>
  </si>
  <si>
    <t>Section 1903(m)(5)(B)(ii) of the Act; 
42 CFR 457.1270(a); 
42 CFR 438.700(b)(4); 
42 CFR 438.726(b); 
42 CFR 438.730(e)(1)(i)</t>
  </si>
  <si>
    <t>II.J.4.14</t>
  </si>
  <si>
    <t>Section 1903(m)(5)(B)(ii) of the Act; 
42 CFR 457.1270(a); 
42 CFR 438.700(b)(5); 
42 CFR 438.726(b); 
42 CFR 438.730(e)(1)(i)</t>
  </si>
  <si>
    <t>II.J.4.15</t>
  </si>
  <si>
    <t>Section 1903(m)(5)(B)(ii) of the Act; 
42 CFR 457.1270(a); 
42 CFR 438.700(b)(6); 
42 CFR 438.726(b); 
42 CFR 438.730(e)(1)(i)</t>
  </si>
  <si>
    <t>The MCP contract specifies that the state will deny payments for new enrollees when, and for so long as, payment for those enrollees is denied by CMS based on the state’s recommendation, when the MCP fails to comply with the requirements for PIPs, as set forth (for Medicare) in 42 CFR 422.208 and 42 CFR 422.210.</t>
  </si>
  <si>
    <t>II.J.4.16</t>
  </si>
  <si>
    <t>42 CFR 457.1270(a); 
42 CFR 438.726(b); 
42 CFR 438.730(e)(1)(ii)</t>
  </si>
  <si>
    <t>II.J.4.17</t>
  </si>
  <si>
    <r>
      <t>Section 1932(e)(2)(B)(i) of the Act; 
42 CFR 457.1270</t>
    </r>
    <r>
      <rPr>
        <sz val="10"/>
        <rFont val="Arial"/>
        <family val="2"/>
      </rPr>
      <t>(b)</t>
    </r>
    <r>
      <rPr>
        <sz val="10"/>
        <color theme="1"/>
        <rFont val="Arial"/>
        <family val="2"/>
      </rPr>
      <t>; 
42 CFR 438.700</t>
    </r>
  </si>
  <si>
    <t xml:space="preserve">The contract specifies the circumstances under which the state will impose optional temporary management. Temporary management may only be imposed when the state finds, through onsite surveys, enrollee or other complaints, financial status, or any other source:
• There is continued egregious behavior by the MCP;
• There is substantial risk to enrollees’ health; or
• The sanction is necessary to ensure the health of the MCP’s enrollees in one of two circumstances:
o While improvements are made to remedy violations that require sanctions; or
o Until there is an orderly termination or reorganization of the MCP. 
</t>
  </si>
  <si>
    <t>II.J.4.18</t>
  </si>
  <si>
    <t>Section 1932(e)(2)(B)(ii) of the Act; 
42 CFR 457.1270(c); 
42 CFR 438.706(c) - (d)</t>
  </si>
  <si>
    <t xml:space="preserve">The contract specifies that the state must impose mandatory temporary management when an MCP repeatedly fails to meet substantive requirements in sections 1903(m) or 1932 of the Act or 42 CFR 438. The state may not delay the imposition of temporary management to provide a hearing and may not terminate temporary management until it determines that the MCP can ensure the sanctioned behavior will not reoccur. </t>
  </si>
  <si>
    <t>II.J.4.19</t>
  </si>
  <si>
    <t xml:space="preserve">Section 1932(e)(2)(B)(ii) of the Act; 
42 CFR 457.1270(c); 
42 CFR 457.1270(a); 
42 CFR 438.702(a)(3)] </t>
  </si>
  <si>
    <t xml:space="preserve">The contract specifies that the state must grant enrollees the right to terminate MCP 	enrollment without cause when an MCP repeatedly fails to meet substantive requirements in Part 457 Subpart L, and must notify the affected enrollees of their right to terminate. </t>
  </si>
  <si>
    <t>II.J.5 Termination</t>
  </si>
  <si>
    <t xml:space="preserve">II.J.5.01 </t>
  </si>
  <si>
    <t>Sections 1903(m); 1905(t); 1932 of the Act; 
42 CFR 457.1270;
42 CFR 438.708(a); 
42 CFR 438.708(b)</t>
  </si>
  <si>
    <t xml:space="preserve">The contract specifies that the state may terminate an MCP contract, and place enrollees into a different MCP or provide CHIP benefits through other state plan authority, if the state determines that the MCP has failed to carry out the substantive terms of its contracts or meet the applicable requirements of sections 1932, 1903(m) or 1905(t) of the Act. </t>
  </si>
  <si>
    <t>II.J.6 Insolvency</t>
  </si>
  <si>
    <t xml:space="preserve">II.J.6.01 </t>
  </si>
  <si>
    <t xml:space="preserve">Section 1932(b)(6) of the Act; 
42 CFR 457.1226;
42 CFR 438.106(a) </t>
  </si>
  <si>
    <t xml:space="preserve">The contract specifies that CHIP enrollees are not held liable for the MCP’s debts, in the event the MCP becomes insolvent. </t>
  </si>
  <si>
    <t>II.J.6.02</t>
  </si>
  <si>
    <t>Section 1932(b)(6) of the Act; 
42 CFR 457.1226;
42 CFR 438.106(b)(1)</t>
  </si>
  <si>
    <t>The contract specifies that CHIP enrollees are not held liable for covered services provided to the enrollee, for which the state does not pay the MCP.</t>
  </si>
  <si>
    <t>II.J.6.03</t>
  </si>
  <si>
    <t>Section 1932(b)(6) of the Act;
42 CFR 457.1226;
42 CFR 457.1233(b);
42 CFR 438.106(b)(2);  
42 CFR 438.230</t>
  </si>
  <si>
    <t>The contract specifies that CHIP enrollees are not held liable for covered services provided to the enrollee, for which the state or MCP does not pay the provider that furnished the service under a contractual, referral, or other arrangement.</t>
  </si>
  <si>
    <t>II.J.6.04</t>
  </si>
  <si>
    <t>Section 1932(b)(6) of the Act; 
42 CFR 457.1226;
42 CFR 457.1233(b);
42 CFR 438.106(c); 
42 CFR 438.230</t>
  </si>
  <si>
    <t xml:space="preserve">The contract specifies that CHIP enrollees are not held liable for covered services furnished under a contract, referral, or other arrangement to the extent that those payments are in excess of the amount the enrollee would owe if the MCP covered the services directly. </t>
  </si>
  <si>
    <t>II.J.7 Privacy</t>
  </si>
  <si>
    <t>II.J.7.01</t>
  </si>
  <si>
    <t>42 CFR 457.1233(e);
42 CFR 457.1110(a)</t>
  </si>
  <si>
    <t xml:space="preserve">The contract requires that, for individual medical records and any other health and enrollment information maintained with respect to enrollees, that identifies particular enrollees (in any form), the MCP must comply with state procedures to abide by all applicable Federal and state laws regarding confidentiality and disclosure, including those laws addressing the confidentiality of information about minors and the privacy of minors, and privacy of individually identifiable health information. </t>
  </si>
  <si>
    <t>II.J.7.02</t>
  </si>
  <si>
    <t xml:space="preserve">42 CFR 457.1233(e);
42 CFR 457.1110(b)
</t>
  </si>
  <si>
    <t>The contract requires that, for individual medical records and any other health and enrollment information maintained with respect to enrollees, that identifies particular enrollees (in any form), the MCP must comply with state procedures in compliance with Subpart F of 42 CFR 431.</t>
  </si>
  <si>
    <t>II.J.7.03</t>
  </si>
  <si>
    <t>42 CFR 457.1233(e);
42 CFR 457.1110(c)</t>
  </si>
  <si>
    <t>The contract requires that, for individual medical records and any other health and enrollment information maintained with respect to enrollees, that identifies particular enrollees (in any form), the MCP must comply with state procedures to maintain the records and information in a timely and accurate manner.</t>
  </si>
  <si>
    <t>II.J.7.04</t>
  </si>
  <si>
    <t>42 CFR 457.1233(e);
42 CFR 457.1110(d)(1)</t>
  </si>
  <si>
    <t>The contract requires that, for individual medical records and any other health and enrollment information maintained with respect to enrollees, that identifies particular enrollees (in any form), the MCP must comply with state procedures that specify and make available to any enrollee requesting it, the purposes for which information is maintained or used.</t>
  </si>
  <si>
    <t>II.J.7.05</t>
  </si>
  <si>
    <t>42 CFR 457.1233(e);
42 CFR 457.1110(d)(2)</t>
  </si>
  <si>
    <t>The contract requires that, for individual medical records and any other health and enrollment information maintained with respect to enrollees, that identifies particular enrollees (in any form), the MCP must comply with state procedures that specify and make available to any enrollee requesting it, to whom and for what purposes the information will be disclosed outside the state.</t>
  </si>
  <si>
    <t>II.J.7.06</t>
  </si>
  <si>
    <t>42 CFR 457.1233(e);
42 CFR 457.1110(e)</t>
  </si>
  <si>
    <t>The contract requires that, for individual medical records and any other health and enrollment information maintained with respect to enrollees, that identifies particular enrollees (in any form), the MCP must comply with state procedures that, except as provided by Federal and state law, ensure that each enrollee may request and receive a copy of records and information pertaining to the enrollee in a timely manner.</t>
  </si>
  <si>
    <t>II.J.7.07</t>
  </si>
  <si>
    <t>The contract requires that, for individual medical records and any other health and enrollment information maintained with respect to enrollees, that identifies particular enrollees (in any form), the MCP must comply with state procedures that, except as provided by Federal and state law, ensure that each enrollee may request and receive a copy of records and information pertaining to the enrollee and that an enrollee may request that such records or information be supplemented or corrected.</t>
  </si>
  <si>
    <t>NEMT PAHPs are only subject to the data, information, and documentation provisions specified in 42 CFR 438.610 under this requirement at 42 CFR 438.3(u).</t>
  </si>
  <si>
    <t>These subcontractor requirements at 42 CFR 438.230 only apply to contracts where the MCP has a subcontractor(s).</t>
  </si>
  <si>
    <t>If the state elects to use a methodology other than requiring the MCO, PIHP, or PAHP to enter into a COBA with Medicare, that methodology must ensure that the submitting provider is promptly informed on the state’s remittance advice that the state has not denied payment and that the claim has been sent to the MCO, PIHP, or PAHP for payment consideration.</t>
  </si>
  <si>
    <t xml:space="preserve">Pursuant to 42 CFR 438.700(a), each state that contracts with an MCO must, and each state that contracts with a PCCM entity may, establish intermediate sanctions that it may impose. The state may base its determinations on findings from on-site surveys, enrollee or other complaints, financial status, or any other source. This requirement applies to PCCM entities at the state’s option. A response of N/A is appropriate when the state does not impose intermediate sanctions on PCCM entities. </t>
  </si>
  <si>
    <t>Pursuant to 42 CFR 438.700(b)(3), this includes termination of enrollment or refusal to reenroll a beneficiary, except as permitted under the Medicaid program, or any practice that would reasonably be expected to discourage enrollment by beneficiaries whose medical condition or history indicates probable need for substantial future medical services.</t>
  </si>
  <si>
    <t>Physician Incentive Plan requirements are described in the “Providers and Provider Networks” and “Beneficiary Notification” sections of the tool.</t>
  </si>
  <si>
    <t>This provision under 42 CFR 438.702(b) applies to HIOs, PIHPs, PAHPs, NEMT PAHPs, or PCCM entities as a state option. States are required to have intermediate sanctions that may be applied for MCOs. This item can be marked as "N/A" if the state does not include additional intermediate sanctions.</t>
  </si>
  <si>
    <t>The numbering for this requirement has changed since the State Guide was released.</t>
  </si>
  <si>
    <t>Pursuant to 42 CFR 438.700(b)(3), discrimination among enrollees on the basis of their health status or need for health care services includes termination of enrollment or refusal to reenroll a beneficiary, except as permitted under Medicaid or CHIP, or any practice that would reasonably be expected to discourage enrollment by beneficiaries whose medical condition or history indicates probable need for substantial future medical services.</t>
  </si>
  <si>
    <t>An exception to the solvency requirement at 42 CFR 438.116(b) applies when the MCP 1) does not provide inpatient hospital and physician services, 2) is a public entity, 3) is, or is controlled by, a FQHC and meets the state’s FQHC solvency requirements, or 4) has solvency guaranteed by the state.</t>
  </si>
  <si>
    <t>Subpart K - Health Information Systems and Enrollee Data</t>
  </si>
  <si>
    <t>I.K Health Information Systems and Enrollee Data</t>
  </si>
  <si>
    <t>I.K.1.01</t>
  </si>
  <si>
    <t>42 CFR 438.242(a)</t>
  </si>
  <si>
    <t>The contract requires that the MCP maintain a health information system that collects, analyzes, integrates, and reports data.</t>
  </si>
  <si>
    <t>I.K.1.02</t>
  </si>
  <si>
    <t>The contract requires that the MCP’s health information system provide information on areas including, but not limited to, utilization, claims, grievances and appeals, and disenrollment for reasons other than loss of Medicaid eligibility.</t>
  </si>
  <si>
    <t>I.K.1.03</t>
  </si>
  <si>
    <t>Section 6504(a) of the ACA; Section 1903(r)(1)(F) of the Act; 42 CFR 438.242(b)(1)</t>
  </si>
  <si>
    <t>The contract requires that the MCP comply with Section 6504(a) of the ACA, which requires that state claims processing and retrieval systems are able to collect data elements necessary to enable the mechanized claims processing and information retrieval systems in operation by the state to meet the requirements of Section 1903(r)(1)(F) of the Act.</t>
  </si>
  <si>
    <t>I.K.1.04</t>
  </si>
  <si>
    <t>42 CFR 438.242(b)(2)</t>
  </si>
  <si>
    <t xml:space="preserve">The contract requires that the MCP collect data on enrollee and provider characteristics as specified by the state and on all services furnished to enrollees through an encounter data system or other methods as may be specified by the state. </t>
  </si>
  <si>
    <t>I.K.1.05</t>
  </si>
  <si>
    <t>42 CFR 438.242(b)(3)(i)</t>
  </si>
  <si>
    <t>The contract requires that the MCP verify the accuracy and timeliness of data reported by providers, including data from network providers the MCP is compensating on the basis of capitation payments.</t>
  </si>
  <si>
    <t>I.K.1.06</t>
  </si>
  <si>
    <t>42 CFR 438.242(b)(3)(ii)</t>
  </si>
  <si>
    <t>The contract requires that the MCP screen the data received from providers for completeness, logic, and consistency.</t>
  </si>
  <si>
    <t>I.K.1.07</t>
  </si>
  <si>
    <t>42 CFR 438.242(b)(3)(iii)</t>
  </si>
  <si>
    <t>The contract requires that the MCP collect data from providers in standardized formats to the extent feasible and appropriate, including secure information exchanges and technologies utilized for state Medicaid quality improvement and care coordination efforts.</t>
  </si>
  <si>
    <t>I.K.1.08</t>
  </si>
  <si>
    <t>42 CFR 438.242(b)(4)</t>
  </si>
  <si>
    <t>The contract requires the MCP to make all collected data available to the state and, upon request, to CMS.</t>
  </si>
  <si>
    <t>I.K.1.09</t>
  </si>
  <si>
    <t>42 CFR 438.242(b)(5)</t>
  </si>
  <si>
    <t>The contract requires that the MCP implement an Application Programming Interface (API) that meets the criteria specified at 42 CFR 431.60 and includes: 
• Data concerning adjudicated claims, including claims data for payment decisions that may be appealed, were appealed, or are in the process of appeal, and provider remittances and beneficiary cost-sharing pertaining to such claims, no later than one business day after a claim is processed;
• Encounter data, including encounter data from any network providers the MCP is compensating on the basis of capitation payments and adjudicated claims and encounter data from any subcontractors no later than one business day after receiving the data from providers;
• Clinical data, including laboratory results, if the MCP maintains any such data, no later than one business day after the data is received by the state; and 
• Information about covered outpatient drugs and updates to such information, including, where applicable, preferred drug list information, no later than one business day after the effective date of any such information or updates to such information.</t>
  </si>
  <si>
    <t>I.K.1.12</t>
  </si>
  <si>
    <t>42 CFR 438.242(b)(6)</t>
  </si>
  <si>
    <t>The contract requires that the MCP implement and maintain a publicly accessible standards-based API as described in 42 CFR 431.70, which must include all of the provider directory information specified in 42 CFR 438.10(h)(1) and (2).</t>
  </si>
  <si>
    <t>2, 3</t>
  </si>
  <si>
    <t>I.K.1.13</t>
  </si>
  <si>
    <t>42 CFR 438.242(c)(1)</t>
  </si>
  <si>
    <t>The contract must provide for collection and maintenance of sufficient enrollee encounter data to identify the provider who delivers any item(s) or service(s) to enrollees.</t>
  </si>
  <si>
    <t>I.K.1.14</t>
  </si>
  <si>
    <t>42 CFR 438.242(c)(2)</t>
  </si>
  <si>
    <t>The contract must provide for submission of enrollee encounter data to the state at a frequency and level of detail to be specified by CMS and the state, based on program administration, oversight, and program integrity needs.</t>
  </si>
  <si>
    <t>I.K.1.15</t>
  </si>
  <si>
    <t>42 CFR 438.242(c)(3); 42 CFR 438.818</t>
  </si>
  <si>
    <t>The contract must provide for submission of all enrollee encounter data, including allowed amount and paid amount, that the state is required to report to CMS under 42 CFR 438.818.</t>
  </si>
  <si>
    <t>I.K.1.16</t>
  </si>
  <si>
    <t>42 CFR 438.242(c)(4)</t>
  </si>
  <si>
    <t>The contract must provide specifications for submitting encounter data to the state in standardized Accredited Standards Committee (ASC) X12N 837 and National Council for Prescription Drug Programs (NCPDP) formats, and the ASC X12N 835 format as appropriate.</t>
  </si>
  <si>
    <t>The criteria for an API is specified at 42 CFR 431.60 and can be located at:</t>
  </si>
  <si>
    <t>https://www.ecfr.gov/current/title-42/chapter-IV/subchapter-C/part-431/subpart-B/section-431.60</t>
  </si>
  <si>
    <t>The criteria for a publicly accessible standards-based API is specified at 42 CFR 431.70 and can be located at:</t>
  </si>
  <si>
    <t>https://www.ecfr.gov/current/title-42/chapter-IV/subchapter-C/part-431/subpart-B#431.70</t>
  </si>
  <si>
    <t>The provider directory information at 42 CFR 431.10(h)(1) and (2) can be located at:</t>
  </si>
  <si>
    <t>https://www.ecfr.gov/current/title-42/chapter-IV/subchapter-C/part-431#431.10</t>
  </si>
  <si>
    <t>Standards under 42 CFR 438.242(c)(4) regulate the electronic transmission of specific healthcare transactions, including eligibility, claim status, referrals, claims, and remittances.</t>
  </si>
  <si>
    <r>
      <rPr>
        <sz val="11"/>
        <rFont val="Arial"/>
        <family val="2"/>
      </rPr>
      <t xml:space="preserve">If prompted in the MS Excel header, please select "enable editing" or "enable content" to enable the functionality in this workbook. This workbook contains formulas throughout. To avoid overwriting them, </t>
    </r>
    <r>
      <rPr>
        <b/>
        <i/>
        <sz val="11"/>
        <rFont val="Arial"/>
        <family val="2"/>
      </rPr>
      <t xml:space="preserve">please do not add or delete rows, or copy and paste content. </t>
    </r>
  </si>
  <si>
    <t>Instructions for CMS analysts:</t>
  </si>
  <si>
    <r>
      <rPr>
        <b/>
        <i/>
        <sz val="10"/>
        <color rgb="FF000000"/>
        <rFont val="Arial"/>
        <family val="2"/>
      </rPr>
      <t xml:space="preserve">To generate a summary of outstanding issues, </t>
    </r>
    <r>
      <rPr>
        <sz val="10"/>
        <color rgb="FF000000"/>
        <rFont val="Arial"/>
        <family val="2"/>
      </rPr>
      <t xml:space="preserve">press the Click to Generate List button OR ctrl + g to create a list of requirements that were marked as "No," "Not Met," or "Unsure". 
</t>
    </r>
  </si>
  <si>
    <r>
      <rPr>
        <b/>
        <i/>
        <sz val="10"/>
        <rFont val="Arial"/>
        <family val="2"/>
      </rPr>
      <t xml:space="preserve">To update the summary, or re-run the summary of "No," "Not Met," or "Unsure" requirements, </t>
    </r>
    <r>
      <rPr>
        <sz val="10"/>
        <rFont val="Arial"/>
        <family val="2"/>
      </rPr>
      <t>first clear the sheet by clicking the Click to Delete List button OR ctrl + d. Do not clear the sheet by deleting the contents of the cell. To make changes, you must navigate to tabs A-K.</t>
    </r>
  </si>
  <si>
    <t>Term</t>
  </si>
  <si>
    <t>Applies to Medicaid</t>
  </si>
  <si>
    <t>Applies to CHIP</t>
  </si>
  <si>
    <t>Definition</t>
  </si>
  <si>
    <t>Medicaid Regulation</t>
  </si>
  <si>
    <t>CHIP Regulation</t>
  </si>
  <si>
    <t>Abuse</t>
  </si>
  <si>
    <t>X</t>
  </si>
  <si>
    <t>Provider practices that are inconsistent with sound fiscal, business, or medical practices, and result in an unnecessary cost to the Medicaid program, or in reimbursement for services that are not medically necessary or that fail to meet professionally recognized standards for health care. It also includes beneficiary practices that result in unnecessary cost to the Medicaid program.</t>
  </si>
  <si>
    <t>42 CFR 438.2; 
42 CFR 455.2</t>
  </si>
  <si>
    <t>Access</t>
  </si>
  <si>
    <t xml:space="preserve">As used in 42 CFR Part 438 Subpart E and pertaining to external quality review, the timely use of services to achieve optimal outcomes, as evidenced by MCPs successfully demonstrating and reporting on outcomes information for the availability and timeliness elements defined under 42 CFR 438.68 (network adequacy standards) and 438.206 (availability of services). </t>
  </si>
  <si>
    <t>42 CFR 438.320</t>
  </si>
  <si>
    <t>Actuarially sound principles</t>
  </si>
  <si>
    <t xml:space="preserve">Generally accepted actuarial principles and practices that are applied to determine aggregate utilization patterns, are appropriate for the population and services to be covered, and have been certified by actuaries who meet the qualification standards established by the Actuarial Standards Board. </t>
  </si>
  <si>
    <t>42 CFR 457.10</t>
  </si>
  <si>
    <t>Actuary</t>
  </si>
  <si>
    <t>An individual who meets the qualification standards established by the American Academy of Actuaries for an actuary and who follows the practice standards established by the Actuarial Standards Board. In 42 CFR Part 438, the term "actuary" refers to an individual who is acting on behalf of the state when used in reference to the development and certification of capitation rates.</t>
  </si>
  <si>
    <t>42 CFR 438.2</t>
  </si>
  <si>
    <t>Adverse benefit determination</t>
  </si>
  <si>
    <t xml:space="preserve">In the case of an MCO, PIHP, or PAHP, any of the following: 
(1) The denial or limited authorization of a requested service, including determinations based on the type or level of service, requirements for medical necessity, appropriateness, setting, or effectiveness of a covered benefit.
(2) The reduction, suspension, or termination of a previously authorized service.
(3) The denial, in whole or in part, of payment for a service. A denial, in whole or in part, of a payment for a service solely because the claim does not meet the definition of a ‘‘clean claim’’ at 42 CFR 447.45(b) of this chapter is not an adverse benefit determination.
(4) The failure to provide services in a timely manner, as defined by the state.
(5) The failure of an MCO, PIHP, or PAHP to act within the timeframes provided in 42 CFR 438.408(b)(1) and (2) regarding the standard resolution of grievances and appeals.
(6) For a resident of a rural area with only one MCO, the denial of an enrollee's request to exercise his or her right, under 42 CFR 438.52(b)(2)(ii), to obtain services outside the network.
(7) The denial of an enrollee's request to dispute a financial liability, including cost sharing, copayments, premiums, deductibles, coinsurance, and other enrollee financial liabilities.
</t>
  </si>
  <si>
    <t>42 CFR 438.400(b)</t>
  </si>
  <si>
    <t>42 CFR 457.1260; 
42 CFR 438.400(b)</t>
  </si>
  <si>
    <t>Aggregate lifetime dollar limit</t>
  </si>
  <si>
    <t>A dollar limitation on the total amount of specified benefits that may be paid under a state plan or a managed care entity that contracts with the state plan.</t>
  </si>
  <si>
    <t>42 CFR 457.496</t>
  </si>
  <si>
    <t xml:space="preserve">A dollar limitation on the total amount of specified benefits that may be paid under a MCO, PIHP, or PAHP. </t>
  </si>
  <si>
    <t>42 CFR 438.900</t>
  </si>
  <si>
    <t>American Indian/Alaska Native</t>
  </si>
  <si>
    <t xml:space="preserve">(1) A member of a federally recognized Indian tribe, band, or group; 
(2) An Eskimo or Aleut or other Alaska Native enrolled by the Secretary of the Interior pursuant to the Alaska Native Claims Settlement Act, 43 United States Code (USC) 1601 et. seq.; or 
(3) A person who is considered by the Secretary of the Interior to be an Indian for any purpose.
</t>
  </si>
  <si>
    <t>Annual dollar limit</t>
  </si>
  <si>
    <t>A dollar limitation on the total amount of specified benefits that may be paid in a 12-month period under a state plan or an MCP that contracts with a state plan.</t>
  </si>
  <si>
    <t>42 CFR 457.496(a)</t>
  </si>
  <si>
    <t>A dollar limitation on the total amount of specified benefits that may be paid in a 12-month period under a MCO, PIHP, or PAHP.</t>
  </si>
  <si>
    <t>Appeal</t>
  </si>
  <si>
    <t xml:space="preserve">A review by an MCO, PIHP, or PAHP of an adverse benefit determination. </t>
  </si>
  <si>
    <t>Capitation payment</t>
  </si>
  <si>
    <t xml:space="preserve">A payment the state makes periodically to a contractor on behalf of each beneficiary enrolled under a contract and based on the actuarially sound capitation rate for the provision of services under the state plan. The state makes the payment regardless of whether the particular beneficiary receives services during the period covered by the payment. </t>
  </si>
  <si>
    <t>Child</t>
  </si>
  <si>
    <t>An individual under the age of 19, including the period from conception to birth.</t>
  </si>
  <si>
    <t>Child health assistance</t>
  </si>
  <si>
    <t>Payment for part or all of the cost of health benefits coverage provided to targeted low-income children for the services listed at 42 CFR 457.402.</t>
  </si>
  <si>
    <t>Children's Health Insurance Program</t>
  </si>
  <si>
    <t xml:space="preserve">A program established and administered by a state, jointly funded with the federal government, to provide child health assistance to uninsured, low-income children through a separate child health program, a Medicaid expansion program, or a combination program. </t>
  </si>
  <si>
    <t>Choice counseling</t>
  </si>
  <si>
    <t xml:space="preserve">The provision of information and services designed to assist beneficiaries in making enrollment decisions; it includes answering questions and identifying factors to consider when choosing among MCPs and PCPs. Choice counseling does not include making recommendations for or against enrollment into a specific MCO, PIHP, or PAHP. </t>
  </si>
  <si>
    <t>Cold-call marketing</t>
  </si>
  <si>
    <t>Any unsolicited personal contact by the MCO, PIHP, PAHP, PCCM, or PCCM entity with a potential enrollee for the purpose of marketing.</t>
  </si>
  <si>
    <t>42 CFR 438.104(a)</t>
  </si>
  <si>
    <t>42 CFR 457.1224; 
42 CFR 438.104(a)</t>
  </si>
  <si>
    <t>Combination program</t>
  </si>
  <si>
    <t>A program under which a state implements both a Medicaid expansion program and a separate child health program.</t>
  </si>
  <si>
    <t>Comprehensive risk contract</t>
  </si>
  <si>
    <t>A risk contract between the state and an MCO that covers comprehensive services, that is, inpatient hospital services and any of the following services, or any three or more of the following services: 
(1) Outpatient hospital services
(2) RHC services
(3) FQHC services
(4) Other laboratory and X-ray services
(5) Nursing facility services
(6) EPSDT services
(7) Family planning services
(8) Physician services
(9) Home health services</t>
  </si>
  <si>
    <t>Cost sharing</t>
  </si>
  <si>
    <t>Premium charges, enrollment fees, deductibles, coinsurance, copayments, or other similar fees that the enrollee has responsibility for paying.</t>
  </si>
  <si>
    <t>Credibility adjustment</t>
  </si>
  <si>
    <t>An adjustment to the MLR for a partially credible MCO, PIHP, or PAHP to account for a difference between the actual and target MLRs that may be due to random statistical variation.</t>
  </si>
  <si>
    <t xml:space="preserve"> 42 CFR 438.8(b)</t>
  </si>
  <si>
    <t>42 CFR 457.1203(f); 
42 CFR 438.8(b)</t>
  </si>
  <si>
    <t>Cumulative financial requirements</t>
  </si>
  <si>
    <t>Financial requirements that determine whether or to what extent benefits are provided based on accumulated amounts and include deductibles and out-of-pocket maximums (however, cumulative financial requirements do not include aggregate lifetime or annual dollar limits because these two terms are excluded from the meaning of financial requirements).</t>
  </si>
  <si>
    <t>Default enrollment</t>
  </si>
  <si>
    <t>In 81 FR 27614, CMS describes default enrollment (also commonly known as auto-assignment) as a process used by states with mandatory managed care programs to assign beneficiaries into plans when they do not actively select a MCP in the timeframe permitted by the state.</t>
  </si>
  <si>
    <t>81 FR 27614</t>
  </si>
  <si>
    <t>Disability status</t>
  </si>
  <si>
    <t xml:space="preserve">For the purposes of the managed care state quality strategy, whether an individual qualified for Medicaid on the basis of a disability. </t>
  </si>
  <si>
    <t>42 CFR 438.340(b)(6)</t>
  </si>
  <si>
    <t>Discrimination</t>
  </si>
  <si>
    <t xml:space="preserve">Termination of enrollment or refusal to reenroll a beneficiary, except as permitted under the Medicaid program, or any practice that would reasonably be expected to discourage enrollment by beneficiaries whose medical condition or history indicates a probable need for substantial future medical services. </t>
  </si>
  <si>
    <t>42 CFR 438.700(b)(3)</t>
  </si>
  <si>
    <t>42 CFR 457.1270; 
42 CFR 438.700(b)(3)</t>
  </si>
  <si>
    <t xml:space="preserve">Early and Periodic Screening, Diagnostic and Treatment </t>
  </si>
  <si>
    <t xml:space="preserve">Benefits defined in Section 1905(r) of the Act including: screening services, vision services, dental services, hearing services, and such other necessary health care, diagnostic services, treatment, and other measures described in Section 1905(a) of the Act to correct or ameliorate defects and physical and mental illnesses and conditions discovered by the screening services, whether or not such services are covered under the state plan, and for CHIP, provided in accordance with Section 1902(a)(43) of the Act. </t>
  </si>
  <si>
    <t>Section 1905(r) of the Act</t>
  </si>
  <si>
    <t>42 CFR 457.496(b);
Section 1905(r) of the Act</t>
  </si>
  <si>
    <t>Emergency medical condition</t>
  </si>
  <si>
    <t>A medical condition manifesting itself by acute symptoms of sufficient severity (including severe pain) that a prudent layperson, who possesses an average knowledge of health and medicine, could reasonably expect the absence of immediate medical attention to result in the following:
(1) Placing the health of the individual (or, for a pregnant woman, the health of the woman or her unborn child) in serious jeopardy.
(2) Serious impairment to bodily functions.
(3) Serious dysfunction of any bodily organ or part.</t>
  </si>
  <si>
    <t>42 CFR 438.114(a)</t>
  </si>
  <si>
    <t>Emergency services</t>
  </si>
  <si>
    <t xml:space="preserve">Health care services that are: 
(1) Furnished by any provider qualified to furnish such services; and
(2) Needed to evaluate, treat, or stabilize an emergency medical condition.
</t>
  </si>
  <si>
    <t>Enrollee</t>
  </si>
  <si>
    <t>A child who receives health benefits coverage through CHIP.</t>
  </si>
  <si>
    <t>A Medicaid beneficiary who is currently enrolled in an MCO, PIHP, PAHP, PCCM, or PCCM entity in a given managed care program.</t>
  </si>
  <si>
    <t xml:space="preserve"> 42 CFR 438.2</t>
  </si>
  <si>
    <t>Enrollee encounter data</t>
  </si>
  <si>
    <t xml:space="preserve">The information relating to the receipt of any item(s) or service(s) by an enrollee under a contract between a state and a MCO, PIHP, or PAHP that is subject to the requirements of 42 CFR 438.242 and 42 CFR 438.818. </t>
  </si>
  <si>
    <t>Enrollment activities</t>
  </si>
  <si>
    <t xml:space="preserve">Activities such as distributing, collecting, and processing enrollment materials and taking enrollments by phone, in person, or through electronic methods of communication. </t>
  </si>
  <si>
    <t>42 CFR 438.810(a)</t>
  </si>
  <si>
    <t>Enrollment broker</t>
  </si>
  <si>
    <t>An individual or entity that performs choice counseling or enrollment activities, or both.</t>
  </si>
  <si>
    <t>External quality review</t>
  </si>
  <si>
    <t>The analysis and evaluation by an External Quality Review Organization (EQRO), of aggregated information on quality, timeliness, and access to the health care services that an MCO, PIHP, or PAHP, or their contractors furnish to Medicaid or CHIP beneficiaries.</t>
  </si>
  <si>
    <t>External quality review organization</t>
  </si>
  <si>
    <t xml:space="preserve">An organization that meets the competence and independence requirements set forth in 42 CFR 438.354, and performs EQRs and other EQR-related activities as set forth in 42 CFR 438.358, or both. </t>
  </si>
  <si>
    <t>Federally qualified HMO</t>
  </si>
  <si>
    <t xml:space="preserve">A Health Maintenance Organization (HMO) that CMS has determined is a qualified HMO under Section 2791(b)(3) of the Public Health Service Act. </t>
  </si>
  <si>
    <t xml:space="preserve">An HMO that CMS has determined is a qualified HMO under Section 1310(d) of the Public Health Service Act. </t>
  </si>
  <si>
    <t>Fee-for-service entity</t>
  </si>
  <si>
    <t>Any individual or entity that furnishes services under the program on a FFS basis, including health insurance services.</t>
  </si>
  <si>
    <t>Financial requirements</t>
  </si>
  <si>
    <t xml:space="preserve">Deductibles, copayments, coinsurance, or out-of-pocket maximums. Financial requirements do not include premiums or aggregate lifetime or annual dollar limits. </t>
  </si>
  <si>
    <t>Fraud</t>
  </si>
  <si>
    <t xml:space="preserve">An intentional deception or misrepresentation made by a person with the knowledge that the deception could result in some unauthorized benefit to himself or some other person. It includes any act that constitutes fraud under applicable federal or state law. </t>
  </si>
  <si>
    <t>Full credibility</t>
  </si>
  <si>
    <t>A standard for which the experience of an MCO, PIHP, or PAHP is determined to be sufficient for the calculation of a MLR with a minimal chance that the difference between the actual and target MLR is not statistically significant. An MCO, PIHP, or PAHP that is assigned full credibility (or is fully credible) will not receive a credibility adjustment to its MLR.</t>
  </si>
  <si>
    <t>42 CFR 438.8(b)</t>
  </si>
  <si>
    <t>42 CFR 457.1203(f);
42 CFR 438.8(b)</t>
  </si>
  <si>
    <t>Grievance</t>
  </si>
  <si>
    <t>An expression of dissatisfaction about any matter other than an adverse benefit determination. Grievances may include, but are not limited to, the quality of care or services provided, and aspects of interpersonal relationships such as rudeness of a provider or employee, or failure to respect the enrollee's rights regardless of whether remedial action is requested. Grievance includes an enrollee's right to dispute an extension of time proposed by the MCO, PIHP, or PAHP to make an authorization decision.</t>
  </si>
  <si>
    <t>Grievance and appeal system</t>
  </si>
  <si>
    <t xml:space="preserve">The processes the MCO, PIHP, or PAHP implements to handle appeals of an adverse benefit determination and grievances, as well as the processes to collect and track information about them. </t>
  </si>
  <si>
    <t>Health benefits coverage</t>
  </si>
  <si>
    <t xml:space="preserve">An arrangement under which enrolled individuals are protected from some or all liability for the cost of specified health care services. </t>
  </si>
  <si>
    <t>Health care services</t>
  </si>
  <si>
    <t xml:space="preserve">Any of the services, devices, supplies, therapies, or other items listed in 42 CFR 457.402. </t>
  </si>
  <si>
    <t>As used in 42 CFR Part 438, Subpart E, all Medicaid services provided by an MCO, PIHP, or PAHP under contract with the state Medicaid agency in any setting, including but not limited to medical care, behavioral health care, and LTSS.</t>
  </si>
  <si>
    <t>Health insuring organization</t>
  </si>
  <si>
    <t xml:space="preserve">A county operated entity, that in exchange for capitation payments, covers services for beneficiaries:
(1) Through payments to, or arrangements with, providers;
(2) Under a comprehensive risk contract with the state; and
(3) Meets the following criteria— first became operational prior to 1/1/1986; or is described in Section 9517(c)(3) of the Omnibus Budget Reconciliation Act (OBRA) of 1985 (as amended by Section 4734 of the OBRA of 1990 and Section 205 of the Medicare Improvements for Patients and Providers Act [MIPPA] of 2008). </t>
  </si>
  <si>
    <t>Health maintenance organization plan</t>
  </si>
  <si>
    <t xml:space="preserve">A health insurance coverage plan that is offered through an HMO (as defined in Section 2791(b)(3) of the Public Health Service Act) and has the largest insured commercial, non-Medicaid enrollment in the state. </t>
  </si>
  <si>
    <t>42 CFR 457.10; 
42 CFR 457.420</t>
  </si>
  <si>
    <t>Incentive arrangement</t>
  </si>
  <si>
    <t xml:space="preserve">Any payment mechanism under which a MCO, PIHP, or PAHP may receive additional funds over and above the capitation rates it was paid for meeting targets specified in the contract. </t>
  </si>
  <si>
    <t>42 CFR 438.6</t>
  </si>
  <si>
    <t>Indian</t>
  </si>
  <si>
    <t>Any individual defined at 25 USC 1603(13), 1603(28), or 1679(a), or who has been determined eligible as an Indian, under 42 CFR 136.12. This means the individual:
(1) Is a member of a Federally recognized Indian tribe;
(2) Resides in an urban center and meets one or more of the four criteria:
i. Is a member of a tribe, band, or other organized group of Indians, including those tribes, bands, or groups terminated since 1940 and those recognized now or in the future by the state in which they reside, or who is a descendant, in the first or second degree, of any such member;
ii. Is an Eskimo or Aleut or other Alaska Native;
iii. Is considered by the Secretary of the Interior to be an Indian for any purpose; or
iv. Is determined to be an Indian under regulations issued by the Secretary;
(3) Is considered by the Secretary of the Interior to be an Indian for any purpose; or
(4) Is considered by the Secretary of HHS to be an Indian for purposes of eligibility for Indian health care services, including as a California Indian, Eskimo, Aleut, or other Alaska Native.</t>
  </si>
  <si>
    <t>42 CFR 438.14(a)</t>
  </si>
  <si>
    <t>Indian Health Care Provider</t>
  </si>
  <si>
    <t xml:space="preserve">A health care program operated by the IHS or by an I/T/U as those terms are defined in Section 4 of the Indian Health Care Improvement Act (25 USC 1603). </t>
  </si>
  <si>
    <t>42 CFR 457.1209; 
42 CFR 438.14(a)</t>
  </si>
  <si>
    <t>Indian Managed Care Entity</t>
  </si>
  <si>
    <t xml:space="preserve">A MCO, PIHP, PAHP, PCCM, or PCCM entity that is controlled (within the meaning of the last sentence of Section 1903(m)(1)(C) of the Act) by the IHS, an I/T/U, or a consortium, which may be composed of one or more I/T/Us, and which also may include the Service. </t>
  </si>
  <si>
    <t>Limited English Proficiency</t>
  </si>
  <si>
    <t>Potential enrollees and enrollees who do not speak English as their primary language and who have a limited ability to read, write, speak, or understand English may be Limited English Proficient and may be eligible to receive language assistance for a particular type of service, benefit, or encounter.</t>
  </si>
  <si>
    <t>42 CFR 438.10(a)</t>
  </si>
  <si>
    <t>42 CFR 457.1207; 
42 CFR 438.10(a)</t>
  </si>
  <si>
    <t>Long-term services and supports</t>
  </si>
  <si>
    <t xml:space="preserve">Services and supports provided to beneficiaries of all ages who have functional limitations and/or chronic illnesses that have the primary purpose of supporting the ability of the beneficiary to live or work in the setting of their choice, which may include the individual's home, a worksite, a provider-owned or controlled residential setting, a nursing facility, or other institutional setting. </t>
  </si>
  <si>
    <t>Low-income child</t>
  </si>
  <si>
    <t>A child whose household income is at or below 200 percent of the poverty line for the size of the family involved.</t>
  </si>
  <si>
    <t>Managed care organization</t>
  </si>
  <si>
    <t>An entity that has, or is seeking to qualify for, a comprehensive risk contract under 42 CFR Part 457, and that is: (1) A federally qualified HMO that meets the advance directives requirements of 42 CFR Part 489, Subpart I; or (2) Makes the services it provides to its CHIP enrollees as accessible (in terms of timeliness, amount, duration, and scope) as those services are to other CHIP beneficiaries within the area served by the entity; and (3) Meets the solvency standards of 42 CFR 438.116.</t>
  </si>
  <si>
    <t xml:space="preserve">An entity that has, or is seeking to qualify for, a comprehensive risk contract under 42 CFR Part 438, and that is: (1) A federally qualified HMO that meets the advance directives requirements of subpart I of part 489 of this chapter; or (2) Any public or private entity that meets the advance directives requirements and is determined by the Secretary to also meet the following conditions: (i) Makes the services it provides to its Medicaid enrollees as accessible (in terms of timeliness, amount, duration, and scope) as those services are to other Medicaid beneficiaries within the area served by the entity; (ii) Meets the solvency standards of 42 CFR 438.116. </t>
  </si>
  <si>
    <t>Managed care plan</t>
  </si>
  <si>
    <t xml:space="preserve">An entity that enters into a contract to provide services in a managed care delivery system, including but not limited to MCOs, PIHPs, PAHPs, and PCCMs. </t>
  </si>
  <si>
    <t>Managed care program</t>
  </si>
  <si>
    <t>A managed care delivery system operated by a state as authorized under Sections 1915(a), 1915(b), 1932(a), or 1115(a) of the Act.</t>
  </si>
  <si>
    <t>Mandatory enrollment</t>
  </si>
  <si>
    <t>Enrollment where one or more groups of beneficiaries as enumerated in Section 1905(a) of the Act must enroll in an MCO, PIHP, PAHP, PCCM or PCCM entity to receive covered Medicaid benefits.</t>
  </si>
  <si>
    <t>42 CFR 438.54(b)(2)</t>
  </si>
  <si>
    <t>Marketing</t>
  </si>
  <si>
    <t xml:space="preserve">Any communication, from an MCO, PIHP, PAHP, PCCM, or PCCM entity to a CHIP enrollee or Medicaid beneficiary who is not enrolled in that entity, that can reasonably be interpreted as intended to influence the CHIP enrollee or Medicaid beneficiary to enroll in that particular MCO's, PIHP's, PAHP's, PCCM's, or PCCM entity's CHIP or Medicaid product, or either to not enroll in or to disenroll from another MCO's, PIHP's, PAHP's, PCCM's, or PCCM entity's CHIP or Medicaid product. Marketing does not include communication to a CHIP enrollee or Medicaid beneficiary from the issuer of a qualified health plan, as defined in 45 CFR 155.20, about the qualified health plan. </t>
  </si>
  <si>
    <t>Marketing materials</t>
  </si>
  <si>
    <t>Materials that—
(1) Are produced in any medium, by or on behalf of an MCO, PIHP, PAHP, PCCM, or PCCM entity; and
(2) Can reasonably be interpreted as intended to market the MCO, PIHP, PAHP, PCCM, or PCCM entity to potential enrollees.</t>
  </si>
  <si>
    <t>MCO, PIHP, PAHP, PCCM, or PCCM entity</t>
  </si>
  <si>
    <t xml:space="preserve">Any of the entity's employees, network providers, agents, or contractors. </t>
  </si>
  <si>
    <t>Medicaid expansion program</t>
  </si>
  <si>
    <t xml:space="preserve">A program under which a state receives federal funding to expand Medicaid eligibility to optional targeted low-income children. </t>
  </si>
  <si>
    <t xml:space="preserve">Medical Loss Ratio reporting year
</t>
  </si>
  <si>
    <t>A period of 12 months consistent with the rating period selected by the state.</t>
  </si>
  <si>
    <t xml:space="preserve">42 CFR 457.1203(f); 
42 CFR 438.8(b) </t>
  </si>
  <si>
    <t>Medical/surgical benefits</t>
  </si>
  <si>
    <t>Benefits for items or services for medical conditions or surgical procedures, as defined under the terms of the state plan in accordance with applicable federal and state law, but does not include MH or SUD benefits. Any condition defined by the state plan as being or not being a medical/surgical condition must be defined to be consistent with generally recognized independent standards of current medical practice (for example, the most current version of the ICD) or generally applicable state guidelines). Medical/surgical benefits include long-term care services.</t>
  </si>
  <si>
    <t>Member months</t>
  </si>
  <si>
    <t xml:space="preserve">The number of months an enrollee or a group of enrollees is covered by an MCO, PIHP, or PAHP over a specified time period, such as a year. </t>
  </si>
  <si>
    <t>Mental health benefits</t>
  </si>
  <si>
    <t>Benefits for items or services for mental health conditions, as defined by the state and in accordance with applicable federal and state law. Any condition defined by the state as being or as not being a MH condition must be defined to be consistent with generally recognized independent standards of current medical practice (for example, the most current version of the DSM, the most current version of the ICD, or state guidelines). Mental health benefits include long-term care services.</t>
  </si>
  <si>
    <t>Network provider</t>
  </si>
  <si>
    <t>Any provider, group of providers, or entity that has a network provider agreement with a MCO, PIHP, or PAHP, or a subcontractor, and receives Medicaid funding directly or indirectly to order, refer or render covered services as a result of the state's contract with an MCO, PIHP, or PAHP. A network provider is not a subcontractor by virtue of the network provider agreement.</t>
  </si>
  <si>
    <t>No credibility</t>
  </si>
  <si>
    <t xml:space="preserve">A standard for which the experience of an MCO, PIHP, or PAHP is determined to be insufficient for the calculation of a MLR. An MCO, PIHP, or PAHP that is assigned no credibility (or is non-credible) will not be measured against any MLR requirements. </t>
  </si>
  <si>
    <t>Non-claims cost</t>
  </si>
  <si>
    <t xml:space="preserve">Those expenses for administrative services that are not: 
(1) Incurred claims;
(2) Expenditures on activities that improve health care quality; or
(3) Licensing and regulatory fees, or
(4) Federal and state taxes. </t>
  </si>
  <si>
    <t xml:space="preserve">Non-Emergency Medical Transportation PAHP </t>
  </si>
  <si>
    <t>An entity that provides only NEMT services to enrollees under contract with the state, and on the basis of prepaid capitation payments, or other payment arrangements that do not use state plan payment rates.</t>
  </si>
  <si>
    <t>42 CFR 438.9(a)</t>
  </si>
  <si>
    <t>42 CFR 457.1206</t>
  </si>
  <si>
    <t>Non-risk contract</t>
  </si>
  <si>
    <t xml:space="preserve">A contract between the state and a PIHP or PAHP under which the contractor—
(1) Is not at financial risk for changes in utilization or for costs incurred under the contract that do not exceed the upper payment limits specified in 42 CFR 447.362; and
(2) May be reimbursed by the state at the end of the contract period on the basis of the incurred costs, subject to the specified limits. </t>
  </si>
  <si>
    <t>Optional targeted low-income child (for states)</t>
  </si>
  <si>
    <t xml:space="preserve">A child under age 19 who meets the financial and categorical standards described below. 
(1) Financial need. An optional targeted low-income child: 
a. Has a household income at or below 200 percent of the Federal Poverty Level for a family of the size involved; and 
b. Resides in a state with no Medicaid-applicable income level (as defined at 42 CFR 457.10); or 
c. Resides in a state that has a Medicaid-applicable income level (as defined at 42 CFR 457.10) and has household income that either: 
i. Exceeds the Medicaid applicable income level for the age of such child, but not by more than 50 percentage points; or 
ii. Does not exceed the income level specified for such child to be eligible for medical assistance under the policies of the state plan under title XIX on June 1, 1997. 
(2) No other coverage and state maintenance of effort. An optional targeted low-income child is not covered under a group health plan or health insurance coverage, or would not be eligible for Medicaid under the policies of the state plan in effect on 3/31/1997; except that, for purposes of this standard:
a. A child shall not be considered to be covered by health insurance coverage based on coverage offered by the state under a program in operation prior to 7/1/1997 if that program received no FFP; 
b. A child shall not be considered to be covered under a group health plan or health insurance coverage if the child did not have reasonable geographic access to care under that coverage. 
(3) For purposes of this section, policies of the state plan a under Title XIX plan include policies under a statewide demonstration project under Section 1115(a) of the Act other than a demonstration project that covered an expanded group of eligible children but that either:
a. Did not provide inpatient hospital coverage; or 
b. Limited eligibility to children previously enrolled in Medicaid, imposed premiums as a condition of initial or continued enrollment, and did not impose a general time limit on eligibility. 
</t>
  </si>
  <si>
    <t>42 CFR 457.10; 
42 CFR 435.4</t>
  </si>
  <si>
    <t>Optional targeted low-income child (for Territories)</t>
  </si>
  <si>
    <t>A child under age 19 who meets the financial and categorical standards described below. 
(1) Financial need. An optional targeted low-income child: 
a. Has a family income at or below 200 percent of the Federal Poverty Level for a family of the size involved; 
b. Resides in a state with no Medicaid-applicable income level (as defined in 42 CFR 457.10); or, 
c. Resides in a state that has a Medicaid-applicable income level (as defined in 42 CFR 457.10) and has family income that either: 
i. Exceeds the Medicaid applicable income level for the age of such child, but not by more than 50 percentage points (expressed as a percentage of the Federal Poverty Level); or 
ii. Does not exceed the income level specified for such child to be eligible for medical assistance under the policies of the state plan under title XIX on June 1, 1997. 
(2) No other coverage and state maintenance of effort. An optional targeted low-income child is not covered under a group health plan or health insurance coverage, or would not be eligible for Medicaid under the policies of the state plan in effect on 3/31/1997; except that, for purposes of this standard:
a. A child shall not be considered to be covered by health insurance coverage based on coverage offered by the state under a program in operation prior to 7/1/1997 if that program received no FFP; 
b. A child shall not be considered to be covered under a group health plan or health insurance coverage if the child did not have reasonable geographic access to care under that coverage. 
(3) For purposes of this section, policies of the state plan under Title XIX plan include policies under a statewide demonstration project under Section 1115(a) of the Act other than a demonstration project that covered an expanded group of eligible children but that either:
a. Did not provide inpatient hospital coverage; or 
b. Limited eligibility to children previously enrolled in Medicaid, imposed premiums as a condition of initial or continued enrollment, and did not impose a general time limit on eligibility.</t>
  </si>
  <si>
    <t>42 CFR 457.10; 
42 CFR 436.3</t>
  </si>
  <si>
    <t>Other disclosing entity</t>
  </si>
  <si>
    <t xml:space="preserve">Any other Medicaid disclosing entity and any entity that does not participate in Medicaid, but is required to disclose certain ownership and control information because of participation in any of the programs established under Title V, XVIII, or XX of the Act. This includes:
(1) Any hospital, skilled nursing facility, home health agency, independent clinical laboratory, renal disease facility, RHC, or HMO that participates in Medicare (Title XVIII);
(2) Any Medicare intermediary or carrier; and
(3) Any entity (other than an individual practitioner or group of practitioners) that furnishes, or arranges for the furnishing of, health-related services for which it claims payment under any plan or program established under Title V or Title XX of the Act. </t>
  </si>
  <si>
    <t>42 CFR 455.101</t>
  </si>
  <si>
    <t>Outcomes</t>
  </si>
  <si>
    <t>As used in 42 CFR Part 438 Subpart E, changes in patient health, functional status, satisfaction or goal achievement that result from health care or supportive services.</t>
  </si>
  <si>
    <t>Overpayment</t>
  </si>
  <si>
    <t>Any payment made to a network provider by a MCO, PIHP, or PAHP to which the network provider is not entitled to under Title XIX of the Act or any payment to a MCO, PIHP, or PAHP by a state to which the MCO, PIHP, or PAHP is not entitled to under Title XIX of the Act.</t>
  </si>
  <si>
    <t>Partial credibility</t>
  </si>
  <si>
    <t>A standard for which the experience of an MCO, PIHP, or PAHP is determined to be sufficient for the calculation of a MLR but with a non-negligible chance that the difference between the actual and target MLRs is statistically significant. An MCO, PIHP, or PAHP that is assigned partial credibility (or is partially credible) will receive a credibility adjustment to its MLR.</t>
  </si>
  <si>
    <t>Passive enrollment</t>
  </si>
  <si>
    <t xml:space="preserve">In 81 FR 27613, CMS defines a passive enrollment process as one in which the state selects an MCP for a potential enrollee but provides a period of time for the potential enrollee to decline the MCP selection before enrollment became effective. </t>
  </si>
  <si>
    <t>81 FR 27613</t>
  </si>
  <si>
    <t>Pass-through payment</t>
  </si>
  <si>
    <r>
      <t>Any amount required by the state to be added to the contracted payment rates, and considered in calculating the actuarially sound capitation rate, between the MCO, PIHP, or PAHP and hospitals, physicians, or nursing facilities that is not for the following purposes: A specific service or benefit provided to a specific enrollee covered under the contract; a provider payment methodology permitted under paragraphs (c)(1)(i)</t>
    </r>
    <r>
      <rPr>
        <sz val="10"/>
        <color theme="1"/>
        <rFont val="Aptos Narrow"/>
        <family val="2"/>
      </rPr>
      <t>–</t>
    </r>
    <r>
      <rPr>
        <sz val="10"/>
        <color theme="1"/>
        <rFont val="Arial"/>
        <family val="2"/>
      </rPr>
      <t xml:space="preserve">(iii) of 42 CFR 438.6 for services and enrollees covered under the contract; a subcapitated payment arrangement for a specific set of services and enrollees covered under the contract; graduate medical education payments; or FQHC or RHC wraparound payments. </t>
    </r>
  </si>
  <si>
    <t>Person-centered planning process</t>
  </si>
  <si>
    <t xml:space="preserve">A process led by the individual, where possible, and includes the individual's representative in a participatory role, as needed and as defined by the individual, unless state law confers decision-making authority to the legal representative. In addition to being led by the individual receiving services and supports, the person-centered planning process:
(1) Includes people chosen by the individual;
(2) Provides necessary information and support to ensure that the individual directs the process to the maximum extent possible, and is enabled to make informed choices and decisions;
(3) Is timely and occurs at times and locations of convenience to the individual;
(4) Reflects cultural considerations of the individual and is conducted by providing information in plain language and in a manner that is accessible to individuals with disabilities and persons who are LEP, consistent with 42 CFR 435.905(b);
(5) Includes strategies for solving conflict or disagreement within the process, including clear conflict-of-interest guidelines for all planning participants;
(6) Providers of HCBS for the individual, or those who have an interest in or are employed by a provider of HCBS for the individual must not provide case management or develop the person-centered service plan, except when the state demonstrates that the only willing and qualified entity to provide case management and/or develop person-centered service plans in a geographic area also provides HCBS. In these cases, the state must devise conflict of interest protections including separation of entity and provider functions within provider entities, which must be approved by CMS. Individuals must be provided with a clear and accessible alternative dispute resolution process;
(7) Offers informed choices to the individual regarding the services and supports they receive and from whom;
(8) Includes a method for the individual to request updates to the plan as needed;
(9) Records the alternative HCBS that were considered by the individual. </t>
  </si>
  <si>
    <t>42 CFR 441.301(c)(1)</t>
  </si>
  <si>
    <t>Person-centered service plan</t>
  </si>
  <si>
    <r>
      <t>A person-centered plan must reflect the services and supports that are important for the individual to meet the needs identified through an assessment of functional need, as well as what is important to the individual with regard to preferences for the delivery of such services and supports. Commensurate with the level of need of the individual, and the scope of services and supports available under the state's 1915(c) HCBS waiver, the written plan must:
(1) Reflect that the setting in which the individual resides is chosen by the individual. The state must ensure that the setting chosen by the individual is integrated in, and supports full access of individuals receiving Medicaid HCBS to the greater community, including opportunities to seek employment and work in competitive integrated settings, engage in community life, control personal resources, and receive services in the community to the same degree of access as individuals not receiving Medicaid HCBS;
(2) Reflect the individual's strengths and preferences;
(3) Reflect clinical and support needs as identified through an assessment of functional need;
(4) Include individually identified goals and desired outcomes;
(5) Reflect the services and supports (paid and unpaid) that will assist the individual to achieve identified goals, and the providers of those services and supports, including natural supports. Natural supports are unpaid supports that are provided voluntarily to the individual in lieu of 1915(c) HCBS waiver services and supports; 
(6) Reflect risk factors and measures in place to minimize them, including individualized back-up plans and strategies when needed;
(7) Be understandable to the individual receiving services and supports, and the individuals important in supporting him or her. At a minimum, for the written plan to be understandable, it must be written in plain language and in a manner that is accessible to individuals with disabilities and persons who are LEP, consistent with 42 CFR 435.905(b) of this chapter;
(8) Identify the individual and/or entity responsible for monitoring the plan;
(9) Be finalized and agreed to, with the informed consent of the individual in writing, and signed by all individuals and providers responsible for its implementation;
(10) Be distributed to the individual and other people involved in the plan;
(11) Include those services, the purpose or control of which the individual elects to self-direct;
(12) Prevent the provision of unnecessary or inappropriate services and supports;
(13) Document that any modification of the additional conditions, under paragraph (c)(4)(vi)(A)</t>
    </r>
    <r>
      <rPr>
        <sz val="10"/>
        <color theme="1"/>
        <rFont val="Aptos Narrow"/>
        <family val="2"/>
      </rPr>
      <t>–</t>
    </r>
    <r>
      <rPr>
        <sz val="10"/>
        <color theme="1"/>
        <rFont val="Arial"/>
        <family val="2"/>
      </rPr>
      <t>(D) of 42 CFR 431.301, must be supported by a specific assessed need and justified in the person-centered service plan.</t>
    </r>
  </si>
  <si>
    <t>42 CFR 431.301(c)(2)</t>
  </si>
  <si>
    <t>Post-stabilization care service</t>
  </si>
  <si>
    <t>Covered services, related to an emergency medical condition that are provided after an enrollee is stabilized to maintain the stabilized condition, or, under the circumstances described in 42 CFR 438.114(e), to improve or resolve the enrollee's condition.</t>
  </si>
  <si>
    <t>42 CFR 457.1228; 
42 CFR 438.114(a)</t>
  </si>
  <si>
    <t>Potential enrollee</t>
  </si>
  <si>
    <t xml:space="preserve">A Medicaid beneficiary who is subject to mandatory enrollment or who may voluntarily elect to enroll in a given MCO, PIHP, PAHP, PCCM, or PCCM entity, but is not yet an enrollee of a specific MCO, PIHP, PAHP, PCCM, or PCCM entity. </t>
  </si>
  <si>
    <t>Poverty line/Federal poverty level</t>
  </si>
  <si>
    <t xml:space="preserve">The poverty guidelines updated annually in the Federal Register by DHHS under the authority of 42 USC 9902(2). </t>
  </si>
  <si>
    <t>Prepaid ambulatory health plan</t>
  </si>
  <si>
    <t>An entity that:
(1) Provides services to enrollees under contract with the state, and on the basis of prepaid capitation payments, or other payment arrangements that do not use state plan payment rates.
(2) Does not provide or arrange for, and is not otherwise responsible for the provision of any inpatient hospital or institutional services for its enrollees.
(3) Does not have a comprehensive risk contract.</t>
  </si>
  <si>
    <t>Prepaid inpatient health plan</t>
  </si>
  <si>
    <t>An entity that:
(1) Provides services to enrollees under contract with the state, and on the basis of prepaid capitation payments, or other payment arrangements that do not use state plan payment rates.
(2) Provides, arranges for, or otherwise has responsibility for the provision of any inpatient hospital or institutional services for its enrollees.
(3) Does not have a comprehensive risk contract.</t>
  </si>
  <si>
    <t>Prevalent</t>
  </si>
  <si>
    <t xml:space="preserve">A non-English language determined to be spoken by a significant number or percentage of potential enrollees and enrollees that are LEP. </t>
  </si>
  <si>
    <t>Primary care</t>
  </si>
  <si>
    <t>All health care services and laboratory services customarily furnished by or through a general practitioner, family physician, internal medicine physician, OB/GYN, pediatrician, or other licensed practitioner as authorized by the state Medicaid program, to the extent the furnishing of those services is legally authorized in the state in which the practitioner furnishes them.</t>
  </si>
  <si>
    <t>Primary care case management</t>
  </si>
  <si>
    <t>A system under which: (1) A PCCM contracts with the state to furnish case management services (which include the location, coordination and monitoring of primary health care services) to CHIP and Medicaid beneficiaries; or (2) A PCCM entity contracts with the state to provide a defined set of functions.</t>
  </si>
  <si>
    <t>Primary care case management entity</t>
  </si>
  <si>
    <t xml:space="preserve">An organization that provides any of the following functions, in addition to primary care case management services, for the state:
(1) Provision of intensive telephonic or face-to-face case management, including operation of a nurse triage advice line.
(2) Development of enrollee care plans.
(3) Execution of contracts with and/or oversight responsibilities for the activities of FFS providers in the FFS program.
(4) Provision of payments to FFS providers on behalf of the state.
(5) Provision of enrollee outreach and education activities.
(6) Operation of a customer service call center.
(7) Review of provider claims, utilization and practice patterns to conduct provider profiling and/or practice improvement.
(8) Implementation of quality improvement activities including administering enrollee satisfaction surveys or collecting data necessary for performance measurement of providers.
(9) Coordination with behavioral health systems/providers.
(10) Coordination with LTSS systems/providers.
</t>
  </si>
  <si>
    <t>Primary care case manager</t>
  </si>
  <si>
    <t>A physician, a physician group practice or, at state option, any of the following:
(1) A physician assistant;
(2) A nurse practitioner; or
(3) A certified nurse-midwife.</t>
  </si>
  <si>
    <t>Private insurance</t>
  </si>
  <si>
    <t>Does not include a qualified health plan, as defined in 45 CFR 155.20.</t>
  </si>
  <si>
    <t>42 CFR 457.1224;
42 CFR 438.104(a)</t>
  </si>
  <si>
    <t>Provider</t>
  </si>
  <si>
    <t xml:space="preserve">Any individual or entity that is engaged in the delivery of services, or ordering or referring for those services, and is legally authorized to do so by the state in which it delivers the services. </t>
  </si>
  <si>
    <t>Quality</t>
  </si>
  <si>
    <t>As used in 42 CFR Part 438, Subpart E, the degree to which an MCO, PIHP, PAHP, or PCCM entity (described in 42 CFR 438.310(c)(2)) increases the likelihood of desired outcomes of its enrollees through:
(1) Its structural and operational characteristics.
(2) The provision of services that are consistent with current professional, evidenced-based-knowledge.
(3) Interventions for performance improvement.</t>
  </si>
  <si>
    <t>Rate certification</t>
  </si>
  <si>
    <t>The term “rate certification” in 42 CFR 438.7(a) refers to an actuary’s certification of the rates or rate ranges, along with the report from the actuary describing the development of the rates or rate ranges.</t>
  </si>
  <si>
    <t>Rating period</t>
  </si>
  <si>
    <t xml:space="preserve">A period of 12 months selected by the state for which the actuarially sound capitation rates are developed and documented in the rate certification submitted to CMS as required by 42 CFR 438.7(a). </t>
  </si>
  <si>
    <t xml:space="preserve">Readily accessible </t>
  </si>
  <si>
    <t>Electronic information and services which comply with modern accessibility standards such as Section 508 guidelines, Section 504 of the Rehabilitation Act, and W3C's Web Content Accessibility Guidelines (WCAG) 2.0 AA and successor versions.</t>
  </si>
  <si>
    <t>42 CFR 457.1207;
42 CFR 438.10(a)</t>
  </si>
  <si>
    <t>Risk contract</t>
  </si>
  <si>
    <t xml:space="preserve">A contract under which the contractor:
(1) Assumes risk for the cost of the services covered under the contract. 
(2) Incurs loss if the cost of furnishing the services exceeds the payments under the contract. 
</t>
  </si>
  <si>
    <t xml:space="preserve">A contract between the state an MCO, PIHP, or PAHP under which the contractor:
(1) Assumes risk for the cost of the services covered under the contract; and
(2) Incurs loss if the cost of furnishing the services exceeds the payments under the contract. </t>
  </si>
  <si>
    <t>Risk corridor</t>
  </si>
  <si>
    <t xml:space="preserve">A risk sharing mechanism in which states and MCOs, PIHPs, or PAHPs may share in profits and losses under the contract outside of a predetermined threshold amount. </t>
  </si>
  <si>
    <t>Rural area</t>
  </si>
  <si>
    <t>Any county designated as “micro,” “rural,” or “County with Extreme Access Considerations (CEAC)” in the Medicare Advantage Health Services Delivery (HSD) Reference file for the applicable calendar year.</t>
  </si>
  <si>
    <t>42 CFR 438.52(b)(3)</t>
  </si>
  <si>
    <t>Sanctioned individual</t>
  </si>
  <si>
    <t xml:space="preserve">In accordance with Section 1128(b)(8) of the Act, a sanctioned individual is a person who:
(5) Has a direct or indirect ownership or control interest of 5 percent or more in the entity, and:
a. Has had a conviction of relating to fraud, obstruction of an investigation or audit, controlled substance misdemeanor or felony, program related crimes, patient abuse, or felony healthcare fraud; or
b. Has been assessed a civil monetary penalty under Section 1128A or 1129 of the Act; or
c. Has been excluded from participation under a program under Title XVIII or under a state health care program
(6) Has an ownership or control interest (as defined in Section 1124(a)(3) of the Act) in the entity, and:
a. Has had a conviction of relating to fraud, obstruction of an investigation or audit, controlled substance misdemeanor or felony, program related crimes, patient abuse, or felony healthcare fraud; or
b. Has been assessed a civil monetary penalty under Section 1128A or 1129 of the Act; or
c. Has been excluded from participation under a program under Title XVIII or under a state health care program
(7) Is an officer, director, agent, or managing employee of the MCP, and:
a. Has had a conviction of relating to fraud, obstruction of an investigation or audit, controlled substance misdemeanor or felony, program related crimes, patient abuse, or felony healthcare fraud; or
b. Has been assessed a civil monetary penalty under Section 1128A or 1129 of the Act; or
c. Has been excluded from participation under a program under Title XVIII or under a state health care program
(8) No longer has direct or indirect ownership or control interest of 5 percent or more in the MCP or no longer has an ownership or control interest defined under Section 1124(a)(3) of the Act, because of a transfer of ownership or control interest, in anticipation of or following a conviction, assessment, or exclusion against the person, to an immediate family member or a member of the household of the person who continues to maintain an ownership or control interest who:
a. Has had a conviction of relating to fraud, obstruction of an investigation or audit, controlled substance misdemeanor or felony, program related crimes, patient abuse, or felony healthcare fraud; or
b. Has been assessed a civil monetary penalty under Section 1128A or 1129 of the Act; or
c. Has been excluded from participation under a program under Title XVIII or under a state health care program. </t>
  </si>
  <si>
    <t>Section 1128(b)(8) of the Act</t>
  </si>
  <si>
    <t>Separate child health program</t>
  </si>
  <si>
    <t xml:space="preserve">A program under which a state receives federal funding from its Title XXI allotment to provide child health assistance through obtaining coverage that meets the requirements of Section 2103 of the Act and 42 CFR 457.402. </t>
  </si>
  <si>
    <t>Service authorization</t>
  </si>
  <si>
    <t>A managed care enrollee's request for the provision of a service.</t>
  </si>
  <si>
    <t>42 CFR 431.201</t>
  </si>
  <si>
    <t>State</t>
  </si>
  <si>
    <t xml:space="preserve">All states, the District of Columbia, Puerto Rico, the US Virgin Islands, Guam, American Samoa and the Northern Mariana Islands. The territories are excluded from this definition for purposes of 42 CFR 457.740. </t>
  </si>
  <si>
    <t>A Medicaid agency is the single state agency as specified in 42 CFR 431.10.</t>
  </si>
  <si>
    <t>42 CFR 438.2; 
42 CFR 431.10</t>
  </si>
  <si>
    <t>State fair hearing</t>
  </si>
  <si>
    <t>The process set forth in  42 CFR Part 431, Subpart E.</t>
  </si>
  <si>
    <t>State plan</t>
  </si>
  <si>
    <t xml:space="preserve">The Title XXI state child health plan. </t>
  </si>
  <si>
    <t>State plan approved rates</t>
  </si>
  <si>
    <t xml:space="preserve">Amounts calculated for specific services identifiable as having been provided to an individual beneficiary described under CMS approved rate methodologies in the Medicaid state plan. Supplemental payments contained in a state plan are not, and do not constitute, state plan approved rates. </t>
  </si>
  <si>
    <t>42 CFR 438.6(a)</t>
  </si>
  <si>
    <t>State review</t>
  </si>
  <si>
    <t>The process set forth in 42 CFR Part 457, Subpart K.</t>
  </si>
  <si>
    <t>Subcontractor</t>
  </si>
  <si>
    <t>An individual or entity that has a contract with an MCO, PIHP, PAHP, or PCCM entity that relates directly or indirectly to the performance of the MCO's, PIHP's, PAHP's, or PCCM entity's obligations under its contract with the state. A network provider is not a subcontractor by virtue of the network provider agreement with the MCO, PIHP, or PAHP.</t>
  </si>
  <si>
    <t>Substance use disorder benefits</t>
  </si>
  <si>
    <t xml:space="preserve">Benefits for items or services for SUDs, as defined by the state and in accordance with applicable federal and state law. Any disorder defined by the state as being or as not being a SUD must be defined to be consistent with generally recognized independent standards of current medical practice (for example, the most current version of the DSM, the most current version of the ICD, or state guidelines). SUD benefits include long-term care services. </t>
  </si>
  <si>
    <t>Supplemental payments</t>
  </si>
  <si>
    <t>Amounts paid by the state in its FFS Medicaid delivery system to providers that are described and approved in the state plan or under a demonstration or waiver thereof and are in addition to state plan approved rates. DSH and GME payments are not, and do not constitute, supplemental payments.</t>
  </si>
  <si>
    <t>Targeted low-income child</t>
  </si>
  <si>
    <t xml:space="preserve">A targeted low-income child is a child who meets the standards set forth below and the eligibility standards established by the state under 42 CFR 457.320. 
(1) Financial need standard. A targeted low-income child: 
a. Has a household income, as determined in accordance with 42 CFR 457.315, at or below 200 percent of the Federal Poverty Level for a family of the size involved; 
b. Resides in a state with no Medicaid-applicable income level; 
c. Resides in a state that has a Medicaid-applicable income level and has a household income that either:
i. Exceeds the Medicaid applicable income level for the age of such child, but not by more than 50 percentage points; or 
ii. Does not exceed the income level specified for such child to be eligible for medical assistance under policies of the state plan under Title XIX on 6/1/1997. 
(2) No other coverage standard. A targeted low-income child must not be:
a. Found eligible or potentially eligible for Medicaid under policies of the state plan (determined through either the Medicaid application process or the screening process described at 42 CFR 457.350), except for eligibility under 42 CFR 435.214 (related to coverage for family planning services); 
b. Covered under a group health plan or under health insurance coverage, as defined in Section 2791 of the Public Health Service Act, unless the plan or health insurance coverage program has been in operation since before 7/1/1997 and is administered by a state that receives no federal funds for the program's operation. A child is not considered covered under a group health plan or health insurance coverage if the child does not have reasonable geographic access to care under that plan. 
(3) For purposes of this section, policies of the state plan under Title XIX plan include policies under a statewide demonstration project under section 1115(a) of the Act other than a demonstration project that covered an expanded group of eligible children but that either:
a. Did not provide inpatient hospital coverage; or 
b. Limited eligibility to children previously enrolled in Medicaid, imposed premiums as a condition of initial or continued enrollment, and did not impose a general time limit on eligibility. 
</t>
  </si>
  <si>
    <t>42 CFR 457.10; 
42 CFR 457.310</t>
  </si>
  <si>
    <t>Timely files</t>
  </si>
  <si>
    <t xml:space="preserve">Files for continuation of benefits on or before the later of the following: (i) Within 10 calendar days of the MCO, PIHP, or PAHP sending the notice of adverse benefit determination. (ii) The intended effective date of the MCO's, PIHP's, or PAHP's proposed adverse benefit determination. </t>
  </si>
  <si>
    <t>42 CFR 438.420(a)</t>
  </si>
  <si>
    <t>Treatment limitations</t>
  </si>
  <si>
    <t>Include limits on benefits based on the frequency of treatment, number of visits, days of coverage, days in a waiting period, or other similar limits on the scope or duration of treatment. Treatment limitations include both quantitative treatment limitations, which are expressed numerically (such as 50 outpatient visits per year), and NQTLs, which otherwise limit the scope or duration of benefits for treatment under the state plan (see 42 CFR 457.496(d)(4)(ii) for an illustrative list of NQTLs.) A permanent exclusion of all benefits for a particular condition or disorder, however, is not a treatment limitation for purposes of this definition).</t>
  </si>
  <si>
    <t xml:space="preserve">Include limits on benefits based on the frequency of treatment, number of visits, days of coverage, days in a waiting period, or other similar limits on the scope or duration of treatment. Treatment limitations include both QTLs, which are expressed numerically (such as 50 outpatient visits per year), and NQTLs, which otherwise limit the scope or duration of benefits for treatment under a plan or coverage (see 42 CFR 438.910(d)(2) for an illustrative list of NQTLs). A permanent exclusion of all benefits for a particular condition or disorder, however, is not a treatment limitation for purposes of this definition. </t>
  </si>
  <si>
    <t>Validation</t>
  </si>
  <si>
    <t xml:space="preserve">As used in 42 CFR Part 438, Subpart E, the review of information, data, and procedures to determine the extent to which they are accurate, reliable, free from bias, and in accord with standards for data collection and analysis. </t>
  </si>
  <si>
    <t>Voluntary enrollment</t>
  </si>
  <si>
    <t xml:space="preserve">Enrollment where one or more groups of beneficiaries as enumerated in Section 1905(a) of the Act have the option to either enroll in a MCO, PIHP, PAHP, PCCM or PCCM entity, or remain enrolled in FFS to receive Medicaid-covered benefits. </t>
  </si>
  <si>
    <t>42 CFR 438.54(b)(1)</t>
  </si>
  <si>
    <t>Withhold arrangement</t>
  </si>
  <si>
    <t>Any payment mechanism under which a portion of a capitation rate is withheld from an MCO, PIHP, or PAHP and a portion of or all of the withheld amount will be paid to the MCO, PIHP, or PAHP for meeting targets specified in the contract. The targets for a withhold arrangement are distinct from general operational requirements under the contract. Arrangements that withhold a portion of a capitation rate for noncompliance with general operational requirements are a penalty and not a withhold arrangement.</t>
  </si>
  <si>
    <t>Both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</si>
</sst>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m/d/yyyy;@"/>
    <numFmt numFmtId="165" formatCode="_(* #,##0_);_(* \(#,##0\);_(* &quot;-&quot;??_);_(@_)"/>
  </numFmts>
  <fonts count="69" x14ac:knownFonts="1">
    <font>
      <sz val="11"/>
      <color theme="1"/>
      <name val="Calibri"/>
      <family val="2"/>
      <scheme val="minor"/>
    </font>
    <font>
      <sz val="10"/>
      <color theme="1"/>
      <name val="Times New Roman"/>
      <family val="1"/>
    </font>
    <font>
      <b/>
      <sz val="10"/>
      <color theme="1"/>
      <name val="Times New Roman"/>
      <family val="1"/>
    </font>
    <font>
      <sz val="10"/>
      <name val="Arial"/>
      <family val="2"/>
    </font>
    <font>
      <sz val="10"/>
      <color rgb="FFFF0000"/>
      <name val="Times New Roman"/>
      <family val="1"/>
    </font>
    <font>
      <sz val="11"/>
      <color theme="1"/>
      <name val="Times New Roman"/>
      <family val="1"/>
    </font>
    <font>
      <u/>
      <sz val="11"/>
      <color theme="10"/>
      <name val="Calibri"/>
      <family val="2"/>
      <scheme val="minor"/>
    </font>
    <font>
      <sz val="11"/>
      <color rgb="FFFF0000"/>
      <name val="Times New Roman"/>
      <family val="1"/>
    </font>
    <font>
      <u/>
      <sz val="11"/>
      <color theme="10"/>
      <name val="Times New Roman"/>
      <family val="1"/>
    </font>
    <font>
      <sz val="10"/>
      <name val="Times New Roman"/>
      <family val="1"/>
    </font>
    <font>
      <b/>
      <sz val="10"/>
      <name val="Times New Roman"/>
      <family val="1"/>
    </font>
    <font>
      <sz val="11"/>
      <name val="Calibri"/>
      <family val="2"/>
      <scheme val="minor"/>
    </font>
    <font>
      <u/>
      <sz val="10"/>
      <color theme="1"/>
      <name val="Times New Roman"/>
      <family val="1"/>
    </font>
    <font>
      <u/>
      <sz val="10"/>
      <name val="Times New Roman"/>
      <family val="1"/>
    </font>
    <font>
      <sz val="11"/>
      <name val="Times New Roman"/>
      <family val="1"/>
    </font>
    <font>
      <b/>
      <sz val="11"/>
      <name val="Times New Roman"/>
      <family val="1"/>
    </font>
    <font>
      <u/>
      <sz val="10"/>
      <color rgb="FFFF0000"/>
      <name val="Times New Roman"/>
      <family val="1"/>
    </font>
    <font>
      <u/>
      <sz val="11"/>
      <color theme="10"/>
      <name val="Calibri"/>
      <family val="2"/>
    </font>
    <font>
      <sz val="11"/>
      <color theme="1"/>
      <name val="Calibri"/>
      <family val="2"/>
      <scheme val="minor"/>
    </font>
    <font>
      <sz val="11"/>
      <color rgb="FF9C0006"/>
      <name val="Calibri"/>
      <family val="2"/>
      <scheme val="minor"/>
    </font>
    <font>
      <b/>
      <sz val="11"/>
      <color theme="1"/>
      <name val="Calibri"/>
      <family val="2"/>
      <scheme val="minor"/>
    </font>
    <font>
      <sz val="11"/>
      <color rgb="FFFF0000"/>
      <name val="Calibri"/>
      <family val="2"/>
      <scheme val="minor"/>
    </font>
    <font>
      <sz val="8"/>
      <name val="Calibri"/>
      <family val="2"/>
      <scheme val="minor"/>
    </font>
    <font>
      <b/>
      <sz val="10"/>
      <color rgb="FFFF0000"/>
      <name val="Times New Roman"/>
      <family val="1"/>
    </font>
    <font>
      <sz val="10"/>
      <color rgb="FF7030A0"/>
      <name val="Times New Roman"/>
      <family val="1"/>
    </font>
    <font>
      <b/>
      <sz val="11"/>
      <color rgb="FFFF0000"/>
      <name val="Calibri"/>
      <family val="2"/>
      <scheme val="minor"/>
    </font>
    <font>
      <sz val="9"/>
      <color theme="1"/>
      <name val="Times New Roman"/>
      <family val="1"/>
    </font>
    <font>
      <b/>
      <sz val="18"/>
      <color theme="0"/>
      <name val="Arial"/>
      <family val="2"/>
    </font>
    <font>
      <u/>
      <sz val="10"/>
      <color theme="10"/>
      <name val="Arial"/>
      <family val="2"/>
    </font>
    <font>
      <sz val="10"/>
      <color theme="1"/>
      <name val="Arial"/>
      <family val="2"/>
    </font>
    <font>
      <b/>
      <sz val="10"/>
      <color theme="0"/>
      <name val="Arial"/>
      <family val="2"/>
    </font>
    <font>
      <b/>
      <sz val="10"/>
      <name val="Arial"/>
      <family val="2"/>
    </font>
    <font>
      <sz val="10"/>
      <color rgb="FF000000"/>
      <name val="Arial"/>
      <family val="2"/>
    </font>
    <font>
      <b/>
      <sz val="10"/>
      <color rgb="FF000000"/>
      <name val="Arial"/>
      <family val="2"/>
    </font>
    <font>
      <i/>
      <sz val="10"/>
      <name val="Arial"/>
      <family val="2"/>
    </font>
    <font>
      <sz val="10"/>
      <color theme="0"/>
      <name val="Arial"/>
      <family val="2"/>
    </font>
    <font>
      <b/>
      <sz val="14"/>
      <color theme="0"/>
      <name val="Arial"/>
      <family val="2"/>
    </font>
    <font>
      <b/>
      <i/>
      <sz val="10"/>
      <color rgb="FFFF0000"/>
      <name val="Arial"/>
      <family val="2"/>
    </font>
    <font>
      <b/>
      <sz val="11"/>
      <color theme="1"/>
      <name val="Arial"/>
      <family val="2"/>
    </font>
    <font>
      <sz val="11"/>
      <color theme="1"/>
      <name val="Arial"/>
      <family val="2"/>
    </font>
    <font>
      <b/>
      <sz val="11"/>
      <color theme="0"/>
      <name val="Arial"/>
      <family val="2"/>
    </font>
    <font>
      <b/>
      <sz val="10"/>
      <color theme="1"/>
      <name val="Arial"/>
      <family val="2"/>
    </font>
    <font>
      <sz val="9"/>
      <color theme="1"/>
      <name val="Arial"/>
      <family val="2"/>
    </font>
    <font>
      <i/>
      <sz val="10"/>
      <color theme="1"/>
      <name val="Arial"/>
      <family val="2"/>
    </font>
    <font>
      <sz val="11"/>
      <name val="Arial"/>
      <family val="2"/>
    </font>
    <font>
      <u/>
      <sz val="11"/>
      <color theme="10"/>
      <name val="Arial"/>
      <family val="2"/>
    </font>
    <font>
      <u/>
      <sz val="10"/>
      <name val="Arial"/>
      <family val="2"/>
    </font>
    <font>
      <b/>
      <sz val="10"/>
      <color rgb="FFFF0000"/>
      <name val="Arial"/>
      <family val="2"/>
    </font>
    <font>
      <strike/>
      <sz val="10"/>
      <color theme="1"/>
      <name val="Arial"/>
      <family val="2"/>
    </font>
    <font>
      <sz val="10"/>
      <color rgb="FFFF0000"/>
      <name val="Arial"/>
      <family val="2"/>
    </font>
    <font>
      <sz val="11"/>
      <color theme="0"/>
      <name val="Arial"/>
      <family val="2"/>
    </font>
    <font>
      <sz val="14"/>
      <color theme="1"/>
      <name val="Arial"/>
      <family val="2"/>
    </font>
    <font>
      <sz val="14"/>
      <name val="Arial"/>
      <family val="2"/>
    </font>
    <font>
      <sz val="14"/>
      <color theme="0"/>
      <name val="Arial"/>
      <family val="2"/>
    </font>
    <font>
      <b/>
      <i/>
      <sz val="10"/>
      <name val="Arial"/>
      <family val="2"/>
    </font>
    <font>
      <b/>
      <i/>
      <sz val="11"/>
      <name val="Arial"/>
      <family val="2"/>
    </font>
    <font>
      <b/>
      <sz val="26"/>
      <color theme="0"/>
      <name val="Arial"/>
      <family val="2"/>
    </font>
    <font>
      <sz val="10"/>
      <color theme="1"/>
      <name val="Aptos Narrow"/>
      <family val="2"/>
    </font>
    <font>
      <sz val="10"/>
      <name val="Aptos Narrow"/>
      <family val="2"/>
    </font>
    <font>
      <sz val="6"/>
      <color theme="1"/>
      <name val="Aptos Narrow"/>
      <family val="2"/>
    </font>
    <font>
      <sz val="10"/>
      <color rgb="FF000000"/>
      <name val="Aptos Narrow"/>
      <family val="2"/>
    </font>
    <font>
      <b/>
      <i/>
      <sz val="10"/>
      <color rgb="FF000000"/>
      <name val="Arial"/>
      <family val="2"/>
    </font>
    <font>
      <b/>
      <sz val="10"/>
      <color theme="0"/>
      <name val="Aptos Narrow"/>
      <family val="2"/>
    </font>
    <font>
      <b/>
      <sz val="10"/>
      <name val="Aptos Narrow"/>
      <family val="2"/>
    </font>
    <font>
      <sz val="13"/>
      <name val="Aptos Narrow"/>
      <family val="2"/>
    </font>
    <font>
      <sz val="14"/>
      <color rgb="FFFF0000"/>
      <name val="Calibri"/>
      <family val="2"/>
      <scheme val="minor"/>
    </font>
    <font>
      <sz val="14"/>
      <color theme="1"/>
      <name val="Calibri"/>
      <family val="2"/>
      <scheme val="minor"/>
    </font>
    <font>
      <strike/>
      <sz val="10"/>
      <name val="Arial"/>
      <family val="2"/>
    </font>
    <font>
      <sz val="11"/>
      <color rgb="FF000000"/>
      <name val="Arial"/>
      <family val="2"/>
    </font>
  </fonts>
  <fills count="17">
    <fill>
      <patternFill patternType="none"/>
    </fill>
    <fill>
      <patternFill patternType="gray125"/>
    </fill>
    <fill>
      <patternFill patternType="solid">
        <fgColor theme="0" tint="-0.34998626667073579"/>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FFC7CE"/>
      </patternFill>
    </fill>
    <fill>
      <patternFill patternType="solid">
        <fgColor theme="2" tint="-9.9978637043366805E-2"/>
        <bgColor indexed="64"/>
      </patternFill>
    </fill>
    <fill>
      <patternFill patternType="solid">
        <fgColor theme="1" tint="0.499984740745262"/>
        <bgColor indexed="64"/>
      </patternFill>
    </fill>
    <fill>
      <patternFill patternType="solid">
        <fgColor theme="0"/>
        <bgColor indexed="64"/>
      </patternFill>
    </fill>
    <fill>
      <patternFill patternType="solid">
        <fgColor theme="2"/>
        <bgColor indexed="64"/>
      </patternFill>
    </fill>
    <fill>
      <patternFill patternType="solid">
        <fgColor theme="2" tint="-0.499984740745262"/>
        <bgColor indexed="64"/>
      </patternFill>
    </fill>
    <fill>
      <patternFill patternType="solid">
        <fgColor rgb="FFFFFF00"/>
        <bgColor indexed="64"/>
      </patternFill>
    </fill>
    <fill>
      <patternFill patternType="solid">
        <fgColor theme="1"/>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rgb="FFF1F1F1"/>
        <bgColor indexed="64"/>
      </patternFill>
    </fill>
    <fill>
      <patternFill patternType="solid">
        <fgColor rgb="FFA6A6A6"/>
        <bgColor rgb="FF000000"/>
      </patternFill>
    </fill>
  </fills>
  <borders count="57">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indexed="64"/>
      </right>
      <top style="medium">
        <color indexed="64"/>
      </top>
      <bottom style="medium">
        <color indexed="64"/>
      </bottom>
      <diagonal/>
    </border>
    <border>
      <left style="thin">
        <color theme="0"/>
      </left>
      <right style="thin">
        <color theme="0"/>
      </right>
      <top style="thin">
        <color theme="0"/>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medium">
        <color indexed="64"/>
      </left>
      <right/>
      <top style="thin">
        <color theme="6" tint="0.39997558519241921"/>
      </top>
      <bottom/>
      <diagonal/>
    </border>
    <border>
      <left style="medium">
        <color indexed="64"/>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3" fillId="0" borderId="0"/>
    <xf numFmtId="0" fontId="6" fillId="0" borderId="0" applyNumberFormat="0" applyFill="0" applyBorder="0" applyAlignment="0" applyProtection="0"/>
    <xf numFmtId="9" fontId="3" fillId="0" borderId="0" applyFont="0" applyFill="0" applyBorder="0" applyAlignment="0" applyProtection="0"/>
    <xf numFmtId="0" fontId="17" fillId="0" borderId="0" applyNumberFormat="0" applyFill="0" applyBorder="0" applyAlignment="0" applyProtection="0">
      <alignment vertical="top"/>
      <protection locked="0"/>
    </xf>
    <xf numFmtId="43" fontId="18" fillId="0" borderId="0" applyFont="0" applyFill="0" applyBorder="0" applyAlignment="0" applyProtection="0"/>
    <xf numFmtId="0" fontId="19" fillId="5" borderId="0" applyNumberFormat="0" applyBorder="0" applyAlignment="0" applyProtection="0"/>
  </cellStyleXfs>
  <cellXfs count="615">
    <xf numFmtId="0" fontId="0" fillId="0" borderId="0" xfId="0"/>
    <xf numFmtId="0" fontId="1" fillId="0" borderId="0" xfId="0" applyFont="1"/>
    <xf numFmtId="0" fontId="5" fillId="0" borderId="0" xfId="0" applyFont="1"/>
    <xf numFmtId="0" fontId="7" fillId="0" borderId="0" xfId="0" applyFont="1"/>
    <xf numFmtId="0" fontId="8" fillId="0" borderId="0" xfId="2" applyFont="1" applyAlignment="1">
      <alignment horizontal="left" vertical="center" indent="3"/>
    </xf>
    <xf numFmtId="0" fontId="0" fillId="0" borderId="0" xfId="0" applyAlignment="1">
      <alignment horizontal="center"/>
    </xf>
    <xf numFmtId="0" fontId="1" fillId="0" borderId="0" xfId="0" applyFont="1" applyAlignment="1">
      <alignment vertical="center" wrapText="1"/>
    </xf>
    <xf numFmtId="0" fontId="1" fillId="0" borderId="0" xfId="0" applyFont="1" applyAlignment="1">
      <alignment wrapText="1"/>
    </xf>
    <xf numFmtId="0" fontId="0" fillId="0" borderId="0" xfId="0" applyAlignment="1">
      <alignment horizontal="center" vertical="top" wrapText="1"/>
    </xf>
    <xf numFmtId="0" fontId="11" fillId="0" borderId="0" xfId="0" applyFont="1" applyAlignment="1">
      <alignment vertical="top" wrapText="1"/>
    </xf>
    <xf numFmtId="0" fontId="11" fillId="0" borderId="0" xfId="0" applyFont="1" applyAlignment="1">
      <alignment horizontal="center"/>
    </xf>
    <xf numFmtId="0" fontId="9" fillId="0" borderId="0" xfId="0" applyFont="1" applyAlignment="1">
      <alignment vertical="center" wrapText="1"/>
    </xf>
    <xf numFmtId="0" fontId="11" fillId="0" borderId="0" xfId="0" applyFont="1"/>
    <xf numFmtId="0" fontId="1" fillId="0" borderId="20" xfId="0" applyFont="1" applyBorder="1" applyAlignment="1" applyProtection="1">
      <alignment horizontal="left" vertical="top" wrapText="1"/>
      <protection locked="0"/>
    </xf>
    <xf numFmtId="0" fontId="0" fillId="0" borderId="0" xfId="0" applyAlignment="1">
      <alignment wrapText="1"/>
    </xf>
    <xf numFmtId="0" fontId="1" fillId="7" borderId="0" xfId="0" applyFont="1" applyFill="1" applyProtection="1">
      <protection hidden="1"/>
    </xf>
    <xf numFmtId="0" fontId="1" fillId="7" borderId="13" xfId="0" applyFont="1" applyFill="1" applyBorder="1" applyAlignment="1" applyProtection="1">
      <alignment horizontal="centerContinuous"/>
      <protection hidden="1"/>
    </xf>
    <xf numFmtId="0" fontId="1" fillId="7" borderId="0" xfId="0" applyFont="1" applyFill="1" applyAlignment="1" applyProtection="1">
      <alignment wrapText="1"/>
      <protection hidden="1"/>
    </xf>
    <xf numFmtId="0" fontId="1" fillId="7" borderId="0" xfId="1" applyFont="1" applyFill="1" applyProtection="1">
      <protection hidden="1"/>
    </xf>
    <xf numFmtId="0" fontId="9" fillId="7" borderId="0" xfId="0" applyFont="1" applyFill="1" applyProtection="1">
      <protection hidden="1"/>
    </xf>
    <xf numFmtId="0" fontId="0" fillId="7" borderId="0" xfId="0" applyFill="1" applyProtection="1">
      <protection hidden="1"/>
    </xf>
    <xf numFmtId="0" fontId="1" fillId="7" borderId="0" xfId="0" applyFont="1" applyFill="1" applyAlignment="1" applyProtection="1">
      <alignment vertical="center"/>
      <protection hidden="1"/>
    </xf>
    <xf numFmtId="0" fontId="9" fillId="7" borderId="0" xfId="1" applyFont="1" applyFill="1" applyProtection="1">
      <protection hidden="1"/>
    </xf>
    <xf numFmtId="0" fontId="9" fillId="0" borderId="0" xfId="0" applyFont="1" applyAlignment="1">
      <alignment vertical="top"/>
    </xf>
    <xf numFmtId="0" fontId="9" fillId="0" borderId="0" xfId="0" applyFont="1" applyAlignment="1">
      <alignment vertical="top" wrapText="1"/>
    </xf>
    <xf numFmtId="0" fontId="1" fillId="2" borderId="0" xfId="0" applyFont="1" applyFill="1" applyAlignment="1" applyProtection="1">
      <alignment horizontal="center" vertical="center"/>
      <protection hidden="1"/>
    </xf>
    <xf numFmtId="0" fontId="1" fillId="2" borderId="0" xfId="0" applyFont="1" applyFill="1" applyAlignment="1" applyProtection="1">
      <alignment horizontal="center" vertical="center" shrinkToFit="1"/>
      <protection hidden="1"/>
    </xf>
    <xf numFmtId="0" fontId="1" fillId="2" borderId="0" xfId="0" applyFont="1" applyFill="1" applyAlignment="1" applyProtection="1">
      <alignment horizontal="left" vertical="top"/>
      <protection hidden="1"/>
    </xf>
    <xf numFmtId="0" fontId="9" fillId="2" borderId="0" xfId="0" applyFont="1" applyFill="1" applyAlignment="1" applyProtection="1">
      <alignment horizontal="left" vertical="top"/>
      <protection hidden="1"/>
    </xf>
    <xf numFmtId="14" fontId="9" fillId="2" borderId="0" xfId="0" applyNumberFormat="1" applyFont="1" applyFill="1" applyAlignment="1" applyProtection="1">
      <alignment horizontal="center" vertical="center"/>
      <protection hidden="1"/>
    </xf>
    <xf numFmtId="0" fontId="9" fillId="2" borderId="0" xfId="0" applyFont="1" applyFill="1" applyAlignment="1" applyProtection="1">
      <alignment vertical="center"/>
      <protection hidden="1"/>
    </xf>
    <xf numFmtId="165" fontId="9" fillId="2" borderId="0" xfId="5" applyNumberFormat="1" applyFont="1" applyFill="1" applyBorder="1" applyAlignment="1" applyProtection="1">
      <alignment horizontal="center" vertical="center"/>
      <protection hidden="1"/>
    </xf>
    <xf numFmtId="0" fontId="4" fillId="2" borderId="0" xfId="0" applyFont="1" applyFill="1" applyAlignment="1" applyProtection="1">
      <alignment horizontal="center" vertical="center"/>
      <protection hidden="1"/>
    </xf>
    <xf numFmtId="0" fontId="9" fillId="2" borderId="0" xfId="0" applyFont="1" applyFill="1" applyAlignment="1" applyProtection="1">
      <alignment horizontal="left" vertical="center" wrapText="1"/>
      <protection hidden="1"/>
    </xf>
    <xf numFmtId="0" fontId="12" fillId="2" borderId="0" xfId="0" applyFont="1" applyFill="1" applyAlignment="1" applyProtection="1">
      <alignment horizontal="center" vertical="center" shrinkToFit="1"/>
      <protection hidden="1"/>
    </xf>
    <xf numFmtId="0" fontId="12" fillId="2" borderId="0" xfId="0" applyFont="1" applyFill="1" applyAlignment="1" applyProtection="1">
      <alignment horizontal="center" vertical="center"/>
      <protection hidden="1"/>
    </xf>
    <xf numFmtId="0" fontId="13" fillId="2" borderId="0" xfId="0" applyFont="1" applyFill="1" applyAlignment="1" applyProtection="1">
      <alignment horizontal="center" vertical="center" wrapText="1"/>
      <protection hidden="1"/>
    </xf>
    <xf numFmtId="0" fontId="13" fillId="2" borderId="0" xfId="0" applyFont="1" applyFill="1" applyAlignment="1" applyProtection="1">
      <alignment horizontal="center" vertical="center"/>
      <protection hidden="1"/>
    </xf>
    <xf numFmtId="0" fontId="9" fillId="2" borderId="0" xfId="0" applyFont="1" applyFill="1" applyAlignment="1" applyProtection="1">
      <alignment horizontal="center" vertical="center" wrapText="1"/>
      <protection hidden="1"/>
    </xf>
    <xf numFmtId="14" fontId="13" fillId="2" borderId="0" xfId="0" applyNumberFormat="1" applyFont="1" applyFill="1" applyAlignment="1" applyProtection="1">
      <alignment vertical="center" wrapText="1"/>
      <protection hidden="1"/>
    </xf>
    <xf numFmtId="14" fontId="9" fillId="2" borderId="0" xfId="0" applyNumberFormat="1" applyFont="1" applyFill="1" applyAlignment="1" applyProtection="1">
      <alignment vertical="center"/>
      <protection hidden="1"/>
    </xf>
    <xf numFmtId="1" fontId="9" fillId="3" borderId="0" xfId="0" applyNumberFormat="1" applyFont="1" applyFill="1" applyAlignment="1" applyProtection="1">
      <alignment vertical="center"/>
      <protection hidden="1"/>
    </xf>
    <xf numFmtId="14" fontId="9" fillId="3" borderId="0" xfId="0" applyNumberFormat="1" applyFont="1" applyFill="1" applyAlignment="1" applyProtection="1">
      <alignment vertical="center"/>
      <protection hidden="1"/>
    </xf>
    <xf numFmtId="0" fontId="9" fillId="3" borderId="0" xfId="0" applyFont="1" applyFill="1" applyAlignment="1" applyProtection="1">
      <alignment vertical="center"/>
      <protection hidden="1"/>
    </xf>
    <xf numFmtId="0" fontId="1" fillId="2" borderId="0" xfId="0" applyFont="1" applyFill="1" applyAlignment="1" applyProtection="1">
      <alignment horizontal="left" vertical="top" wrapText="1"/>
      <protection hidden="1"/>
    </xf>
    <xf numFmtId="0" fontId="1" fillId="3" borderId="0" xfId="0" applyFont="1" applyFill="1" applyAlignment="1" applyProtection="1">
      <alignment horizontal="center" vertical="top" wrapText="1"/>
      <protection hidden="1"/>
    </xf>
    <xf numFmtId="0" fontId="10" fillId="2" borderId="0" xfId="0" applyFont="1" applyFill="1" applyAlignment="1" applyProtection="1">
      <alignment horizontal="center" vertical="center"/>
      <protection hidden="1"/>
    </xf>
    <xf numFmtId="0" fontId="1" fillId="2" borderId="0" xfId="0" applyFont="1" applyFill="1" applyProtection="1">
      <protection hidden="1"/>
    </xf>
    <xf numFmtId="49" fontId="9"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left" vertical="top" wrapText="1"/>
      <protection hidden="1"/>
    </xf>
    <xf numFmtId="0" fontId="10" fillId="2" borderId="0" xfId="0" applyFont="1" applyFill="1" applyAlignment="1" applyProtection="1">
      <alignment horizontal="center" vertical="top" wrapText="1"/>
      <protection hidden="1"/>
    </xf>
    <xf numFmtId="0" fontId="12" fillId="2" borderId="0" xfId="0" applyFont="1" applyFill="1" applyAlignment="1" applyProtection="1">
      <alignment horizontal="left" vertical="top"/>
      <protection hidden="1"/>
    </xf>
    <xf numFmtId="0" fontId="13" fillId="2" borderId="0" xfId="0" applyFont="1" applyFill="1" applyAlignment="1" applyProtection="1">
      <alignment horizontal="left" vertical="top"/>
      <protection hidden="1"/>
    </xf>
    <xf numFmtId="0" fontId="9" fillId="2" borderId="0" xfId="0" applyFont="1" applyFill="1" applyAlignment="1" applyProtection="1">
      <alignment horizontal="center" vertical="center"/>
      <protection hidden="1"/>
    </xf>
    <xf numFmtId="0" fontId="14" fillId="2" borderId="0" xfId="0" applyFont="1" applyFill="1" applyAlignment="1" applyProtection="1">
      <alignment horizontal="center" vertical="center"/>
      <protection hidden="1"/>
    </xf>
    <xf numFmtId="0" fontId="15" fillId="2" borderId="4" xfId="0" applyFont="1" applyFill="1" applyBorder="1" applyAlignment="1" applyProtection="1">
      <alignment horizontal="center" vertical="center"/>
      <protection hidden="1"/>
    </xf>
    <xf numFmtId="0" fontId="14" fillId="2" borderId="0" xfId="0" applyFont="1" applyFill="1" applyAlignment="1" applyProtection="1">
      <alignment horizontal="center" vertical="center" wrapText="1"/>
      <protection hidden="1"/>
    </xf>
    <xf numFmtId="0" fontId="0" fillId="2" borderId="0" xfId="0" applyFill="1" applyProtection="1">
      <protection hidden="1"/>
    </xf>
    <xf numFmtId="49" fontId="14" fillId="2" borderId="4" xfId="0" applyNumberFormat="1" applyFont="1" applyFill="1" applyBorder="1" applyAlignment="1" applyProtection="1">
      <alignment horizontal="center" vertical="center"/>
      <protection hidden="1"/>
    </xf>
    <xf numFmtId="49" fontId="14" fillId="2" borderId="0" xfId="0" applyNumberFormat="1" applyFont="1" applyFill="1" applyAlignment="1" applyProtection="1">
      <alignment horizontal="center" vertical="center"/>
      <protection hidden="1"/>
    </xf>
    <xf numFmtId="14" fontId="14" fillId="2" borderId="4" xfId="0" applyNumberFormat="1" applyFont="1" applyFill="1" applyBorder="1" applyAlignment="1" applyProtection="1">
      <alignment horizontal="center" vertical="center"/>
      <protection hidden="1"/>
    </xf>
    <xf numFmtId="165" fontId="14" fillId="2" borderId="0" xfId="5" applyNumberFormat="1" applyFont="1" applyFill="1" applyBorder="1" applyAlignment="1" applyProtection="1">
      <alignment horizontal="center" vertical="center"/>
      <protection hidden="1"/>
    </xf>
    <xf numFmtId="0" fontId="1" fillId="2" borderId="0" xfId="0" applyFont="1" applyFill="1" applyAlignment="1" applyProtection="1">
      <alignment horizontal="left" vertical="center" wrapText="1"/>
      <protection hidden="1"/>
    </xf>
    <xf numFmtId="14" fontId="9" fillId="2" borderId="0" xfId="0" applyNumberFormat="1" applyFont="1" applyFill="1" applyAlignment="1" applyProtection="1">
      <alignment horizontal="center" vertical="center" wrapText="1"/>
      <protection hidden="1"/>
    </xf>
    <xf numFmtId="14" fontId="9" fillId="3" borderId="0" xfId="0" applyNumberFormat="1" applyFont="1" applyFill="1" applyAlignment="1" applyProtection="1">
      <alignment horizontal="center" vertical="center"/>
      <protection hidden="1"/>
    </xf>
    <xf numFmtId="0" fontId="15" fillId="2" borderId="0" xfId="0" applyFont="1" applyFill="1" applyAlignment="1" applyProtection="1">
      <alignment horizontal="center" vertical="center"/>
      <protection hidden="1"/>
    </xf>
    <xf numFmtId="0" fontId="9" fillId="2" borderId="0" xfId="0" applyFont="1" applyFill="1" applyAlignment="1" applyProtection="1">
      <alignment horizontal="left" vertical="top" wrapText="1"/>
      <protection hidden="1"/>
    </xf>
    <xf numFmtId="0" fontId="4" fillId="3" borderId="0" xfId="0" applyFont="1" applyFill="1" applyAlignment="1" applyProtection="1">
      <alignment horizontal="center" vertical="center"/>
      <protection hidden="1"/>
    </xf>
    <xf numFmtId="0" fontId="14" fillId="0" borderId="0" xfId="0" applyFont="1" applyAlignment="1" applyProtection="1">
      <alignment horizontal="center" vertical="center" wrapText="1"/>
      <protection hidden="1"/>
    </xf>
    <xf numFmtId="0" fontId="0" fillId="0" borderId="0" xfId="0" applyProtection="1">
      <protection hidden="1"/>
    </xf>
    <xf numFmtId="0" fontId="10" fillId="2" borderId="4" xfId="0" quotePrefix="1" applyFont="1" applyFill="1" applyBorder="1" applyAlignment="1" applyProtection="1">
      <alignment horizontal="center" vertical="center" wrapText="1"/>
      <protection hidden="1"/>
    </xf>
    <xf numFmtId="0" fontId="9" fillId="3" borderId="0" xfId="0" applyFont="1" applyFill="1" applyAlignment="1" applyProtection="1">
      <alignment horizontal="center" vertical="center"/>
      <protection hidden="1"/>
    </xf>
    <xf numFmtId="1" fontId="9" fillId="3" borderId="0" xfId="0" applyNumberFormat="1" applyFont="1" applyFill="1" applyAlignment="1" applyProtection="1">
      <alignment horizontal="center" vertical="center"/>
      <protection hidden="1"/>
    </xf>
    <xf numFmtId="0" fontId="20" fillId="0" borderId="0" xfId="0" applyFont="1" applyProtection="1">
      <protection hidden="1"/>
    </xf>
    <xf numFmtId="0" fontId="13" fillId="0" borderId="0" xfId="0" applyFont="1" applyAlignment="1" applyProtection="1">
      <alignment horizontal="center" vertical="center" shrinkToFit="1"/>
      <protection hidden="1"/>
    </xf>
    <xf numFmtId="0" fontId="3" fillId="2" borderId="0" xfId="1" applyFill="1" applyProtection="1">
      <protection hidden="1"/>
    </xf>
    <xf numFmtId="164" fontId="9" fillId="3" borderId="0" xfId="0" applyNumberFormat="1" applyFont="1" applyFill="1" applyAlignment="1" applyProtection="1">
      <alignment horizontal="center" vertical="center"/>
      <protection hidden="1"/>
    </xf>
    <xf numFmtId="0" fontId="9" fillId="3" borderId="0" xfId="0" applyFont="1" applyFill="1" applyAlignment="1" applyProtection="1">
      <alignment horizontal="center" vertical="center" wrapText="1"/>
      <protection hidden="1"/>
    </xf>
    <xf numFmtId="0" fontId="9" fillId="3" borderId="0" xfId="0" applyFont="1" applyFill="1" applyAlignment="1" applyProtection="1">
      <alignment horizontal="center" vertical="center" wrapText="1" shrinkToFit="1"/>
      <protection hidden="1"/>
    </xf>
    <xf numFmtId="0" fontId="1" fillId="0" borderId="0" xfId="0" applyFont="1" applyAlignment="1" applyProtection="1">
      <alignment horizontal="left" vertical="top" wrapText="1"/>
      <protection hidden="1"/>
    </xf>
    <xf numFmtId="0" fontId="0" fillId="0" borderId="4" xfId="0" applyBorder="1" applyProtection="1">
      <protection hidden="1"/>
    </xf>
    <xf numFmtId="0" fontId="0" fillId="6" borderId="0" xfId="0" applyFill="1" applyAlignment="1" applyProtection="1">
      <alignment wrapText="1"/>
      <protection hidden="1"/>
    </xf>
    <xf numFmtId="0" fontId="0" fillId="6" borderId="0" xfId="0" applyFill="1" applyAlignment="1" applyProtection="1">
      <alignment horizontal="center" wrapText="1"/>
      <protection hidden="1"/>
    </xf>
    <xf numFmtId="0" fontId="20" fillId="6" borderId="0" xfId="0" applyFont="1" applyFill="1" applyProtection="1">
      <protection hidden="1"/>
    </xf>
    <xf numFmtId="0" fontId="0" fillId="0" borderId="0" xfId="0" applyAlignment="1" applyProtection="1">
      <alignment wrapText="1"/>
      <protection hidden="1"/>
    </xf>
    <xf numFmtId="0" fontId="1" fillId="0" borderId="0" xfId="0" applyFont="1" applyProtection="1">
      <protection hidden="1"/>
    </xf>
    <xf numFmtId="0" fontId="13" fillId="0" borderId="0" xfId="0" applyFont="1" applyAlignment="1" applyProtection="1">
      <alignment horizontal="center" vertical="center" wrapText="1"/>
      <protection hidden="1"/>
    </xf>
    <xf numFmtId="0" fontId="13" fillId="0" borderId="0" xfId="0" applyFont="1" applyAlignment="1" applyProtection="1">
      <alignment horizontal="center" vertical="center"/>
      <protection hidden="1"/>
    </xf>
    <xf numFmtId="0" fontId="11" fillId="0" borderId="0" xfId="0" applyFont="1" applyProtection="1">
      <protection hidden="1"/>
    </xf>
    <xf numFmtId="0" fontId="10" fillId="0" borderId="0" xfId="0" quotePrefix="1" applyFont="1" applyAlignment="1" applyProtection="1">
      <alignment horizontal="center" vertical="center" wrapText="1"/>
      <protection hidden="1"/>
    </xf>
    <xf numFmtId="0" fontId="9" fillId="0" borderId="0" xfId="0" applyFont="1" applyProtection="1">
      <protection hidden="1"/>
    </xf>
    <xf numFmtId="0" fontId="21" fillId="0" borderId="0" xfId="0" applyFont="1" applyAlignment="1">
      <alignment wrapText="1"/>
    </xf>
    <xf numFmtId="0" fontId="9" fillId="3" borderId="0" xfId="0" applyFont="1" applyFill="1" applyAlignment="1" applyProtection="1">
      <alignment horizontal="center" vertical="center" shrinkToFit="1"/>
      <protection hidden="1"/>
    </xf>
    <xf numFmtId="14" fontId="4" fillId="3" borderId="0" xfId="0" applyNumberFormat="1" applyFont="1" applyFill="1" applyAlignment="1" applyProtection="1">
      <alignment vertical="center"/>
      <protection hidden="1"/>
    </xf>
    <xf numFmtId="14" fontId="4" fillId="3" borderId="0" xfId="0" applyNumberFormat="1" applyFont="1" applyFill="1" applyAlignment="1" applyProtection="1">
      <alignment horizontal="center" vertical="center"/>
      <protection hidden="1"/>
    </xf>
    <xf numFmtId="14" fontId="24" fillId="3" borderId="0" xfId="0" applyNumberFormat="1" applyFont="1" applyFill="1" applyAlignment="1" applyProtection="1">
      <alignment vertical="center"/>
      <protection hidden="1"/>
    </xf>
    <xf numFmtId="0" fontId="24" fillId="3" borderId="0" xfId="0" applyFont="1" applyFill="1" applyAlignment="1" applyProtection="1">
      <alignment horizontal="center" vertical="center"/>
      <protection hidden="1"/>
    </xf>
    <xf numFmtId="0" fontId="9" fillId="2" borderId="0" xfId="0" applyFont="1" applyFill="1" applyAlignment="1" applyProtection="1">
      <alignment horizontal="center" vertical="top" wrapText="1"/>
      <protection hidden="1"/>
    </xf>
    <xf numFmtId="0" fontId="3" fillId="3" borderId="0" xfId="1" applyFill="1" applyAlignment="1" applyProtection="1">
      <alignment horizontal="center"/>
      <protection hidden="1"/>
    </xf>
    <xf numFmtId="0" fontId="0" fillId="0" borderId="0" xfId="0" quotePrefix="1" applyProtection="1">
      <protection hidden="1"/>
    </xf>
    <xf numFmtId="0" fontId="1" fillId="0" borderId="0" xfId="0" applyFont="1" applyAlignment="1" applyProtection="1">
      <alignment horizontal="center"/>
      <protection hidden="1"/>
    </xf>
    <xf numFmtId="0" fontId="10" fillId="2" borderId="4" xfId="0" applyFont="1" applyFill="1" applyBorder="1" applyAlignment="1" applyProtection="1">
      <alignment horizontal="center" vertical="center" wrapText="1"/>
      <protection hidden="1"/>
    </xf>
    <xf numFmtId="0" fontId="10" fillId="2" borderId="4" xfId="0" applyFont="1" applyFill="1" applyBorder="1" applyAlignment="1" applyProtection="1">
      <alignment horizontal="center" vertical="center"/>
      <protection hidden="1"/>
    </xf>
    <xf numFmtId="14" fontId="9" fillId="2" borderId="4" xfId="0" applyNumberFormat="1" applyFont="1" applyFill="1" applyBorder="1" applyAlignment="1" applyProtection="1">
      <alignment horizontal="center" vertical="center"/>
      <protection hidden="1"/>
    </xf>
    <xf numFmtId="0" fontId="13" fillId="2" borderId="4" xfId="0" quotePrefix="1" applyFont="1" applyFill="1" applyBorder="1" applyAlignment="1" applyProtection="1">
      <alignment horizontal="center" vertical="center" wrapText="1"/>
      <protection hidden="1"/>
    </xf>
    <xf numFmtId="0" fontId="10" fillId="2" borderId="4" xfId="0" applyFont="1" applyFill="1" applyBorder="1" applyAlignment="1" applyProtection="1">
      <alignment horizontal="center" vertical="top" wrapText="1"/>
      <protection hidden="1"/>
    </xf>
    <xf numFmtId="0" fontId="5" fillId="0" borderId="0" xfId="0" applyFont="1" applyAlignment="1" applyProtection="1">
      <alignment horizontal="center"/>
      <protection hidden="1"/>
    </xf>
    <xf numFmtId="0" fontId="13" fillId="2" borderId="4" xfId="0" quotePrefix="1" applyFont="1" applyFill="1" applyBorder="1" applyAlignment="1" applyProtection="1">
      <alignment horizontal="center" vertical="top" wrapText="1"/>
      <protection hidden="1"/>
    </xf>
    <xf numFmtId="0" fontId="3" fillId="0" borderId="0" xfId="1" applyProtection="1">
      <protection hidden="1"/>
    </xf>
    <xf numFmtId="0" fontId="10" fillId="0" borderId="0" xfId="0" applyFont="1" applyProtection="1">
      <protection hidden="1"/>
    </xf>
    <xf numFmtId="0" fontId="0" fillId="0" borderId="0" xfId="0" applyAlignment="1" applyProtection="1">
      <alignment horizontal="center"/>
      <protection hidden="1"/>
    </xf>
    <xf numFmtId="0" fontId="5" fillId="0" borderId="0" xfId="0" applyFont="1" applyAlignment="1">
      <alignment vertical="top" wrapText="1"/>
    </xf>
    <xf numFmtId="0" fontId="15" fillId="2" borderId="0" xfId="0" applyFont="1" applyFill="1" applyAlignment="1" applyProtection="1">
      <alignment horizontal="center" vertical="center" wrapText="1"/>
      <protection hidden="1"/>
    </xf>
    <xf numFmtId="0" fontId="15" fillId="2" borderId="0" xfId="0" applyFont="1" applyFill="1" applyAlignment="1" applyProtection="1">
      <alignment vertical="center" wrapText="1"/>
      <protection hidden="1"/>
    </xf>
    <xf numFmtId="0" fontId="10" fillId="2" borderId="36" xfId="0" applyFont="1" applyFill="1" applyBorder="1" applyAlignment="1" applyProtection="1">
      <alignment horizontal="center" vertical="center"/>
      <protection hidden="1"/>
    </xf>
    <xf numFmtId="0" fontId="15" fillId="2" borderId="4" xfId="0" applyFont="1" applyFill="1" applyBorder="1" applyAlignment="1" applyProtection="1">
      <alignment horizontal="center" vertical="center" wrapText="1"/>
      <protection hidden="1"/>
    </xf>
    <xf numFmtId="0" fontId="9" fillId="0" borderId="0" xfId="0" applyFont="1" applyAlignment="1" applyProtection="1">
      <alignment horizontal="center" vertical="center"/>
      <protection hidden="1"/>
    </xf>
    <xf numFmtId="14" fontId="9" fillId="0" borderId="0" xfId="0" applyNumberFormat="1"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164" fontId="9" fillId="0" borderId="0" xfId="0" applyNumberFormat="1" applyFont="1" applyAlignment="1" applyProtection="1">
      <alignment horizontal="center" vertical="center"/>
      <protection hidden="1"/>
    </xf>
    <xf numFmtId="14" fontId="4" fillId="0" borderId="0" xfId="0" applyNumberFormat="1" applyFont="1" applyAlignment="1" applyProtection="1">
      <alignment horizontal="center" vertical="center"/>
      <protection hidden="1"/>
    </xf>
    <xf numFmtId="0" fontId="14" fillId="0" borderId="0" xfId="0" applyFont="1" applyAlignment="1" applyProtection="1">
      <alignment horizontal="center" vertical="center"/>
      <protection hidden="1"/>
    </xf>
    <xf numFmtId="0" fontId="11" fillId="0" borderId="0" xfId="0" applyFont="1" applyAlignment="1" applyProtection="1">
      <alignment horizontal="center"/>
      <protection hidden="1"/>
    </xf>
    <xf numFmtId="14" fontId="9" fillId="0" borderId="0" xfId="0" applyNumberFormat="1" applyFont="1" applyAlignment="1" applyProtection="1">
      <alignment vertical="center"/>
      <protection hidden="1"/>
    </xf>
    <xf numFmtId="0" fontId="9" fillId="0" borderId="0" xfId="0" applyFont="1" applyAlignment="1" applyProtection="1">
      <alignment horizontal="center"/>
      <protection hidden="1"/>
    </xf>
    <xf numFmtId="0" fontId="9" fillId="0" borderId="0" xfId="0" applyFont="1" applyAlignment="1" applyProtection="1">
      <alignment horizontal="center" vertical="center" wrapText="1"/>
      <protection hidden="1"/>
    </xf>
    <xf numFmtId="0" fontId="9" fillId="0" borderId="0" xfId="0" applyFont="1" applyAlignment="1" applyProtection="1">
      <alignment horizontal="center" vertical="top" wrapText="1"/>
      <protection hidden="1"/>
    </xf>
    <xf numFmtId="0" fontId="10" fillId="0" borderId="0" xfId="0" applyFont="1" applyAlignment="1" applyProtection="1">
      <alignment horizontal="center" vertical="top" wrapText="1"/>
      <protection hidden="1"/>
    </xf>
    <xf numFmtId="0" fontId="2" fillId="0" borderId="0" xfId="0" applyFont="1" applyAlignment="1" applyProtection="1">
      <alignment horizontal="center"/>
      <protection hidden="1"/>
    </xf>
    <xf numFmtId="0" fontId="10" fillId="0" borderId="0" xfId="0" applyFont="1" applyAlignment="1" applyProtection="1">
      <alignment horizontal="center" vertical="center"/>
      <protection hidden="1"/>
    </xf>
    <xf numFmtId="0" fontId="15" fillId="0" borderId="0" xfId="0" applyFont="1" applyAlignment="1" applyProtection="1">
      <alignment horizontal="center" vertical="center"/>
      <protection hidden="1"/>
    </xf>
    <xf numFmtId="0" fontId="15" fillId="0" borderId="0" xfId="0" applyFont="1" applyAlignment="1" applyProtection="1">
      <alignment horizontal="center" vertical="center" wrapText="1"/>
      <protection hidden="1"/>
    </xf>
    <xf numFmtId="0" fontId="12" fillId="0" borderId="0" xfId="0" applyFont="1" applyAlignment="1" applyProtection="1">
      <alignment horizontal="center" vertical="center" shrinkToFit="1"/>
      <protection hidden="1"/>
    </xf>
    <xf numFmtId="0" fontId="12" fillId="0" borderId="0" xfId="0" applyFont="1" applyAlignment="1" applyProtection="1">
      <alignment horizontal="center" vertical="center"/>
      <protection hidden="1"/>
    </xf>
    <xf numFmtId="0" fontId="16" fillId="0" borderId="0" xfId="0" applyFont="1" applyAlignment="1" applyProtection="1">
      <alignment horizontal="center" vertical="center"/>
      <protection hidden="1"/>
    </xf>
    <xf numFmtId="0" fontId="4" fillId="0" borderId="0" xfId="0" applyFont="1" applyAlignment="1" applyProtection="1">
      <alignment horizontal="center" vertical="center"/>
      <protection hidden="1"/>
    </xf>
    <xf numFmtId="0" fontId="14" fillId="0" borderId="0" xfId="0" applyFont="1" applyAlignment="1" applyProtection="1">
      <alignment horizontal="center"/>
      <protection hidden="1"/>
    </xf>
    <xf numFmtId="0" fontId="11" fillId="0" borderId="0" xfId="0" applyFont="1" applyAlignment="1" applyProtection="1">
      <alignment wrapText="1"/>
      <protection hidden="1"/>
    </xf>
    <xf numFmtId="0" fontId="9" fillId="0" borderId="0" xfId="0" applyFont="1" applyAlignment="1" applyProtection="1">
      <alignment horizontal="center" vertical="center" shrinkToFit="1"/>
      <protection hidden="1"/>
    </xf>
    <xf numFmtId="0" fontId="1" fillId="0" borderId="0" xfId="0" applyFont="1" applyAlignment="1" applyProtection="1">
      <alignment horizontal="center" vertical="center" shrinkToFit="1"/>
      <protection hidden="1"/>
    </xf>
    <xf numFmtId="0" fontId="4" fillId="0" borderId="0" xfId="0" applyFont="1" applyAlignment="1" applyProtection="1">
      <alignment horizontal="left" vertical="top" wrapText="1"/>
      <protection hidden="1"/>
    </xf>
    <xf numFmtId="0" fontId="1" fillId="0" borderId="0" xfId="0" applyFont="1" applyAlignment="1" applyProtection="1">
      <alignment horizontal="center" vertical="center"/>
      <protection hidden="1"/>
    </xf>
    <xf numFmtId="0" fontId="23" fillId="0" borderId="0" xfId="0" applyFont="1" applyAlignment="1">
      <alignment wrapText="1"/>
    </xf>
    <xf numFmtId="0" fontId="25" fillId="0" borderId="0" xfId="0" applyFont="1" applyAlignment="1">
      <alignment wrapText="1"/>
    </xf>
    <xf numFmtId="0" fontId="9" fillId="0" borderId="0" xfId="0" applyFont="1"/>
    <xf numFmtId="0" fontId="20" fillId="0" borderId="0" xfId="0" applyFont="1" applyAlignment="1">
      <alignment wrapText="1"/>
    </xf>
    <xf numFmtId="0" fontId="10" fillId="0" borderId="0" xfId="0" applyFont="1" applyAlignment="1">
      <alignment horizontal="left" vertical="top"/>
    </xf>
    <xf numFmtId="0" fontId="4" fillId="0" borderId="0" xfId="0" applyFont="1" applyAlignment="1">
      <alignment vertical="top" wrapText="1"/>
    </xf>
    <xf numFmtId="0" fontId="9" fillId="0" borderId="0" xfId="0" applyFont="1" applyAlignment="1">
      <alignment vertical="center"/>
    </xf>
    <xf numFmtId="0" fontId="0" fillId="2" borderId="0" xfId="0" applyFill="1"/>
    <xf numFmtId="0" fontId="20" fillId="0" borderId="0" xfId="0" applyFont="1"/>
    <xf numFmtId="0" fontId="0" fillId="0" borderId="0" xfId="0" applyAlignment="1">
      <alignment horizontal="left" vertical="top" wrapText="1"/>
    </xf>
    <xf numFmtId="0" fontId="0" fillId="0" borderId="0" xfId="0" applyAlignment="1">
      <alignment vertical="top" wrapText="1"/>
    </xf>
    <xf numFmtId="0" fontId="4" fillId="0" borderId="0" xfId="0" applyFont="1" applyAlignment="1">
      <alignment vertical="top"/>
    </xf>
    <xf numFmtId="0" fontId="13" fillId="10" borderId="0" xfId="0" applyFont="1" applyFill="1" applyAlignment="1" applyProtection="1">
      <alignment horizontal="center" vertical="center" shrinkToFit="1"/>
      <protection hidden="1"/>
    </xf>
    <xf numFmtId="0" fontId="13" fillId="10" borderId="0" xfId="0" applyFont="1" applyFill="1" applyAlignment="1" applyProtection="1">
      <alignment horizontal="center" vertical="center"/>
      <protection hidden="1"/>
    </xf>
    <xf numFmtId="0" fontId="9" fillId="10" borderId="0" xfId="0" applyFont="1" applyFill="1" applyAlignment="1" applyProtection="1">
      <alignment horizontal="center" vertical="center"/>
      <protection hidden="1"/>
    </xf>
    <xf numFmtId="14" fontId="9" fillId="10" borderId="0" xfId="0" applyNumberFormat="1" applyFont="1" applyFill="1" applyAlignment="1" applyProtection="1">
      <alignment vertical="center"/>
      <protection hidden="1"/>
    </xf>
    <xf numFmtId="0" fontId="9" fillId="10" borderId="0" xfId="0" applyFont="1" applyFill="1" applyAlignment="1" applyProtection="1">
      <alignment horizontal="center"/>
      <protection hidden="1"/>
    </xf>
    <xf numFmtId="0" fontId="13" fillId="10" borderId="0" xfId="0" applyFont="1" applyFill="1" applyAlignment="1" applyProtection="1">
      <alignment horizontal="center" vertical="center" wrapText="1"/>
      <protection hidden="1"/>
    </xf>
    <xf numFmtId="0" fontId="9" fillId="10" borderId="0" xfId="0" applyFont="1" applyFill="1" applyProtection="1">
      <protection hidden="1"/>
    </xf>
    <xf numFmtId="0" fontId="9" fillId="10" borderId="0" xfId="0" applyFont="1" applyFill="1" applyAlignment="1" applyProtection="1">
      <alignment horizontal="center" vertical="center" wrapText="1"/>
      <protection hidden="1"/>
    </xf>
    <xf numFmtId="0" fontId="1" fillId="10" borderId="0" xfId="0" applyFont="1" applyFill="1" applyProtection="1">
      <protection hidden="1"/>
    </xf>
    <xf numFmtId="0" fontId="1" fillId="10" borderId="0" xfId="0" applyFont="1" applyFill="1" applyAlignment="1" applyProtection="1">
      <alignment horizontal="center"/>
      <protection hidden="1"/>
    </xf>
    <xf numFmtId="0" fontId="0" fillId="10" borderId="0" xfId="0" applyFill="1" applyProtection="1">
      <protection hidden="1"/>
    </xf>
    <xf numFmtId="0" fontId="0" fillId="10" borderId="0" xfId="0" applyFill="1"/>
    <xf numFmtId="0" fontId="9" fillId="11" borderId="0" xfId="0" applyFont="1" applyFill="1" applyAlignment="1" applyProtection="1">
      <alignment horizontal="center" vertical="center"/>
      <protection hidden="1"/>
    </xf>
    <xf numFmtId="0" fontId="9" fillId="11" borderId="0" xfId="0" applyFont="1" applyFill="1" applyAlignment="1" applyProtection="1">
      <alignment horizontal="center" vertical="center" shrinkToFit="1"/>
      <protection hidden="1"/>
    </xf>
    <xf numFmtId="0" fontId="1" fillId="9" borderId="0" xfId="0" applyFont="1" applyFill="1" applyAlignment="1" applyProtection="1">
      <alignment horizontal="center" vertical="center"/>
      <protection hidden="1"/>
    </xf>
    <xf numFmtId="14" fontId="9" fillId="11" borderId="0" xfId="0" applyNumberFormat="1" applyFont="1" applyFill="1" applyAlignment="1" applyProtection="1">
      <alignment horizontal="center" vertical="center"/>
      <protection hidden="1"/>
    </xf>
    <xf numFmtId="14" fontId="9" fillId="11" borderId="0" xfId="0" applyNumberFormat="1" applyFont="1" applyFill="1" applyAlignment="1" applyProtection="1">
      <alignment vertical="center"/>
      <protection hidden="1"/>
    </xf>
    <xf numFmtId="0" fontId="26" fillId="0" borderId="0" xfId="0" applyFont="1" applyAlignment="1">
      <alignment wrapText="1"/>
    </xf>
    <xf numFmtId="0" fontId="20" fillId="0" borderId="0" xfId="0" applyFont="1" applyAlignment="1">
      <alignment horizontal="center"/>
    </xf>
    <xf numFmtId="0" fontId="0" fillId="10" borderId="0" xfId="0" applyFill="1" applyAlignment="1">
      <alignment horizontal="center"/>
    </xf>
    <xf numFmtId="0" fontId="20" fillId="0" borderId="0" xfId="0" applyFont="1" applyAlignment="1" applyProtection="1">
      <alignment horizontal="center"/>
      <protection hidden="1"/>
    </xf>
    <xf numFmtId="0" fontId="9" fillId="0" borderId="54" xfId="0" applyFont="1" applyBorder="1"/>
    <xf numFmtId="0" fontId="1" fillId="0" borderId="20" xfId="0" applyFont="1" applyBorder="1" applyAlignment="1">
      <alignment horizontal="left" vertical="center" indent="1"/>
    </xf>
    <xf numFmtId="0" fontId="27" fillId="13" borderId="11" xfId="0" applyFont="1" applyFill="1" applyBorder="1" applyAlignment="1">
      <alignment horizontal="center" vertical="top"/>
    </xf>
    <xf numFmtId="0" fontId="28" fillId="9" borderId="10" xfId="2" applyFont="1" applyFill="1" applyBorder="1"/>
    <xf numFmtId="0" fontId="29" fillId="0" borderId="12" xfId="0" applyFont="1" applyBorder="1" applyAlignment="1">
      <alignment horizontal="left" indent="1"/>
    </xf>
    <xf numFmtId="0" fontId="3" fillId="0" borderId="12" xfId="0" applyFont="1" applyBorder="1" applyAlignment="1">
      <alignment horizontal="left" indent="1"/>
    </xf>
    <xf numFmtId="0" fontId="29" fillId="0" borderId="11" xfId="0" applyFont="1" applyBorder="1"/>
    <xf numFmtId="0" fontId="29" fillId="0" borderId="0" xfId="0" applyFont="1"/>
    <xf numFmtId="0" fontId="30" fillId="10" borderId="23" xfId="0" applyFont="1" applyFill="1" applyBorder="1" applyAlignment="1">
      <alignment horizontal="left" vertical="center" wrapText="1"/>
    </xf>
    <xf numFmtId="0" fontId="3" fillId="0" borderId="25" xfId="0" applyFont="1" applyBorder="1" applyAlignment="1">
      <alignment horizontal="left" vertical="center" wrapText="1"/>
    </xf>
    <xf numFmtId="0" fontId="3" fillId="0" borderId="2" xfId="0" applyFont="1" applyBorder="1" applyAlignment="1">
      <alignment vertical="top" wrapText="1"/>
    </xf>
    <xf numFmtId="0" fontId="3" fillId="0" borderId="5" xfId="0" applyFont="1" applyBorder="1" applyAlignment="1">
      <alignment vertical="top" wrapText="1"/>
    </xf>
    <xf numFmtId="0" fontId="32" fillId="0" borderId="5" xfId="0" applyFont="1" applyBorder="1" applyAlignment="1">
      <alignment vertical="top" wrapText="1"/>
    </xf>
    <xf numFmtId="0" fontId="3" fillId="4" borderId="26" xfId="0" applyFont="1" applyFill="1" applyBorder="1" applyAlignment="1">
      <alignment horizontal="left" vertical="top" wrapText="1"/>
    </xf>
    <xf numFmtId="0" fontId="32" fillId="0" borderId="28" xfId="0" applyFont="1" applyBorder="1" applyAlignment="1">
      <alignment vertical="top" wrapText="1"/>
    </xf>
    <xf numFmtId="0" fontId="31" fillId="4" borderId="34" xfId="0" applyFont="1" applyFill="1" applyBorder="1" applyAlignment="1">
      <alignment horizontal="left" vertical="top" wrapText="1"/>
    </xf>
    <xf numFmtId="0" fontId="3" fillId="0" borderId="34" xfId="0" applyFont="1" applyBorder="1" applyAlignment="1">
      <alignment vertical="top" wrapText="1"/>
    </xf>
    <xf numFmtId="0" fontId="31" fillId="4" borderId="20" xfId="0" applyFont="1" applyFill="1" applyBorder="1" applyAlignment="1">
      <alignment horizontal="left" vertical="top" wrapText="1"/>
    </xf>
    <xf numFmtId="0" fontId="3" fillId="0" borderId="20" xfId="0" applyFont="1" applyBorder="1" applyAlignment="1">
      <alignment vertical="top" wrapText="1"/>
    </xf>
    <xf numFmtId="0" fontId="31" fillId="4" borderId="30" xfId="0" applyFont="1" applyFill="1" applyBorder="1" applyAlignment="1">
      <alignment horizontal="left" vertical="top" wrapText="1"/>
    </xf>
    <xf numFmtId="0" fontId="3" fillId="0" borderId="38" xfId="0" applyFont="1" applyBorder="1" applyAlignment="1">
      <alignment vertical="top" wrapText="1"/>
    </xf>
    <xf numFmtId="0" fontId="31" fillId="4" borderId="18" xfId="0" applyFont="1" applyFill="1" applyBorder="1" applyAlignment="1">
      <alignment horizontal="left" vertical="top" wrapText="1"/>
    </xf>
    <xf numFmtId="0" fontId="3" fillId="0" borderId="19" xfId="0" applyFont="1" applyBorder="1" applyAlignment="1">
      <alignment vertical="top" wrapText="1"/>
    </xf>
    <xf numFmtId="0" fontId="31" fillId="4" borderId="26" xfId="0" applyFont="1" applyFill="1" applyBorder="1" applyAlignment="1">
      <alignment horizontal="left" vertical="top" wrapText="1"/>
    </xf>
    <xf numFmtId="0" fontId="3" fillId="0" borderId="28" xfId="0" applyFont="1" applyBorder="1" applyAlignment="1">
      <alignment vertical="top" wrapText="1"/>
    </xf>
    <xf numFmtId="0" fontId="30" fillId="10" borderId="23" xfId="0" applyFont="1" applyFill="1" applyBorder="1" applyAlignment="1">
      <alignment horizontal="left" vertical="top"/>
    </xf>
    <xf numFmtId="0" fontId="35" fillId="10" borderId="25" xfId="0" applyFont="1" applyFill="1" applyBorder="1" applyAlignment="1">
      <alignment vertical="top" wrapText="1"/>
    </xf>
    <xf numFmtId="0" fontId="31" fillId="4" borderId="18" xfId="0" applyFont="1" applyFill="1" applyBorder="1" applyAlignment="1">
      <alignment vertical="top" wrapText="1"/>
    </xf>
    <xf numFmtId="0" fontId="31" fillId="4" borderId="26" xfId="0" applyFont="1" applyFill="1" applyBorder="1" applyAlignment="1">
      <alignment vertical="top" wrapText="1"/>
    </xf>
    <xf numFmtId="0" fontId="29" fillId="0" borderId="28" xfId="0" applyFont="1" applyBorder="1" applyAlignment="1">
      <alignment vertical="top" wrapText="1"/>
    </xf>
    <xf numFmtId="0" fontId="30" fillId="10" borderId="34" xfId="0" applyFont="1" applyFill="1" applyBorder="1" applyAlignment="1">
      <alignment vertical="top" wrapText="1"/>
    </xf>
    <xf numFmtId="0" fontId="29" fillId="0" borderId="34" xfId="0" applyFont="1" applyBorder="1" applyAlignment="1">
      <alignment vertical="top" wrapText="1"/>
    </xf>
    <xf numFmtId="0" fontId="3" fillId="0" borderId="4" xfId="0" applyFont="1" applyBorder="1" applyAlignment="1" applyProtection="1">
      <alignment vertical="top" wrapText="1"/>
      <protection locked="0"/>
    </xf>
    <xf numFmtId="0" fontId="29" fillId="0" borderId="7" xfId="0" applyFont="1" applyBorder="1" applyAlignment="1">
      <alignment horizontal="center"/>
    </xf>
    <xf numFmtId="0" fontId="29" fillId="0" borderId="0" xfId="0" applyFont="1" applyAlignment="1">
      <alignment horizontal="left" vertical="top" wrapText="1"/>
    </xf>
    <xf numFmtId="0" fontId="29" fillId="0" borderId="2" xfId="0" applyFont="1" applyBorder="1" applyAlignment="1">
      <alignment horizontal="center"/>
    </xf>
    <xf numFmtId="0" fontId="3" fillId="0" borderId="0" xfId="0" applyFont="1" applyAlignment="1" applyProtection="1">
      <alignment horizontal="left" vertical="top" wrapText="1"/>
      <protection locked="0"/>
    </xf>
    <xf numFmtId="0" fontId="3" fillId="0" borderId="19" xfId="0" applyFont="1" applyBorder="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29" fillId="0" borderId="19" xfId="0" applyFont="1" applyBorder="1" applyAlignment="1" applyProtection="1">
      <alignment horizontal="left" vertical="top" wrapText="1"/>
      <protection locked="0"/>
    </xf>
    <xf numFmtId="0" fontId="29" fillId="0" borderId="28" xfId="0" applyFont="1" applyBorder="1" applyAlignment="1" applyProtection="1">
      <alignment horizontal="left" vertical="top" wrapText="1"/>
      <protection locked="0"/>
    </xf>
    <xf numFmtId="0" fontId="3" fillId="9" borderId="43" xfId="0" applyFont="1" applyFill="1" applyBorder="1" applyAlignment="1">
      <alignment horizontal="left" vertical="center" wrapText="1"/>
    </xf>
    <xf numFmtId="0" fontId="3" fillId="9" borderId="2" xfId="0" applyFont="1" applyFill="1" applyBorder="1" applyAlignment="1">
      <alignment horizontal="left" vertical="center" wrapText="1"/>
    </xf>
    <xf numFmtId="0" fontId="29" fillId="9" borderId="1" xfId="0" applyFont="1" applyFill="1" applyBorder="1" applyAlignment="1">
      <alignment horizontal="center" vertical="top"/>
    </xf>
    <xf numFmtId="0" fontId="3" fillId="9" borderId="1" xfId="0" applyFont="1" applyFill="1" applyBorder="1" applyAlignment="1">
      <alignment vertical="top"/>
    </xf>
    <xf numFmtId="0" fontId="3" fillId="9" borderId="1" xfId="0" applyFont="1" applyFill="1" applyBorder="1" applyAlignment="1">
      <alignment vertical="top" wrapText="1"/>
    </xf>
    <xf numFmtId="0" fontId="3" fillId="9" borderId="3" xfId="0" applyFont="1" applyFill="1" applyBorder="1" applyAlignment="1">
      <alignment horizontal="left" vertical="center" wrapText="1"/>
    </xf>
    <xf numFmtId="0" fontId="3" fillId="9" borderId="5" xfId="0" applyFont="1" applyFill="1" applyBorder="1" applyAlignment="1">
      <alignment horizontal="left" vertical="center" wrapText="1"/>
    </xf>
    <xf numFmtId="0" fontId="29" fillId="9" borderId="6" xfId="0" applyFont="1" applyFill="1" applyBorder="1" applyAlignment="1">
      <alignment vertical="center"/>
    </xf>
    <xf numFmtId="0" fontId="43" fillId="9" borderId="7" xfId="0" applyFont="1" applyFill="1" applyBorder="1" applyAlignment="1">
      <alignment vertical="center"/>
    </xf>
    <xf numFmtId="0" fontId="29" fillId="9" borderId="7" xfId="0" applyFont="1" applyFill="1" applyBorder="1" applyAlignment="1" applyProtection="1">
      <alignment vertical="center"/>
      <protection locked="0"/>
    </xf>
    <xf numFmtId="0" fontId="29" fillId="9" borderId="7" xfId="0" applyFont="1" applyFill="1" applyBorder="1" applyAlignment="1">
      <alignment horizontal="center" vertical="top"/>
    </xf>
    <xf numFmtId="0" fontId="3" fillId="9" borderId="7" xfId="0" applyFont="1" applyFill="1" applyBorder="1" applyAlignment="1">
      <alignment vertical="top"/>
    </xf>
    <xf numFmtId="0" fontId="3" fillId="9" borderId="7" xfId="0" applyFont="1" applyFill="1" applyBorder="1" applyAlignment="1">
      <alignment horizontal="left" vertical="center" wrapText="1"/>
    </xf>
    <xf numFmtId="0" fontId="3" fillId="9" borderId="6" xfId="0" applyFont="1" applyFill="1" applyBorder="1" applyAlignment="1">
      <alignment horizontal="left" vertical="center" wrapText="1"/>
    </xf>
    <xf numFmtId="0" fontId="3" fillId="9" borderId="8" xfId="0" applyFont="1" applyFill="1" applyBorder="1" applyAlignment="1">
      <alignment horizontal="left" vertical="center" wrapText="1"/>
    </xf>
    <xf numFmtId="0" fontId="29" fillId="0" borderId="47" xfId="0" applyFont="1" applyBorder="1" applyAlignment="1">
      <alignment vertical="top"/>
    </xf>
    <xf numFmtId="0" fontId="43" fillId="0" borderId="47" xfId="0" applyFont="1" applyBorder="1" applyAlignment="1">
      <alignment vertical="top"/>
    </xf>
    <xf numFmtId="0" fontId="29" fillId="0" borderId="47" xfId="0" applyFont="1" applyBorder="1" applyAlignment="1">
      <alignment vertical="center"/>
    </xf>
    <xf numFmtId="0" fontId="29" fillId="0" borderId="47" xfId="0" applyFont="1" applyBorder="1" applyAlignment="1">
      <alignment horizontal="center" vertical="top"/>
    </xf>
    <xf numFmtId="0" fontId="3" fillId="0" borderId="47" xfId="0" applyFont="1" applyBorder="1" applyAlignment="1">
      <alignment vertical="top"/>
    </xf>
    <xf numFmtId="0" fontId="3" fillId="0" borderId="47" xfId="0" applyFont="1" applyBorder="1" applyAlignment="1">
      <alignment horizontal="left" vertical="center" wrapText="1"/>
    </xf>
    <xf numFmtId="0" fontId="29" fillId="0" borderId="46" xfId="0" applyFont="1" applyBorder="1" applyAlignment="1">
      <alignment vertical="top"/>
    </xf>
    <xf numFmtId="0" fontId="43" fillId="0" borderId="46" xfId="0" applyFont="1" applyBorder="1" applyAlignment="1">
      <alignment vertical="top"/>
    </xf>
    <xf numFmtId="0" fontId="29" fillId="0" borderId="46" xfId="0" applyFont="1" applyBorder="1" applyAlignment="1">
      <alignment horizontal="center" vertical="top"/>
    </xf>
    <xf numFmtId="0" fontId="3" fillId="0" borderId="46" xfId="0" applyFont="1" applyBorder="1" applyAlignment="1">
      <alignment vertical="top"/>
    </xf>
    <xf numFmtId="0" fontId="3" fillId="0" borderId="46" xfId="0" applyFont="1" applyBorder="1" applyAlignment="1">
      <alignment horizontal="left" vertical="center" wrapText="1"/>
    </xf>
    <xf numFmtId="0" fontId="29" fillId="0" borderId="49" xfId="0" applyFont="1" applyBorder="1" applyAlignment="1">
      <alignment vertical="center"/>
    </xf>
    <xf numFmtId="0" fontId="29" fillId="0" borderId="49" xfId="0" applyFont="1" applyBorder="1" applyAlignment="1">
      <alignment wrapText="1"/>
    </xf>
    <xf numFmtId="0" fontId="39" fillId="0" borderId="49" xfId="0" applyFont="1" applyBorder="1" applyAlignment="1">
      <alignment wrapText="1"/>
    </xf>
    <xf numFmtId="0" fontId="39" fillId="0" borderId="49" xfId="0" applyFont="1" applyBorder="1" applyAlignment="1">
      <alignment horizontal="center" wrapText="1"/>
    </xf>
    <xf numFmtId="0" fontId="39" fillId="0" borderId="49" xfId="0" applyFont="1" applyBorder="1" applyAlignment="1">
      <alignment horizontal="center"/>
    </xf>
    <xf numFmtId="0" fontId="29" fillId="0" borderId="49" xfId="0" applyFont="1" applyBorder="1" applyAlignment="1">
      <alignment horizontal="left" vertical="center" wrapText="1"/>
    </xf>
    <xf numFmtId="0" fontId="3" fillId="0" borderId="49" xfId="0" applyFont="1" applyBorder="1" applyAlignment="1">
      <alignment horizontal="left" vertical="center" wrapText="1"/>
    </xf>
    <xf numFmtId="0" fontId="41" fillId="9" borderId="23" xfId="0" applyFont="1" applyFill="1" applyBorder="1" applyAlignment="1">
      <alignment horizontal="center" vertical="center"/>
    </xf>
    <xf numFmtId="0" fontId="41" fillId="9" borderId="24" xfId="0" applyFont="1" applyFill="1" applyBorder="1" applyAlignment="1">
      <alignment horizontal="center" vertical="center"/>
    </xf>
    <xf numFmtId="0" fontId="41" fillId="9" borderId="24" xfId="0" applyFont="1" applyFill="1" applyBorder="1" applyAlignment="1">
      <alignment horizontal="center" vertical="center" wrapText="1"/>
    </xf>
    <xf numFmtId="0" fontId="31" fillId="9" borderId="24" xfId="0" applyFont="1" applyFill="1" applyBorder="1" applyAlignment="1">
      <alignment horizontal="center" vertical="center" wrapText="1"/>
    </xf>
    <xf numFmtId="0" fontId="31" fillId="9" borderId="25" xfId="0" applyFont="1" applyFill="1" applyBorder="1" applyAlignment="1">
      <alignment horizontal="center" vertical="center" wrapText="1"/>
    </xf>
    <xf numFmtId="0" fontId="29" fillId="0" borderId="37" xfId="0" applyFont="1" applyBorder="1" applyAlignment="1">
      <alignment horizontal="left" vertical="top" wrapText="1"/>
    </xf>
    <xf numFmtId="0" fontId="29" fillId="0" borderId="34" xfId="0" applyFont="1" applyBorder="1" applyAlignment="1">
      <alignment horizontal="left" vertical="top" wrapText="1"/>
    </xf>
    <xf numFmtId="0" fontId="29" fillId="0" borderId="34" xfId="0" applyFont="1" applyBorder="1" applyAlignment="1">
      <alignment horizontal="center" vertical="top" wrapText="1"/>
    </xf>
    <xf numFmtId="0" fontId="3" fillId="0" borderId="34" xfId="6" applyFont="1" applyFill="1" applyBorder="1" applyAlignment="1" applyProtection="1">
      <alignment horizontal="left" vertical="top" wrapText="1"/>
      <protection locked="0"/>
    </xf>
    <xf numFmtId="0" fontId="44" fillId="0" borderId="34" xfId="6" applyFont="1" applyFill="1" applyBorder="1" applyAlignment="1" applyProtection="1">
      <alignment horizontal="left" vertical="top" wrapText="1"/>
      <protection locked="0"/>
    </xf>
    <xf numFmtId="0" fontId="44" fillId="0" borderId="38" xfId="6" applyFont="1" applyFill="1" applyBorder="1" applyAlignment="1" applyProtection="1">
      <alignment horizontal="left" vertical="top" wrapText="1"/>
      <protection locked="0"/>
    </xf>
    <xf numFmtId="0" fontId="44" fillId="0" borderId="40" xfId="6" applyFont="1" applyFill="1" applyBorder="1" applyAlignment="1" applyProtection="1">
      <alignment horizontal="left" vertical="top" wrapText="1"/>
      <protection locked="0"/>
    </xf>
    <xf numFmtId="0" fontId="3" fillId="0" borderId="34" xfId="0" applyFont="1" applyBorder="1" applyAlignment="1">
      <alignment horizontal="left" vertical="top" wrapText="1"/>
    </xf>
    <xf numFmtId="0" fontId="3" fillId="0" borderId="34" xfId="6" applyFont="1" applyFill="1" applyBorder="1" applyAlignment="1" applyProtection="1">
      <alignment horizontal="left" vertical="top" wrapText="1"/>
    </xf>
    <xf numFmtId="0" fontId="3" fillId="0" borderId="4" xfId="0" applyFont="1" applyBorder="1" applyAlignment="1">
      <alignment horizontal="left" vertical="top" wrapText="1"/>
    </xf>
    <xf numFmtId="0" fontId="3" fillId="0" borderId="4" xfId="6" applyFont="1" applyFill="1" applyBorder="1" applyAlignment="1" applyProtection="1">
      <alignment horizontal="left" vertical="top" wrapText="1"/>
      <protection locked="0"/>
    </xf>
    <xf numFmtId="0" fontId="41" fillId="9" borderId="0" xfId="0" applyFont="1" applyFill="1"/>
    <xf numFmtId="0" fontId="29" fillId="9" borderId="0" xfId="0" applyFont="1" applyFill="1" applyAlignment="1">
      <alignment wrapText="1"/>
    </xf>
    <xf numFmtId="0" fontId="39" fillId="9" borderId="0" xfId="0" applyFont="1" applyFill="1" applyAlignment="1">
      <alignment vertical="top" wrapText="1"/>
    </xf>
    <xf numFmtId="0" fontId="39" fillId="9" borderId="0" xfId="0" applyFont="1" applyFill="1" applyAlignment="1">
      <alignment horizontal="center" vertical="top" wrapText="1"/>
    </xf>
    <xf numFmtId="0" fontId="44" fillId="9" borderId="0" xfId="0" applyFont="1" applyFill="1" applyAlignment="1">
      <alignment horizontal="center"/>
    </xf>
    <xf numFmtId="0" fontId="3" fillId="9" borderId="0" xfId="0" applyFont="1" applyFill="1" applyAlignment="1">
      <alignment vertical="center" wrapText="1"/>
    </xf>
    <xf numFmtId="0" fontId="44" fillId="9" borderId="0" xfId="0" applyFont="1" applyFill="1"/>
    <xf numFmtId="0" fontId="39" fillId="0" borderId="0" xfId="0" applyFont="1" applyAlignment="1">
      <alignment horizontal="center"/>
    </xf>
    <xf numFmtId="0" fontId="29" fillId="0" borderId="0" xfId="0" applyFont="1" applyAlignment="1">
      <alignment wrapText="1"/>
    </xf>
    <xf numFmtId="0" fontId="39" fillId="0" borderId="0" xfId="0" applyFont="1" applyAlignment="1">
      <alignment vertical="top" wrapText="1"/>
    </xf>
    <xf numFmtId="0" fontId="39" fillId="0" borderId="0" xfId="0" applyFont="1" applyAlignment="1">
      <alignment horizontal="center" vertical="top" wrapText="1"/>
    </xf>
    <xf numFmtId="0" fontId="44" fillId="0" borderId="0" xfId="0" applyFont="1" applyAlignment="1">
      <alignment horizontal="center"/>
    </xf>
    <xf numFmtId="0" fontId="3" fillId="0" borderId="0" xfId="0" applyFont="1" applyAlignment="1">
      <alignment vertical="center" wrapText="1"/>
    </xf>
    <xf numFmtId="0" fontId="44" fillId="0" borderId="0" xfId="0" applyFont="1"/>
    <xf numFmtId="0" fontId="39" fillId="0" borderId="0" xfId="0" applyFont="1"/>
    <xf numFmtId="0" fontId="29" fillId="9" borderId="2" xfId="0" applyFont="1" applyFill="1" applyBorder="1" applyAlignment="1">
      <alignment horizontal="left" vertical="center" wrapText="1"/>
    </xf>
    <xf numFmtId="0" fontId="29" fillId="9" borderId="1" xfId="0" applyFont="1" applyFill="1" applyBorder="1" applyAlignment="1">
      <alignment vertical="top"/>
    </xf>
    <xf numFmtId="0" fontId="29" fillId="9" borderId="1" xfId="0" applyFont="1" applyFill="1" applyBorder="1" applyAlignment="1">
      <alignment vertical="top" wrapText="1"/>
    </xf>
    <xf numFmtId="0" fontId="29" fillId="9" borderId="3" xfId="0" applyFont="1" applyFill="1" applyBorder="1" applyAlignment="1">
      <alignment horizontal="left" vertical="center" wrapText="1"/>
    </xf>
    <xf numFmtId="0" fontId="29" fillId="9" borderId="5" xfId="0" applyFont="1" applyFill="1" applyBorder="1" applyAlignment="1">
      <alignment horizontal="left" vertical="center" wrapText="1"/>
    </xf>
    <xf numFmtId="0" fontId="29" fillId="9" borderId="7" xfId="0" applyFont="1" applyFill="1" applyBorder="1" applyAlignment="1">
      <alignment vertical="top"/>
    </xf>
    <xf numFmtId="0" fontId="29" fillId="9" borderId="7"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29" fillId="9" borderId="8" xfId="0" applyFont="1" applyFill="1" applyBorder="1" applyAlignment="1">
      <alignment horizontal="left" vertical="center" wrapText="1"/>
    </xf>
    <xf numFmtId="0" fontId="39" fillId="0" borderId="47" xfId="0" applyFont="1" applyBorder="1"/>
    <xf numFmtId="0" fontId="29" fillId="0" borderId="47" xfId="0" applyFont="1" applyBorder="1" applyAlignment="1">
      <alignment horizontal="left" vertical="center" wrapText="1"/>
    </xf>
    <xf numFmtId="0" fontId="39" fillId="0" borderId="46" xfId="0" applyFont="1" applyBorder="1"/>
    <xf numFmtId="0" fontId="29" fillId="0" borderId="46" xfId="0" applyFont="1" applyBorder="1" applyAlignment="1">
      <alignment horizontal="left" vertical="center" wrapText="1"/>
    </xf>
    <xf numFmtId="0" fontId="41" fillId="9" borderId="25" xfId="0" applyFont="1" applyFill="1" applyBorder="1" applyAlignment="1">
      <alignment horizontal="center" vertical="center" wrapText="1"/>
    </xf>
    <xf numFmtId="0" fontId="29" fillId="0" borderId="18" xfId="0" applyFont="1" applyBorder="1" applyAlignment="1">
      <alignment horizontal="left" vertical="top" wrapText="1"/>
    </xf>
    <xf numFmtId="0" fontId="29" fillId="0" borderId="4" xfId="0" applyFont="1" applyBorder="1" applyAlignment="1">
      <alignment horizontal="left" vertical="top" wrapText="1"/>
    </xf>
    <xf numFmtId="0" fontId="29" fillId="0" borderId="4" xfId="0" applyFont="1" applyBorder="1" applyAlignment="1">
      <alignment horizontal="center" vertical="top" wrapText="1"/>
    </xf>
    <xf numFmtId="0" fontId="29" fillId="0" borderId="4" xfId="0" applyFont="1" applyBorder="1" applyAlignment="1" applyProtection="1">
      <alignment horizontal="left" vertical="top" wrapText="1"/>
      <protection locked="0"/>
    </xf>
    <xf numFmtId="0" fontId="29" fillId="0" borderId="30" xfId="0" applyFont="1" applyBorder="1" applyAlignment="1">
      <alignment horizontal="left" vertical="top" wrapText="1"/>
    </xf>
    <xf numFmtId="0" fontId="29" fillId="0" borderId="31" xfId="0" applyFont="1" applyBorder="1" applyAlignment="1">
      <alignment horizontal="left" vertical="top" wrapText="1"/>
    </xf>
    <xf numFmtId="0" fontId="29" fillId="0" borderId="31" xfId="0" applyFont="1" applyBorder="1" applyAlignment="1" applyProtection="1">
      <alignment horizontal="left" vertical="top" wrapText="1"/>
      <protection locked="0"/>
    </xf>
    <xf numFmtId="0" fontId="29" fillId="0" borderId="38" xfId="0" applyFont="1" applyBorder="1" applyAlignment="1" applyProtection="1">
      <alignment horizontal="left" vertical="top" wrapText="1"/>
      <protection locked="0"/>
    </xf>
    <xf numFmtId="0" fontId="31" fillId="9" borderId="0" xfId="0" applyFont="1" applyFill="1"/>
    <xf numFmtId="0" fontId="3" fillId="9" borderId="0" xfId="0" applyFont="1" applyFill="1" applyAlignment="1">
      <alignment wrapText="1"/>
    </xf>
    <xf numFmtId="0" fontId="44" fillId="9" borderId="0" xfId="0" applyFont="1" applyFill="1" applyAlignment="1">
      <alignment horizontal="center" vertical="top" wrapText="1"/>
    </xf>
    <xf numFmtId="0" fontId="29" fillId="9" borderId="6" xfId="0" applyFont="1" applyFill="1" applyBorder="1" applyAlignment="1">
      <alignment vertical="top"/>
    </xf>
    <xf numFmtId="0" fontId="43" fillId="9" borderId="7" xfId="0" applyFont="1" applyFill="1" applyBorder="1" applyAlignment="1">
      <alignment vertical="top"/>
    </xf>
    <xf numFmtId="0" fontId="29" fillId="9" borderId="7" xfId="0" applyFont="1" applyFill="1" applyBorder="1" applyAlignment="1" applyProtection="1">
      <alignment vertical="top"/>
      <protection locked="0"/>
    </xf>
    <xf numFmtId="0" fontId="29" fillId="0" borderId="33" xfId="0" applyFont="1" applyBorder="1" applyAlignment="1">
      <alignment horizontal="left" vertical="top" wrapText="1"/>
    </xf>
    <xf numFmtId="0" fontId="29" fillId="0" borderId="20" xfId="0" applyFont="1" applyBorder="1" applyAlignment="1">
      <alignment horizontal="left" vertical="top" wrapText="1"/>
    </xf>
    <xf numFmtId="0" fontId="29" fillId="0" borderId="20" xfId="0" applyFont="1" applyBorder="1" applyAlignment="1">
      <alignment horizontal="center" vertical="top" wrapText="1"/>
    </xf>
    <xf numFmtId="0" fontId="29" fillId="0" borderId="20" xfId="0" applyFont="1" applyBorder="1" applyAlignment="1" applyProtection="1">
      <alignment horizontal="left" vertical="top" wrapText="1"/>
      <protection locked="0"/>
    </xf>
    <xf numFmtId="0" fontId="29" fillId="0" borderId="39" xfId="0" applyFont="1" applyBorder="1" applyAlignment="1" applyProtection="1">
      <alignment horizontal="left" vertical="top" wrapText="1"/>
      <protection locked="0"/>
    </xf>
    <xf numFmtId="0" fontId="29" fillId="0" borderId="34" xfId="0" applyFont="1" applyBorder="1" applyAlignment="1" applyProtection="1">
      <alignment horizontal="left" vertical="top" wrapText="1"/>
      <protection locked="0"/>
    </xf>
    <xf numFmtId="0" fontId="29" fillId="0" borderId="40" xfId="0" applyFont="1" applyBorder="1" applyAlignment="1" applyProtection="1">
      <alignment horizontal="left" vertical="top" wrapText="1"/>
      <protection locked="0"/>
    </xf>
    <xf numFmtId="0" fontId="29" fillId="0" borderId="44" xfId="0" applyFont="1" applyBorder="1" applyAlignment="1" applyProtection="1">
      <alignment horizontal="left" vertical="top" wrapText="1"/>
      <protection locked="0"/>
    </xf>
    <xf numFmtId="0" fontId="29" fillId="0" borderId="21" xfId="0" applyFont="1" applyBorder="1" applyAlignment="1" applyProtection="1">
      <alignment horizontal="left" vertical="top" wrapText="1"/>
      <protection locked="0"/>
    </xf>
    <xf numFmtId="0" fontId="29" fillId="0" borderId="22" xfId="0" applyFont="1" applyBorder="1" applyAlignment="1" applyProtection="1">
      <alignment horizontal="left" vertical="top" wrapText="1"/>
      <protection locked="0"/>
    </xf>
    <xf numFmtId="0" fontId="29" fillId="0" borderId="24" xfId="0" applyFont="1" applyBorder="1" applyAlignment="1" applyProtection="1">
      <alignment horizontal="left" vertical="top" wrapText="1"/>
      <protection locked="0"/>
    </xf>
    <xf numFmtId="0" fontId="29" fillId="0" borderId="25" xfId="0" applyFont="1" applyBorder="1" applyAlignment="1" applyProtection="1">
      <alignment horizontal="left" vertical="top" wrapText="1"/>
      <protection locked="0"/>
    </xf>
    <xf numFmtId="0" fontId="39" fillId="9" borderId="0" xfId="0" applyFont="1" applyFill="1" applyAlignment="1">
      <alignment horizontal="center"/>
    </xf>
    <xf numFmtId="0" fontId="29" fillId="9" borderId="0" xfId="0" applyFont="1" applyFill="1" applyAlignment="1">
      <alignment vertical="center" wrapText="1"/>
    </xf>
    <xf numFmtId="0" fontId="39" fillId="9" borderId="0" xfId="0" applyFont="1" applyFill="1"/>
    <xf numFmtId="0" fontId="29" fillId="9" borderId="2" xfId="0" applyFont="1" applyFill="1" applyBorder="1" applyAlignment="1">
      <alignment horizontal="left" vertical="center"/>
    </xf>
    <xf numFmtId="0" fontId="29" fillId="9" borderId="5" xfId="0" applyFont="1" applyFill="1" applyBorder="1" applyAlignment="1">
      <alignment horizontal="left" vertical="center"/>
    </xf>
    <xf numFmtId="0" fontId="29" fillId="9" borderId="7" xfId="0" applyFont="1" applyFill="1" applyBorder="1" applyAlignment="1">
      <alignment horizontal="left" vertical="center"/>
    </xf>
    <xf numFmtId="0" fontId="29" fillId="9" borderId="6" xfId="0" applyFont="1" applyFill="1" applyBorder="1" applyAlignment="1">
      <alignment horizontal="left" vertical="center"/>
    </xf>
    <xf numFmtId="0" fontId="29" fillId="9" borderId="8" xfId="0" applyFont="1" applyFill="1" applyBorder="1" applyAlignment="1">
      <alignment horizontal="left" vertical="center"/>
    </xf>
    <xf numFmtId="0" fontId="29" fillId="0" borderId="47" xfId="0" applyFont="1" applyBorder="1" applyAlignment="1">
      <alignment horizontal="left" vertical="center"/>
    </xf>
    <xf numFmtId="0" fontId="29" fillId="0" borderId="46" xfId="0" applyFont="1" applyBorder="1" applyAlignment="1">
      <alignment horizontal="left" vertical="center"/>
    </xf>
    <xf numFmtId="0" fontId="3" fillId="0" borderId="18" xfId="0" applyFont="1" applyBorder="1" applyAlignment="1">
      <alignment horizontal="left" vertical="top" wrapText="1"/>
    </xf>
    <xf numFmtId="0" fontId="3" fillId="0" borderId="19" xfId="0" applyFont="1" applyBorder="1" applyAlignment="1" applyProtection="1">
      <alignment vertical="top" wrapText="1"/>
      <protection locked="0"/>
    </xf>
    <xf numFmtId="0" fontId="3" fillId="0" borderId="20" xfId="0" applyFont="1" applyBorder="1" applyAlignment="1" applyProtection="1">
      <alignment vertical="top" wrapText="1"/>
      <protection locked="0"/>
    </xf>
    <xf numFmtId="0" fontId="35" fillId="12" borderId="9" xfId="0" applyFont="1" applyFill="1" applyBorder="1" applyAlignment="1" applyProtection="1">
      <alignment horizontal="left" vertical="top" wrapText="1"/>
      <protection locked="0"/>
    </xf>
    <xf numFmtId="0" fontId="35" fillId="12" borderId="17" xfId="0" applyFont="1" applyFill="1" applyBorder="1" applyAlignment="1" applyProtection="1">
      <alignment horizontal="left" vertical="top" wrapText="1"/>
      <protection locked="0"/>
    </xf>
    <xf numFmtId="0" fontId="29" fillId="0" borderId="0" xfId="0" applyFont="1" applyAlignment="1">
      <alignment vertical="center" wrapText="1"/>
    </xf>
    <xf numFmtId="0" fontId="29" fillId="9" borderId="0" xfId="0" applyFont="1" applyFill="1" applyAlignment="1">
      <alignment horizontal="center" vertical="top"/>
    </xf>
    <xf numFmtId="0" fontId="29" fillId="9" borderId="0" xfId="0" applyFont="1" applyFill="1" applyAlignment="1">
      <alignment vertical="top"/>
    </xf>
    <xf numFmtId="0" fontId="29" fillId="9" borderId="0" xfId="0" applyFont="1" applyFill="1" applyAlignment="1">
      <alignment vertical="top" wrapText="1"/>
    </xf>
    <xf numFmtId="0" fontId="29" fillId="0" borderId="27" xfId="0" applyFont="1" applyBorder="1" applyAlignment="1">
      <alignment horizontal="left" vertical="top" wrapText="1"/>
    </xf>
    <xf numFmtId="0" fontId="29" fillId="0" borderId="27" xfId="0" applyFont="1" applyBorder="1" applyAlignment="1" applyProtection="1">
      <alignment horizontal="left" vertical="top" wrapText="1"/>
      <protection locked="0"/>
    </xf>
    <xf numFmtId="0" fontId="29" fillId="0" borderId="32" xfId="0" applyFont="1" applyBorder="1" applyAlignment="1">
      <alignment horizontal="center" vertical="top" wrapText="1"/>
    </xf>
    <xf numFmtId="0" fontId="29" fillId="0" borderId="32" xfId="0" applyFont="1" applyBorder="1" applyAlignment="1" applyProtection="1">
      <alignment horizontal="left" vertical="top" wrapText="1"/>
      <protection locked="0"/>
    </xf>
    <xf numFmtId="0" fontId="29" fillId="0" borderId="41" xfId="0" applyFont="1" applyBorder="1" applyAlignment="1" applyProtection="1">
      <alignment horizontal="left" vertical="top" wrapText="1"/>
      <protection locked="0"/>
    </xf>
    <xf numFmtId="0" fontId="29" fillId="0" borderId="27" xfId="0" applyFont="1" applyBorder="1" applyAlignment="1">
      <alignment horizontal="center" vertical="top" wrapText="1"/>
    </xf>
    <xf numFmtId="0" fontId="3" fillId="9" borderId="1" xfId="0" applyFont="1" applyFill="1" applyBorder="1" applyAlignment="1">
      <alignment wrapText="1"/>
    </xf>
    <xf numFmtId="0" fontId="44" fillId="9" borderId="1" xfId="0" applyFont="1" applyFill="1" applyBorder="1" applyAlignment="1">
      <alignment vertical="top" wrapText="1"/>
    </xf>
    <xf numFmtId="0" fontId="44" fillId="9" borderId="1" xfId="0" applyFont="1" applyFill="1" applyBorder="1" applyAlignment="1">
      <alignment horizontal="center" vertical="top" wrapText="1"/>
    </xf>
    <xf numFmtId="0" fontId="3" fillId="9" borderId="1" xfId="0" applyFont="1" applyFill="1" applyBorder="1" applyAlignment="1">
      <alignment vertical="center" wrapText="1"/>
    </xf>
    <xf numFmtId="0" fontId="44" fillId="9" borderId="1" xfId="0" applyFont="1" applyFill="1" applyBorder="1"/>
    <xf numFmtId="0" fontId="29" fillId="0" borderId="45" xfId="0" applyFont="1" applyBorder="1" applyAlignment="1" applyProtection="1">
      <alignment horizontal="left" vertical="top" wrapText="1"/>
      <protection locked="0"/>
    </xf>
    <xf numFmtId="0" fontId="29" fillId="0" borderId="26" xfId="0" applyFont="1" applyBorder="1" applyAlignment="1">
      <alignment horizontal="left" vertical="top" wrapText="1"/>
    </xf>
    <xf numFmtId="0" fontId="29" fillId="0" borderId="0" xfId="0" applyFont="1" applyAlignment="1">
      <alignment horizontal="center"/>
    </xf>
    <xf numFmtId="0" fontId="29" fillId="0" borderId="0" xfId="0" applyFont="1" applyAlignment="1">
      <alignment vertical="top" wrapText="1"/>
    </xf>
    <xf numFmtId="0" fontId="29" fillId="0" borderId="0" xfId="0" applyFont="1" applyAlignment="1">
      <alignment horizontal="center" vertical="top" wrapText="1"/>
    </xf>
    <xf numFmtId="0" fontId="29" fillId="0" borderId="46" xfId="0" quotePrefix="1" applyFont="1" applyBorder="1" applyAlignment="1">
      <alignment horizontal="left" vertical="center" wrapText="1"/>
    </xf>
    <xf numFmtId="0" fontId="3" fillId="0" borderId="27" xfId="0" applyFont="1" applyBorder="1" applyAlignment="1">
      <alignment horizontal="left" vertical="top" wrapText="1"/>
    </xf>
    <xf numFmtId="0" fontId="44" fillId="0" borderId="16" xfId="0" applyFont="1" applyBorder="1" applyAlignment="1">
      <alignment vertical="center"/>
    </xf>
    <xf numFmtId="0" fontId="3" fillId="0" borderId="9" xfId="0" applyFont="1" applyBorder="1" applyAlignment="1">
      <alignment wrapText="1"/>
    </xf>
    <xf numFmtId="0" fontId="31" fillId="0" borderId="9" xfId="0" applyFont="1" applyBorder="1"/>
    <xf numFmtId="0" fontId="31" fillId="0" borderId="9" xfId="0" applyFont="1" applyBorder="1" applyAlignment="1">
      <alignment horizontal="center"/>
    </xf>
    <xf numFmtId="0" fontId="3" fillId="0" borderId="9" xfId="0" applyFont="1" applyBorder="1" applyAlignment="1">
      <alignment horizontal="center" vertical="center" wrapText="1"/>
    </xf>
    <xf numFmtId="0" fontId="44" fillId="0" borderId="17" xfId="0" applyFont="1" applyBorder="1"/>
    <xf numFmtId="0" fontId="29" fillId="0" borderId="31" xfId="0" applyFont="1" applyBorder="1" applyAlignment="1">
      <alignment horizontal="center" vertical="top" wrapText="1"/>
    </xf>
    <xf numFmtId="0" fontId="29" fillId="0" borderId="14" xfId="0" applyFont="1" applyBorder="1" applyAlignment="1">
      <alignment horizontal="left" vertical="top" wrapText="1"/>
    </xf>
    <xf numFmtId="0" fontId="29" fillId="0" borderId="15" xfId="0" applyFont="1" applyBorder="1" applyAlignment="1">
      <alignment horizontal="left" vertical="top" wrapText="1"/>
    </xf>
    <xf numFmtId="0" fontId="29" fillId="0" borderId="21" xfId="0" applyFont="1" applyBorder="1" applyAlignment="1">
      <alignment horizontal="center" vertical="top" wrapText="1"/>
    </xf>
    <xf numFmtId="0" fontId="29" fillId="0" borderId="19" xfId="0" applyFont="1" applyBorder="1" applyAlignment="1">
      <alignment horizontal="left" vertical="top" wrapText="1"/>
    </xf>
    <xf numFmtId="0" fontId="29" fillId="0" borderId="0" xfId="0" applyFont="1" applyAlignment="1" applyProtection="1">
      <alignment horizontal="left" vertical="top" wrapText="1"/>
      <protection hidden="1"/>
    </xf>
    <xf numFmtId="0" fontId="29" fillId="0" borderId="40" xfId="0" applyFont="1" applyBorder="1" applyAlignment="1">
      <alignment horizontal="left" vertical="top" wrapText="1"/>
    </xf>
    <xf numFmtId="0" fontId="29" fillId="0" borderId="32" xfId="0" applyFont="1" applyBorder="1" applyAlignment="1">
      <alignment horizontal="left" vertical="top" wrapText="1"/>
    </xf>
    <xf numFmtId="0" fontId="29" fillId="0" borderId="39" xfId="0" applyFont="1" applyBorder="1" applyAlignment="1">
      <alignment horizontal="left" vertical="top" wrapText="1"/>
    </xf>
    <xf numFmtId="0" fontId="31" fillId="0" borderId="7" xfId="0" applyFont="1" applyBorder="1"/>
    <xf numFmtId="0" fontId="29" fillId="0" borderId="9" xfId="0" applyFont="1" applyBorder="1" applyAlignment="1">
      <alignment horizontal="center" vertical="top" wrapText="1"/>
    </xf>
    <xf numFmtId="0" fontId="29" fillId="0" borderId="9" xfId="0" applyFont="1" applyBorder="1" applyAlignment="1">
      <alignment horizontal="left" vertical="top" wrapText="1"/>
    </xf>
    <xf numFmtId="0" fontId="29" fillId="0" borderId="17" xfId="0" applyFont="1" applyBorder="1" applyAlignment="1">
      <alignment horizontal="left" vertical="top" wrapText="1"/>
    </xf>
    <xf numFmtId="0" fontId="29" fillId="0" borderId="34" xfId="0" applyFont="1" applyBorder="1" applyAlignment="1" applyProtection="1">
      <alignment horizontal="left" vertical="top" wrapText="1"/>
      <protection hidden="1"/>
    </xf>
    <xf numFmtId="0" fontId="29" fillId="0" borderId="4" xfId="0" applyFont="1" applyBorder="1" applyAlignment="1" applyProtection="1">
      <alignment horizontal="left" vertical="top" wrapText="1"/>
      <protection hidden="1"/>
    </xf>
    <xf numFmtId="0" fontId="3" fillId="0" borderId="34" xfId="0" applyFont="1" applyBorder="1" applyAlignment="1">
      <alignment horizontal="center" vertical="top" wrapText="1"/>
    </xf>
    <xf numFmtId="0" fontId="3" fillId="0" borderId="4" xfId="0" applyFont="1" applyBorder="1" applyAlignment="1" applyProtection="1">
      <alignment horizontal="left" vertical="top" wrapText="1"/>
      <protection hidden="1"/>
    </xf>
    <xf numFmtId="0" fontId="3" fillId="0" borderId="4" xfId="0" applyFont="1" applyBorder="1" applyAlignment="1">
      <alignment horizontal="center" vertical="top" wrapText="1"/>
    </xf>
    <xf numFmtId="0" fontId="3" fillId="0" borderId="0" xfId="0" applyFont="1" applyAlignment="1" applyProtection="1">
      <alignment horizontal="left" vertical="top" wrapText="1"/>
      <protection hidden="1"/>
    </xf>
    <xf numFmtId="0" fontId="3" fillId="0" borderId="19" xfId="0" applyFont="1" applyBorder="1" applyAlignment="1">
      <alignment horizontal="left" vertical="top" wrapText="1"/>
    </xf>
    <xf numFmtId="0" fontId="3" fillId="0" borderId="26" xfId="0" applyFont="1" applyBorder="1" applyAlignment="1">
      <alignment horizontal="left" vertical="top" wrapText="1"/>
    </xf>
    <xf numFmtId="0" fontId="3" fillId="0" borderId="27" xfId="0" applyFont="1" applyBorder="1" applyAlignment="1">
      <alignment horizontal="center" vertical="top" wrapText="1"/>
    </xf>
    <xf numFmtId="0" fontId="29" fillId="0" borderId="28" xfId="0" applyFont="1" applyBorder="1" applyAlignment="1">
      <alignment horizontal="left" vertical="top" wrapText="1"/>
    </xf>
    <xf numFmtId="0" fontId="44" fillId="0" borderId="6" xfId="0" applyFont="1" applyBorder="1" applyAlignment="1">
      <alignment vertical="center"/>
    </xf>
    <xf numFmtId="0" fontId="3" fillId="0" borderId="7" xfId="0" applyFont="1" applyBorder="1" applyAlignment="1">
      <alignment wrapText="1"/>
    </xf>
    <xf numFmtId="0" fontId="31" fillId="0" borderId="7" xfId="0" applyFont="1" applyBorder="1" applyAlignment="1">
      <alignment horizontal="center"/>
    </xf>
    <xf numFmtId="0" fontId="3" fillId="0" borderId="7" xfId="0" applyFont="1" applyBorder="1" applyAlignment="1">
      <alignment horizontal="center" vertical="center" wrapText="1"/>
    </xf>
    <xf numFmtId="0" fontId="44" fillId="0" borderId="8" xfId="0" applyFont="1" applyBorder="1"/>
    <xf numFmtId="0" fontId="29" fillId="0" borderId="29" xfId="0" applyFont="1" applyBorder="1" applyAlignment="1">
      <alignment horizontal="center" vertical="top" wrapText="1"/>
    </xf>
    <xf numFmtId="0" fontId="31" fillId="0" borderId="0" xfId="0" applyFont="1"/>
    <xf numFmtId="0" fontId="29" fillId="9" borderId="2" xfId="0" applyFont="1" applyFill="1" applyBorder="1" applyAlignment="1">
      <alignment vertical="top" wrapText="1"/>
    </xf>
    <xf numFmtId="0" fontId="29" fillId="9" borderId="0" xfId="0" applyFont="1" applyFill="1" applyAlignment="1">
      <alignment horizontal="left" vertical="center" wrapText="1"/>
    </xf>
    <xf numFmtId="0" fontId="3" fillId="9" borderId="0" xfId="0" applyFont="1" applyFill="1" applyAlignment="1">
      <alignment horizontal="left"/>
    </xf>
    <xf numFmtId="0" fontId="30" fillId="12" borderId="23" xfId="0" applyFont="1" applyFill="1" applyBorder="1" applyAlignment="1">
      <alignment horizontal="center" vertical="center" wrapText="1"/>
    </xf>
    <xf numFmtId="0" fontId="30" fillId="12" borderId="24" xfId="0" applyFont="1" applyFill="1" applyBorder="1" applyAlignment="1">
      <alignment horizontal="center" vertical="center" wrapText="1"/>
    </xf>
    <xf numFmtId="0" fontId="30" fillId="12" borderId="25" xfId="0" applyFont="1" applyFill="1" applyBorder="1" applyAlignment="1">
      <alignment horizontal="center" vertical="center" wrapText="1"/>
    </xf>
    <xf numFmtId="0" fontId="29" fillId="9" borderId="4" xfId="0" applyFont="1" applyFill="1" applyBorder="1" applyAlignment="1">
      <alignment horizontal="left" vertical="center" wrapText="1"/>
    </xf>
    <xf numFmtId="0" fontId="29" fillId="9" borderId="4" xfId="0" applyFont="1" applyFill="1" applyBorder="1" applyAlignment="1">
      <alignment horizontal="center" vertical="center" wrapText="1"/>
    </xf>
    <xf numFmtId="0" fontId="3" fillId="9" borderId="4" xfId="0" applyFont="1" applyFill="1" applyBorder="1" applyAlignment="1">
      <alignment horizontal="left" vertical="center" wrapText="1"/>
    </xf>
    <xf numFmtId="0" fontId="3" fillId="9" borderId="4" xfId="0" applyFont="1" applyFill="1" applyBorder="1" applyAlignment="1">
      <alignment horizontal="center" vertical="center" wrapText="1"/>
    </xf>
    <xf numFmtId="0" fontId="49" fillId="9" borderId="4" xfId="0" applyFont="1" applyFill="1" applyBorder="1" applyAlignment="1">
      <alignment horizontal="center" vertical="center" wrapText="1"/>
    </xf>
    <xf numFmtId="0" fontId="49" fillId="9" borderId="4" xfId="0" applyFont="1" applyFill="1" applyBorder="1" applyAlignment="1">
      <alignment horizontal="left" vertical="center" wrapText="1"/>
    </xf>
    <xf numFmtId="0" fontId="51" fillId="9" borderId="11" xfId="0" applyFont="1" applyFill="1" applyBorder="1" applyAlignment="1">
      <alignment vertical="center"/>
    </xf>
    <xf numFmtId="0" fontId="51" fillId="9" borderId="12" xfId="0" applyFont="1" applyFill="1" applyBorder="1" applyAlignment="1">
      <alignment vertical="center"/>
    </xf>
    <xf numFmtId="0" fontId="53" fillId="9" borderId="12" xfId="0" applyFont="1" applyFill="1" applyBorder="1" applyAlignment="1">
      <alignment horizontal="left" vertical="center" wrapText="1"/>
    </xf>
    <xf numFmtId="0" fontId="52" fillId="9" borderId="55" xfId="0" applyFont="1" applyFill="1" applyBorder="1" applyAlignment="1">
      <alignment horizontal="left" vertical="center" wrapText="1"/>
    </xf>
    <xf numFmtId="0" fontId="0" fillId="0" borderId="0" xfId="0" applyAlignment="1">
      <alignment horizontal="center" vertical="top"/>
    </xf>
    <xf numFmtId="0" fontId="36" fillId="12" borderId="0" xfId="0" applyFont="1" applyFill="1" applyAlignment="1">
      <alignment vertical="center"/>
    </xf>
    <xf numFmtId="0" fontId="51" fillId="12" borderId="0" xfId="0" applyFont="1" applyFill="1" applyAlignment="1">
      <alignment horizontal="left" vertical="center" wrapText="1"/>
    </xf>
    <xf numFmtId="0" fontId="51" fillId="12" borderId="0" xfId="0" applyFont="1" applyFill="1" applyAlignment="1">
      <alignment vertical="center" wrapText="1"/>
    </xf>
    <xf numFmtId="0" fontId="51" fillId="12" borderId="0" xfId="0" applyFont="1" applyFill="1" applyAlignment="1">
      <alignment vertical="center"/>
    </xf>
    <xf numFmtId="0" fontId="51" fillId="12" borderId="0" xfId="0" applyFont="1" applyFill="1" applyAlignment="1">
      <alignment horizontal="left" vertical="center"/>
    </xf>
    <xf numFmtId="0" fontId="51" fillId="12" borderId="0" xfId="0" applyFont="1" applyFill="1" applyAlignment="1">
      <alignment horizontal="center" vertical="center"/>
    </xf>
    <xf numFmtId="0" fontId="3" fillId="0" borderId="52" xfId="6" applyFont="1" applyFill="1" applyBorder="1" applyAlignment="1" applyProtection="1">
      <alignment horizontal="left" vertical="top" wrapText="1"/>
    </xf>
    <xf numFmtId="0" fontId="28" fillId="9" borderId="0" xfId="2" applyFont="1" applyFill="1" applyAlignment="1">
      <alignment horizontal="center" vertical="top"/>
    </xf>
    <xf numFmtId="0" fontId="28" fillId="9" borderId="0" xfId="2" applyNumberFormat="1" applyFont="1" applyFill="1" applyAlignment="1">
      <alignment horizontal="center" vertical="top" wrapText="1"/>
    </xf>
    <xf numFmtId="0" fontId="28" fillId="9" borderId="0" xfId="2" applyNumberFormat="1" applyFont="1" applyFill="1" applyAlignment="1">
      <alignment horizontal="center" vertical="top"/>
    </xf>
    <xf numFmtId="0" fontId="28" fillId="9" borderId="0" xfId="2" applyFont="1" applyFill="1" applyAlignment="1">
      <alignment horizontal="center" vertical="top" wrapText="1"/>
    </xf>
    <xf numFmtId="0" fontId="10" fillId="16" borderId="4" xfId="0" applyFont="1" applyFill="1" applyBorder="1" applyAlignment="1">
      <alignment horizontal="center" vertical="center" wrapText="1"/>
    </xf>
    <xf numFmtId="0" fontId="65" fillId="0" borderId="0" xfId="0" applyFont="1"/>
    <xf numFmtId="0" fontId="66" fillId="0" borderId="0" xfId="0" applyFont="1"/>
    <xf numFmtId="0" fontId="4" fillId="0" borderId="0" xfId="0" applyFont="1"/>
    <xf numFmtId="164" fontId="29" fillId="0" borderId="0" xfId="0" applyNumberFormat="1" applyFont="1" applyAlignment="1" applyProtection="1">
      <alignment horizontal="left" indent="1"/>
      <protection locked="0"/>
    </xf>
    <xf numFmtId="0" fontId="39" fillId="0" borderId="0" xfId="0" applyFont="1" applyAlignment="1">
      <alignment horizontal="center" wrapText="1"/>
    </xf>
    <xf numFmtId="0" fontId="29" fillId="0" borderId="0" xfId="0" applyFont="1" applyAlignment="1" applyProtection="1">
      <alignment horizontal="left" wrapText="1" indent="1"/>
      <protection locked="0"/>
    </xf>
    <xf numFmtId="0" fontId="29" fillId="0" borderId="0" xfId="0" applyFont="1" applyAlignment="1" applyProtection="1">
      <alignment horizontal="left" indent="1"/>
      <protection locked="0"/>
    </xf>
    <xf numFmtId="14" fontId="29" fillId="0" borderId="0" xfId="0" applyNumberFormat="1" applyFont="1" applyAlignment="1" applyProtection="1">
      <alignment horizontal="left" indent="1"/>
      <protection locked="0"/>
    </xf>
    <xf numFmtId="14" fontId="3" fillId="0" borderId="0" xfId="0" applyNumberFormat="1" applyFont="1" applyAlignment="1" applyProtection="1">
      <alignment horizontal="left" indent="1"/>
      <protection locked="0"/>
    </xf>
    <xf numFmtId="0" fontId="31" fillId="0" borderId="0" xfId="0" applyFont="1" applyAlignment="1" applyProtection="1">
      <alignment horizontal="left" vertical="top" wrapText="1"/>
      <protection locked="0"/>
    </xf>
    <xf numFmtId="0" fontId="36" fillId="13" borderId="2" xfId="0" applyFont="1" applyFill="1" applyBorder="1" applyAlignment="1">
      <alignment horizontal="center"/>
    </xf>
    <xf numFmtId="0" fontId="37" fillId="0" borderId="3" xfId="0" applyFont="1" applyBorder="1"/>
    <xf numFmtId="0" fontId="29" fillId="0" borderId="5" xfId="0" applyFont="1" applyBorder="1"/>
    <xf numFmtId="0" fontId="38" fillId="0" borderId="3" xfId="0" applyFont="1" applyBorder="1" applyAlignment="1">
      <alignment horizontal="center"/>
    </xf>
    <xf numFmtId="0" fontId="39" fillId="0" borderId="5" xfId="0" applyFont="1" applyBorder="1" applyAlignment="1">
      <alignment horizontal="center"/>
    </xf>
    <xf numFmtId="164" fontId="29" fillId="0" borderId="7" xfId="0" applyNumberFormat="1" applyFont="1" applyBorder="1" applyAlignment="1" applyProtection="1">
      <alignment horizontal="left" indent="1"/>
      <protection locked="0"/>
    </xf>
    <xf numFmtId="0" fontId="3" fillId="0" borderId="7" xfId="0" applyFont="1" applyBorder="1" applyAlignment="1" applyProtection="1">
      <alignment horizontal="left" vertical="top" wrapText="1"/>
      <protection locked="0"/>
    </xf>
    <xf numFmtId="0" fontId="32" fillId="0" borderId="51" xfId="0" applyFont="1" applyBorder="1" applyAlignment="1">
      <alignment vertical="top" wrapText="1"/>
    </xf>
    <xf numFmtId="0" fontId="41" fillId="9" borderId="24" xfId="0" applyFont="1" applyFill="1" applyBorder="1" applyAlignment="1" applyProtection="1">
      <alignment horizontal="center" vertical="center" wrapText="1"/>
      <protection locked="0"/>
    </xf>
    <xf numFmtId="0" fontId="41" fillId="9" borderId="25" xfId="0" applyFont="1" applyFill="1" applyBorder="1" applyAlignment="1" applyProtection="1">
      <alignment horizontal="center" vertical="center" wrapText="1"/>
      <protection locked="0"/>
    </xf>
    <xf numFmtId="0" fontId="30" fillId="12" borderId="9" xfId="0" applyFont="1" applyFill="1" applyBorder="1" applyAlignment="1" applyProtection="1">
      <alignment horizontal="center"/>
      <protection locked="0"/>
    </xf>
    <xf numFmtId="0" fontId="3" fillId="6" borderId="9" xfId="0" applyFont="1" applyFill="1" applyBorder="1" applyAlignment="1" applyProtection="1">
      <alignment horizontal="center" vertical="center" wrapText="1"/>
      <protection locked="0"/>
    </xf>
    <xf numFmtId="0" fontId="35" fillId="12" borderId="9" xfId="0" applyFont="1" applyFill="1" applyBorder="1" applyAlignment="1" applyProtection="1">
      <alignment horizontal="center" vertical="center" wrapText="1"/>
      <protection locked="0"/>
    </xf>
    <xf numFmtId="0" fontId="50" fillId="12" borderId="17" xfId="0" applyFont="1" applyFill="1" applyBorder="1" applyProtection="1">
      <protection locked="0"/>
    </xf>
    <xf numFmtId="0" fontId="29" fillId="0" borderId="4" xfId="0" applyFont="1" applyBorder="1" applyAlignment="1" applyProtection="1">
      <alignment horizontal="center" vertical="top" wrapText="1"/>
      <protection locked="0"/>
    </xf>
    <xf numFmtId="0" fontId="28" fillId="0" borderId="4" xfId="2" applyFont="1" applyBorder="1" applyAlignment="1" applyProtection="1">
      <alignment horizontal="center" vertical="top" wrapText="1"/>
      <protection locked="0"/>
    </xf>
    <xf numFmtId="0" fontId="28" fillId="0" borderId="31" xfId="2" applyFont="1" applyBorder="1" applyAlignment="1" applyProtection="1">
      <alignment horizontal="center" vertical="top" wrapText="1"/>
      <protection locked="0"/>
    </xf>
    <xf numFmtId="0" fontId="29" fillId="0" borderId="27" xfId="0" applyFont="1" applyBorder="1" applyAlignment="1" applyProtection="1">
      <alignment horizontal="center" vertical="top" wrapText="1"/>
      <protection locked="0"/>
    </xf>
    <xf numFmtId="0" fontId="50" fillId="12" borderId="16" xfId="0" applyFont="1" applyFill="1" applyBorder="1" applyAlignment="1">
      <alignment vertical="center"/>
    </xf>
    <xf numFmtId="0" fontId="35" fillId="12" borderId="9" xfId="0" applyFont="1" applyFill="1" applyBorder="1" applyAlignment="1">
      <alignment wrapText="1"/>
    </xf>
    <xf numFmtId="0" fontId="30" fillId="12" borderId="9" xfId="0" applyFont="1" applyFill="1" applyBorder="1"/>
    <xf numFmtId="0" fontId="29" fillId="0" borderId="0" xfId="0" applyFont="1" applyAlignment="1">
      <alignment horizontal="left" vertical="top"/>
    </xf>
    <xf numFmtId="0" fontId="50" fillId="12" borderId="23" xfId="0" applyFont="1" applyFill="1" applyBorder="1" applyAlignment="1">
      <alignment vertical="center"/>
    </xf>
    <xf numFmtId="0" fontId="35" fillId="12" borderId="24" xfId="0" applyFont="1" applyFill="1" applyBorder="1" applyAlignment="1">
      <alignment wrapText="1"/>
    </xf>
    <xf numFmtId="0" fontId="30" fillId="12" borderId="24" xfId="0" applyFont="1" applyFill="1" applyBorder="1"/>
    <xf numFmtId="0" fontId="50" fillId="12" borderId="43" xfId="0" applyFont="1" applyFill="1" applyBorder="1" applyAlignment="1">
      <alignment vertical="center"/>
    </xf>
    <xf numFmtId="0" fontId="35" fillId="12" borderId="1" xfId="0" applyFont="1" applyFill="1" applyBorder="1" applyAlignment="1">
      <alignment wrapText="1"/>
    </xf>
    <xf numFmtId="0" fontId="30" fillId="12" borderId="1" xfId="0" applyFont="1" applyFill="1" applyBorder="1"/>
    <xf numFmtId="0" fontId="29" fillId="0" borderId="23" xfId="0" applyFont="1" applyBorder="1" applyAlignment="1">
      <alignment horizontal="left" vertical="top" wrapText="1"/>
    </xf>
    <xf numFmtId="0" fontId="29" fillId="0" borderId="24" xfId="0" applyFont="1" applyBorder="1" applyAlignment="1">
      <alignment horizontal="left" vertical="top" wrapText="1"/>
    </xf>
    <xf numFmtId="0" fontId="29" fillId="0" borderId="25" xfId="0" applyFont="1" applyBorder="1" applyAlignment="1">
      <alignment horizontal="left" vertical="top" wrapText="1"/>
    </xf>
    <xf numFmtId="0" fontId="44" fillId="12" borderId="16" xfId="0" applyFont="1" applyFill="1" applyBorder="1" applyAlignment="1">
      <alignment vertical="center"/>
    </xf>
    <xf numFmtId="0" fontId="40" fillId="12" borderId="16" xfId="0" applyFont="1" applyFill="1" applyBorder="1" applyAlignment="1">
      <alignment vertical="center"/>
    </xf>
    <xf numFmtId="0" fontId="30" fillId="12" borderId="9" xfId="0" applyFont="1" applyFill="1" applyBorder="1" applyAlignment="1">
      <alignment wrapText="1"/>
    </xf>
    <xf numFmtId="0" fontId="3" fillId="0" borderId="33" xfId="0" applyFont="1" applyBorder="1" applyAlignment="1">
      <alignment horizontal="left" vertical="top" wrapText="1"/>
    </xf>
    <xf numFmtId="0" fontId="3" fillId="0" borderId="20" xfId="0" applyFont="1" applyBorder="1" applyAlignment="1">
      <alignment horizontal="left" vertical="top" wrapText="1"/>
    </xf>
    <xf numFmtId="0" fontId="35" fillId="12" borderId="16" xfId="0" applyFont="1" applyFill="1" applyBorder="1" applyAlignment="1">
      <alignment horizontal="left" vertical="top" wrapText="1"/>
    </xf>
    <xf numFmtId="0" fontId="35" fillId="12" borderId="9" xfId="0" applyFont="1" applyFill="1" applyBorder="1" applyAlignment="1">
      <alignment horizontal="left" vertical="top" wrapText="1"/>
    </xf>
    <xf numFmtId="0" fontId="28" fillId="0" borderId="4" xfId="2" applyFont="1" applyFill="1" applyBorder="1" applyAlignment="1" applyProtection="1">
      <alignment horizontal="center" vertical="top" wrapText="1"/>
      <protection locked="0"/>
    </xf>
    <xf numFmtId="0" fontId="29" fillId="0" borderId="20" xfId="0" applyFont="1" applyBorder="1" applyAlignment="1" applyProtection="1">
      <alignment horizontal="center" vertical="top" wrapText="1"/>
      <protection locked="0"/>
    </xf>
    <xf numFmtId="0" fontId="35" fillId="12" borderId="24" xfId="0" applyFont="1" applyFill="1" applyBorder="1" applyAlignment="1" applyProtection="1">
      <alignment horizontal="left" vertical="top" wrapText="1"/>
      <protection locked="0"/>
    </xf>
    <xf numFmtId="0" fontId="29" fillId="0" borderId="34" xfId="0" applyFont="1" applyBorder="1" applyAlignment="1" applyProtection="1">
      <alignment horizontal="center" vertical="top" wrapText="1"/>
      <protection locked="0"/>
    </xf>
    <xf numFmtId="0" fontId="30" fillId="12" borderId="24" xfId="0" applyFont="1" applyFill="1" applyBorder="1" applyAlignment="1" applyProtection="1">
      <alignment horizontal="center"/>
      <protection locked="0"/>
    </xf>
    <xf numFmtId="0" fontId="35" fillId="12" borderId="24" xfId="0" applyFont="1" applyFill="1" applyBorder="1" applyAlignment="1" applyProtection="1">
      <alignment horizontal="center" vertical="center" wrapText="1"/>
      <protection locked="0"/>
    </xf>
    <xf numFmtId="0" fontId="50" fillId="12" borderId="25" xfId="0" applyFont="1" applyFill="1" applyBorder="1" applyProtection="1">
      <protection locked="0"/>
    </xf>
    <xf numFmtId="0" fontId="28" fillId="0" borderId="34" xfId="2" applyFont="1" applyBorder="1" applyAlignment="1" applyProtection="1">
      <alignment horizontal="center" vertical="top" wrapText="1"/>
      <protection locked="0"/>
    </xf>
    <xf numFmtId="0" fontId="30" fillId="12" borderId="1" xfId="0" applyFont="1" applyFill="1" applyBorder="1" applyAlignment="1" applyProtection="1">
      <alignment horizontal="center"/>
      <protection locked="0"/>
    </xf>
    <xf numFmtId="0" fontId="35" fillId="12" borderId="1" xfId="0" applyFont="1" applyFill="1" applyBorder="1" applyAlignment="1" applyProtection="1">
      <alignment horizontal="center" vertical="center" wrapText="1"/>
      <protection locked="0"/>
    </xf>
    <xf numFmtId="0" fontId="50" fillId="12" borderId="2" xfId="0" applyFont="1" applyFill="1" applyBorder="1" applyProtection="1">
      <protection locked="0"/>
    </xf>
    <xf numFmtId="0" fontId="29" fillId="0" borderId="48" xfId="0" applyFont="1" applyBorder="1" applyAlignment="1" applyProtection="1">
      <alignment horizontal="center" vertical="top" wrapText="1"/>
      <protection locked="0"/>
    </xf>
    <xf numFmtId="0" fontId="30" fillId="12" borderId="9" xfId="0" applyFont="1" applyFill="1" applyBorder="1" applyAlignment="1" applyProtection="1">
      <alignment horizontal="center" vertical="center" wrapText="1"/>
      <protection locked="0"/>
    </xf>
    <xf numFmtId="0" fontId="40" fillId="12" borderId="17" xfId="0" applyFont="1" applyFill="1" applyBorder="1" applyProtection="1">
      <protection locked="0"/>
    </xf>
    <xf numFmtId="0" fontId="35" fillId="12" borderId="9" xfId="0" applyFont="1" applyFill="1" applyBorder="1" applyAlignment="1" applyProtection="1">
      <alignment horizontal="center" vertical="top" wrapText="1"/>
      <protection locked="0"/>
    </xf>
    <xf numFmtId="0" fontId="39" fillId="12" borderId="0" xfId="0" applyFont="1" applyFill="1" applyAlignment="1" applyProtection="1">
      <alignment horizontal="center" vertical="top" wrapText="1"/>
      <protection locked="0"/>
    </xf>
    <xf numFmtId="0" fontId="29" fillId="12" borderId="0" xfId="0" applyFont="1" applyFill="1" applyAlignment="1" applyProtection="1">
      <alignment horizontal="center" vertical="top" wrapText="1"/>
      <protection locked="0"/>
    </xf>
    <xf numFmtId="0" fontId="28" fillId="0" borderId="24" xfId="2" applyFont="1" applyFill="1" applyBorder="1" applyAlignment="1" applyProtection="1">
      <alignment horizontal="center" vertical="top" wrapText="1"/>
      <protection locked="0"/>
    </xf>
    <xf numFmtId="0" fontId="50" fillId="12" borderId="6" xfId="0" applyFont="1" applyFill="1" applyBorder="1" applyAlignment="1">
      <alignment vertical="center"/>
    </xf>
    <xf numFmtId="0" fontId="35" fillId="12" borderId="7" xfId="0" applyFont="1" applyFill="1" applyBorder="1" applyAlignment="1">
      <alignment wrapText="1"/>
    </xf>
    <xf numFmtId="0" fontId="30" fillId="12" borderId="7" xfId="0" applyFont="1" applyFill="1" applyBorder="1"/>
    <xf numFmtId="0" fontId="30" fillId="12" borderId="7" xfId="0" applyFont="1" applyFill="1" applyBorder="1" applyAlignment="1" applyProtection="1">
      <alignment horizontal="center"/>
      <protection locked="0"/>
    </xf>
    <xf numFmtId="0" fontId="35" fillId="12" borderId="7" xfId="0" applyFont="1" applyFill="1" applyBorder="1" applyAlignment="1" applyProtection="1">
      <alignment horizontal="center" vertical="center" wrapText="1"/>
      <protection locked="0"/>
    </xf>
    <xf numFmtId="0" fontId="50" fillId="12" borderId="8" xfId="0" applyFont="1" applyFill="1" applyBorder="1" applyProtection="1">
      <protection locked="0"/>
    </xf>
    <xf numFmtId="0" fontId="28" fillId="0" borderId="27" xfId="2" applyFont="1" applyFill="1" applyBorder="1" applyAlignment="1" applyProtection="1">
      <alignment horizontal="center" vertical="top" wrapText="1"/>
      <protection locked="0"/>
    </xf>
    <xf numFmtId="0" fontId="29" fillId="0" borderId="32" xfId="0" applyFont="1" applyBorder="1" applyAlignment="1" applyProtection="1">
      <alignment horizontal="center" vertical="top" wrapText="1"/>
      <protection locked="0"/>
    </xf>
    <xf numFmtId="0" fontId="28" fillId="0" borderId="27" xfId="2" applyFont="1" applyBorder="1" applyAlignment="1" applyProtection="1">
      <alignment horizontal="center" vertical="top" wrapText="1"/>
      <protection locked="0"/>
    </xf>
    <xf numFmtId="0" fontId="39" fillId="0" borderId="0" xfId="0" applyFont="1" applyProtection="1">
      <protection locked="0"/>
    </xf>
    <xf numFmtId="0" fontId="49" fillId="0" borderId="4" xfId="0" applyFont="1" applyBorder="1" applyAlignment="1" applyProtection="1">
      <alignment horizontal="center" vertical="top" wrapText="1"/>
      <protection locked="0"/>
    </xf>
    <xf numFmtId="0" fontId="29" fillId="0" borderId="44" xfId="0" applyFont="1" applyBorder="1" applyAlignment="1" applyProtection="1">
      <alignment horizontal="center" vertical="top" wrapText="1"/>
      <protection locked="0"/>
    </xf>
    <xf numFmtId="0" fontId="28" fillId="0" borderId="20" xfId="2" applyFont="1" applyBorder="1" applyAlignment="1" applyProtection="1">
      <alignment horizontal="center" vertical="top" wrapText="1"/>
      <protection locked="0"/>
    </xf>
    <xf numFmtId="0" fontId="45" fillId="0" borderId="4" xfId="2" applyFont="1" applyBorder="1" applyAlignment="1" applyProtection="1">
      <alignment horizontal="center" vertical="top" wrapText="1"/>
      <protection locked="0"/>
    </xf>
    <xf numFmtId="0" fontId="45" fillId="0" borderId="4" xfId="2" applyFont="1" applyFill="1" applyBorder="1" applyAlignment="1" applyProtection="1">
      <alignment horizontal="center" vertical="top" wrapText="1"/>
      <protection locked="0"/>
    </xf>
    <xf numFmtId="0" fontId="29" fillId="0" borderId="24" xfId="0" applyFont="1" applyBorder="1" applyAlignment="1">
      <alignment vertical="top" wrapText="1"/>
    </xf>
    <xf numFmtId="49" fontId="28" fillId="0" borderId="4" xfId="2" applyNumberFormat="1" applyFont="1" applyFill="1" applyBorder="1" applyAlignment="1" applyProtection="1">
      <alignment horizontal="center" vertical="top" wrapText="1"/>
      <protection locked="0"/>
    </xf>
    <xf numFmtId="0" fontId="28" fillId="0" borderId="34" xfId="2" applyFont="1" applyFill="1" applyBorder="1" applyAlignment="1" applyProtection="1">
      <alignment horizontal="center" vertical="top" wrapText="1"/>
      <protection locked="0"/>
    </xf>
    <xf numFmtId="0" fontId="30" fillId="12" borderId="9" xfId="0" applyFont="1" applyFill="1" applyBorder="1" applyAlignment="1">
      <alignment horizontal="left"/>
    </xf>
    <xf numFmtId="0" fontId="39" fillId="12" borderId="6" xfId="0" applyFont="1" applyFill="1" applyBorder="1" applyAlignment="1">
      <alignment vertical="center"/>
    </xf>
    <xf numFmtId="0" fontId="29" fillId="12" borderId="7" xfId="0" applyFont="1" applyFill="1" applyBorder="1" applyAlignment="1">
      <alignment wrapText="1"/>
    </xf>
    <xf numFmtId="0" fontId="3" fillId="0" borderId="44" xfId="0" applyFont="1" applyBorder="1" applyAlignment="1">
      <alignment horizontal="left" vertical="top" wrapText="1"/>
    </xf>
    <xf numFmtId="0" fontId="29" fillId="0" borderId="50" xfId="0" applyFont="1" applyBorder="1" applyAlignment="1">
      <alignment horizontal="left" vertical="top" wrapText="1"/>
    </xf>
    <xf numFmtId="0" fontId="3" fillId="0" borderId="56" xfId="0" applyFont="1" applyBorder="1" applyAlignment="1">
      <alignment horizontal="left" vertical="top" wrapText="1"/>
    </xf>
    <xf numFmtId="0" fontId="29" fillId="0" borderId="4" xfId="0" applyFont="1" applyBorder="1" applyAlignment="1">
      <alignment vertical="top"/>
    </xf>
    <xf numFmtId="0" fontId="29" fillId="0" borderId="52" xfId="0" applyFont="1" applyBorder="1" applyAlignment="1">
      <alignment horizontal="left" vertical="top" wrapText="1"/>
    </xf>
    <xf numFmtId="0" fontId="3" fillId="0" borderId="0" xfId="0" applyFont="1" applyAlignment="1">
      <alignment horizontal="left" vertical="top" wrapText="1"/>
    </xf>
    <xf numFmtId="0" fontId="3" fillId="0" borderId="35" xfId="0" applyFont="1" applyBorder="1" applyAlignment="1">
      <alignment horizontal="left" vertical="top" wrapText="1"/>
    </xf>
    <xf numFmtId="0" fontId="41" fillId="12" borderId="7" xfId="0" applyFont="1" applyFill="1" applyBorder="1" applyAlignment="1" applyProtection="1">
      <alignment horizontal="center"/>
      <protection locked="0"/>
    </xf>
    <xf numFmtId="0" fontId="3" fillId="12" borderId="7" xfId="0" applyFont="1" applyFill="1" applyBorder="1" applyAlignment="1" applyProtection="1">
      <alignment horizontal="center" vertical="center" wrapText="1"/>
      <protection locked="0"/>
    </xf>
    <xf numFmtId="0" fontId="44" fillId="12" borderId="8" xfId="0" applyFont="1" applyFill="1" applyBorder="1" applyProtection="1">
      <protection locked="0"/>
    </xf>
    <xf numFmtId="0" fontId="47" fillId="0" borderId="35" xfId="0" applyFont="1" applyBorder="1" applyAlignment="1" applyProtection="1">
      <alignment horizontal="center" vertical="top" wrapText="1"/>
      <protection locked="0"/>
    </xf>
    <xf numFmtId="0" fontId="44" fillId="0" borderId="44" xfId="6" applyFont="1" applyFill="1" applyBorder="1" applyAlignment="1" applyProtection="1">
      <alignment horizontal="left" vertical="top" wrapText="1"/>
      <protection locked="0"/>
    </xf>
    <xf numFmtId="0" fontId="44" fillId="0" borderId="45" xfId="6" applyFont="1" applyFill="1" applyBorder="1" applyAlignment="1" applyProtection="1">
      <alignment horizontal="left" vertical="top" wrapText="1"/>
      <protection locked="0"/>
    </xf>
    <xf numFmtId="0" fontId="44" fillId="0" borderId="4" xfId="6" applyFont="1" applyFill="1" applyBorder="1" applyAlignment="1" applyProtection="1">
      <alignment horizontal="left" vertical="top" wrapText="1"/>
      <protection locked="0"/>
    </xf>
    <xf numFmtId="0" fontId="1" fillId="0" borderId="0" xfId="0" applyFont="1" applyAlignment="1" applyProtection="1">
      <alignment horizontal="left" vertical="top" wrapText="1"/>
      <protection locked="0"/>
    </xf>
    <xf numFmtId="0" fontId="29" fillId="0" borderId="4" xfId="0" applyFont="1" applyBorder="1" applyAlignment="1">
      <alignment horizontal="left" vertical="center" indent="1"/>
    </xf>
    <xf numFmtId="0" fontId="29" fillId="0" borderId="27" xfId="0" applyFont="1" applyBorder="1" applyAlignment="1">
      <alignment horizontal="left" vertical="center" indent="1"/>
    </xf>
    <xf numFmtId="0" fontId="29" fillId="0" borderId="5" xfId="0" applyFont="1" applyBorder="1" applyAlignment="1">
      <alignment horizontal="left" vertical="top" wrapText="1"/>
    </xf>
    <xf numFmtId="0" fontId="3" fillId="0" borderId="5" xfId="0" applyFont="1" applyBorder="1" applyAlignment="1">
      <alignment horizontal="left" vertical="top" wrapText="1"/>
    </xf>
    <xf numFmtId="0" fontId="3" fillId="9" borderId="5" xfId="0" applyFont="1" applyFill="1" applyBorder="1" applyAlignment="1">
      <alignment horizontal="left" vertical="top" wrapText="1"/>
    </xf>
    <xf numFmtId="0" fontId="3" fillId="8" borderId="5" xfId="0" applyFont="1" applyFill="1" applyBorder="1" applyAlignment="1">
      <alignment horizontal="left" vertical="top" wrapText="1"/>
    </xf>
    <xf numFmtId="0" fontId="3" fillId="4" borderId="5" xfId="0" applyFont="1" applyFill="1" applyBorder="1" applyAlignment="1">
      <alignment horizontal="left" vertical="top" wrapText="1"/>
    </xf>
    <xf numFmtId="0" fontId="3" fillId="0" borderId="3" xfId="0" applyFont="1" applyBorder="1"/>
    <xf numFmtId="0" fontId="3" fillId="0" borderId="3" xfId="0" applyFont="1" applyBorder="1" applyAlignment="1">
      <alignment horizontal="left" wrapText="1"/>
    </xf>
    <xf numFmtId="0" fontId="29" fillId="0" borderId="3" xfId="0" applyFont="1" applyBorder="1"/>
    <xf numFmtId="0" fontId="29" fillId="0" borderId="6" xfId="0" applyFont="1" applyBorder="1"/>
    <xf numFmtId="0" fontId="41" fillId="0" borderId="6" xfId="0" applyFont="1" applyBorder="1" applyAlignment="1">
      <alignment horizontal="center"/>
    </xf>
    <xf numFmtId="0" fontId="41" fillId="0" borderId="7" xfId="0" applyFont="1" applyBorder="1" applyAlignment="1">
      <alignment horizontal="center" wrapText="1"/>
    </xf>
    <xf numFmtId="0" fontId="41" fillId="0" borderId="43" xfId="0" applyFont="1" applyBorder="1"/>
    <xf numFmtId="0" fontId="42" fillId="0" borderId="1" xfId="0" applyFont="1" applyBorder="1" applyAlignment="1">
      <alignment horizontal="center" wrapText="1"/>
    </xf>
    <xf numFmtId="0" fontId="29" fillId="0" borderId="3" xfId="0" applyFont="1" applyBorder="1" applyAlignment="1">
      <alignment vertical="center"/>
    </xf>
    <xf numFmtId="0" fontId="3" fillId="0" borderId="3" xfId="0" applyFont="1" applyBorder="1" applyAlignment="1">
      <alignment vertical="center"/>
    </xf>
    <xf numFmtId="0" fontId="3" fillId="0" borderId="6" xfId="0" applyFont="1" applyBorder="1"/>
    <xf numFmtId="0" fontId="29" fillId="9" borderId="43" xfId="0" applyFont="1" applyFill="1" applyBorder="1" applyAlignment="1">
      <alignment horizontal="left" vertical="center"/>
    </xf>
    <xf numFmtId="0" fontId="29" fillId="9" borderId="1" xfId="0" applyFont="1" applyFill="1" applyBorder="1" applyAlignment="1">
      <alignment horizontal="left" vertical="center"/>
    </xf>
    <xf numFmtId="0" fontId="29" fillId="9" borderId="0" xfId="0" applyFont="1" applyFill="1" applyAlignment="1">
      <alignment horizontal="left" vertical="top" wrapText="1"/>
    </xf>
    <xf numFmtId="0" fontId="10" fillId="2" borderId="53" xfId="0" applyFont="1" applyFill="1" applyBorder="1" applyAlignment="1" applyProtection="1">
      <alignment horizontal="center" vertical="center" wrapText="1"/>
      <protection hidden="1"/>
    </xf>
    <xf numFmtId="0" fontId="10" fillId="2" borderId="0" xfId="0" applyFont="1" applyFill="1" applyAlignment="1" applyProtection="1">
      <alignment horizontal="center" vertical="center" wrapText="1"/>
      <protection hidden="1"/>
    </xf>
    <xf numFmtId="0" fontId="44" fillId="9" borderId="0" xfId="0" applyFont="1" applyFill="1" applyAlignment="1">
      <alignment vertical="top" wrapText="1"/>
    </xf>
    <xf numFmtId="0" fontId="29" fillId="9" borderId="43" xfId="0" applyFont="1" applyFill="1" applyBorder="1" applyAlignment="1">
      <alignment horizontal="left" vertical="center" wrapText="1"/>
    </xf>
    <xf numFmtId="0" fontId="29" fillId="9" borderId="1" xfId="0" applyFont="1" applyFill="1" applyBorder="1" applyAlignment="1">
      <alignment horizontal="left" vertical="center" wrapText="1"/>
    </xf>
    <xf numFmtId="0" fontId="45" fillId="9" borderId="0" xfId="2" applyFont="1" applyFill="1" applyAlignment="1">
      <alignment horizontal="center" vertical="top"/>
    </xf>
    <xf numFmtId="0" fontId="29" fillId="9" borderId="1" xfId="0" applyFont="1" applyFill="1" applyBorder="1" applyAlignment="1">
      <alignment horizontal="left" vertical="top" wrapText="1"/>
    </xf>
    <xf numFmtId="0" fontId="29" fillId="9" borderId="1" xfId="0" applyFont="1" applyFill="1" applyBorder="1" applyAlignment="1">
      <alignment horizontal="left" vertical="top"/>
    </xf>
    <xf numFmtId="0" fontId="4" fillId="0" borderId="0" xfId="0" applyFont="1" applyAlignment="1">
      <alignment horizontal="left" vertical="top" wrapText="1"/>
    </xf>
    <xf numFmtId="0" fontId="29" fillId="9" borderId="34" xfId="0" applyFont="1" applyFill="1" applyBorder="1" applyAlignment="1">
      <alignment horizontal="left" vertical="center" wrapText="1"/>
    </xf>
    <xf numFmtId="0" fontId="29" fillId="9" borderId="34" xfId="0" applyFont="1" applyFill="1" applyBorder="1" applyAlignment="1">
      <alignment horizontal="center" vertical="center" wrapText="1"/>
    </xf>
    <xf numFmtId="0" fontId="27" fillId="13" borderId="43" xfId="0" applyFont="1" applyFill="1" applyBorder="1" applyAlignment="1">
      <alignment horizontal="center"/>
    </xf>
    <xf numFmtId="0" fontId="27" fillId="13" borderId="1" xfId="0" applyFont="1" applyFill="1" applyBorder="1" applyAlignment="1">
      <alignment horizontal="center"/>
    </xf>
    <xf numFmtId="0" fontId="31" fillId="14" borderId="16" xfId="0" applyFont="1" applyFill="1" applyBorder="1" applyAlignment="1">
      <alignment horizontal="left" vertical="top" wrapText="1"/>
    </xf>
    <xf numFmtId="0" fontId="31" fillId="14" borderId="17" xfId="0" applyFont="1" applyFill="1" applyBorder="1" applyAlignment="1">
      <alignment horizontal="left" vertical="top" wrapText="1"/>
    </xf>
    <xf numFmtId="0" fontId="31" fillId="14" borderId="16" xfId="0" applyFont="1" applyFill="1" applyBorder="1" applyAlignment="1">
      <alignment horizontal="left" vertical="top"/>
    </xf>
    <xf numFmtId="0" fontId="31" fillId="14" borderId="17" xfId="0" applyFont="1" applyFill="1" applyBorder="1" applyAlignment="1">
      <alignment horizontal="left" vertical="top"/>
    </xf>
    <xf numFmtId="0" fontId="29" fillId="4" borderId="43" xfId="0" applyFont="1" applyFill="1" applyBorder="1" applyAlignment="1">
      <alignment horizontal="left" vertical="top" wrapText="1"/>
    </xf>
    <xf numFmtId="0" fontId="31" fillId="4" borderId="3" xfId="0" applyFont="1" applyFill="1" applyBorder="1" applyAlignment="1">
      <alignment horizontal="left" vertical="top" wrapText="1"/>
    </xf>
    <xf numFmtId="0" fontId="31" fillId="4" borderId="50" xfId="0" applyFont="1" applyFill="1" applyBorder="1" applyAlignment="1">
      <alignment horizontal="left" vertical="top" wrapText="1"/>
    </xf>
    <xf numFmtId="0" fontId="27" fillId="13" borderId="16" xfId="0" applyFont="1" applyFill="1" applyBorder="1" applyAlignment="1">
      <alignment horizontal="center" vertical="top" wrapText="1"/>
    </xf>
    <xf numFmtId="0" fontId="27" fillId="13" borderId="17" xfId="0" applyFont="1" applyFill="1" applyBorder="1" applyAlignment="1">
      <alignment horizontal="center" vertical="top" wrapText="1"/>
    </xf>
    <xf numFmtId="0" fontId="30" fillId="10" borderId="16" xfId="0" applyFont="1" applyFill="1" applyBorder="1" applyAlignment="1">
      <alignment horizontal="left" vertical="top" wrapText="1"/>
    </xf>
    <xf numFmtId="0" fontId="30" fillId="10" borderId="17" xfId="0" applyFont="1" applyFill="1" applyBorder="1" applyAlignment="1">
      <alignment horizontal="left" vertical="top" wrapText="1"/>
    </xf>
    <xf numFmtId="0" fontId="3" fillId="9" borderId="0" xfId="0" applyFont="1" applyFill="1" applyAlignment="1">
      <alignment vertical="top" wrapText="1"/>
    </xf>
    <xf numFmtId="0" fontId="29" fillId="9" borderId="0" xfId="0" applyFont="1" applyFill="1" applyAlignment="1">
      <alignment horizontal="left" vertical="top" wrapText="1"/>
    </xf>
    <xf numFmtId="0" fontId="3" fillId="9" borderId="0" xfId="0" applyFont="1" applyFill="1" applyAlignment="1">
      <alignment horizontal="left" vertical="top" wrapText="1"/>
    </xf>
    <xf numFmtId="0" fontId="44" fillId="9" borderId="0" xfId="0" applyFont="1" applyFill="1" applyAlignment="1">
      <alignment vertical="top" wrapText="1"/>
    </xf>
    <xf numFmtId="0" fontId="27" fillId="13" borderId="16" xfId="0" applyFont="1" applyFill="1" applyBorder="1" applyAlignment="1">
      <alignment horizontal="center" vertical="top"/>
    </xf>
    <xf numFmtId="0" fontId="27" fillId="13" borderId="9" xfId="0" applyFont="1" applyFill="1" applyBorder="1" applyAlignment="1">
      <alignment horizontal="center" vertical="top"/>
    </xf>
    <xf numFmtId="0" fontId="15" fillId="2" borderId="21" xfId="0" applyFont="1" applyFill="1" applyBorder="1" applyAlignment="1" applyProtection="1">
      <alignment horizontal="center" vertical="center" wrapText="1"/>
      <protection hidden="1"/>
    </xf>
    <xf numFmtId="0" fontId="15" fillId="2" borderId="42" xfId="0" applyFont="1" applyFill="1" applyBorder="1" applyAlignment="1" applyProtection="1">
      <alignment horizontal="center" vertical="center" wrapText="1"/>
      <protection hidden="1"/>
    </xf>
    <xf numFmtId="0" fontId="15" fillId="2" borderId="22" xfId="0" applyFont="1" applyFill="1" applyBorder="1" applyAlignment="1" applyProtection="1">
      <alignment horizontal="center" vertical="center" wrapText="1"/>
      <protection hidden="1"/>
    </xf>
    <xf numFmtId="0" fontId="29" fillId="9" borderId="43" xfId="0" applyFont="1" applyFill="1" applyBorder="1" applyAlignment="1">
      <alignment horizontal="left" vertical="center"/>
    </xf>
    <xf numFmtId="0" fontId="29" fillId="9" borderId="1" xfId="0" applyFont="1" applyFill="1" applyBorder="1" applyAlignment="1">
      <alignment horizontal="left" vertical="center"/>
    </xf>
    <xf numFmtId="0" fontId="48" fillId="9" borderId="0" xfId="0" applyFont="1" applyFill="1" applyAlignment="1">
      <alignment horizontal="left" vertical="top" wrapText="1"/>
    </xf>
    <xf numFmtId="0" fontId="10" fillId="2" borderId="53" xfId="0" applyFont="1" applyFill="1" applyBorder="1" applyAlignment="1" applyProtection="1">
      <alignment horizontal="center" vertical="center" wrapText="1"/>
      <protection hidden="1"/>
    </xf>
    <xf numFmtId="0" fontId="10" fillId="2" borderId="0" xfId="0" applyFont="1" applyFill="1" applyAlignment="1" applyProtection="1">
      <alignment horizontal="center" vertical="center" wrapText="1"/>
      <protection hidden="1"/>
    </xf>
    <xf numFmtId="0" fontId="27" fillId="13" borderId="0" xfId="0" applyFont="1" applyFill="1" applyAlignment="1">
      <alignment horizontal="center" vertical="top"/>
    </xf>
    <xf numFmtId="0" fontId="29" fillId="9" borderId="43" xfId="0" applyFont="1" applyFill="1" applyBorder="1" applyAlignment="1">
      <alignment horizontal="left" vertical="center" wrapText="1"/>
    </xf>
    <xf numFmtId="0" fontId="29" fillId="9" borderId="1" xfId="0" applyFont="1" applyFill="1" applyBorder="1" applyAlignment="1">
      <alignment horizontal="left" vertical="center" wrapText="1"/>
    </xf>
    <xf numFmtId="0" fontId="45" fillId="9" borderId="0" xfId="2" applyFont="1" applyFill="1" applyAlignment="1">
      <alignment horizontal="center" vertical="top"/>
    </xf>
    <xf numFmtId="0" fontId="28" fillId="9" borderId="0" xfId="2" applyFont="1" applyFill="1" applyBorder="1" applyAlignment="1" applyProtection="1">
      <alignment horizontal="left" vertical="top" wrapText="1"/>
    </xf>
    <xf numFmtId="0" fontId="29" fillId="9" borderId="43" xfId="0" applyFont="1" applyFill="1" applyBorder="1" applyAlignment="1">
      <alignment horizontal="left" vertical="top" wrapText="1"/>
    </xf>
    <xf numFmtId="0" fontId="29" fillId="9" borderId="1" xfId="0" applyFont="1" applyFill="1" applyBorder="1" applyAlignment="1">
      <alignment horizontal="left" vertical="top" wrapText="1"/>
    </xf>
    <xf numFmtId="0" fontId="29" fillId="9" borderId="43" xfId="0" applyFont="1" applyFill="1" applyBorder="1" applyAlignment="1">
      <alignment horizontal="left" vertical="top"/>
    </xf>
    <xf numFmtId="0" fontId="29" fillId="9" borderId="1" xfId="0" applyFont="1" applyFill="1" applyBorder="1" applyAlignment="1">
      <alignment horizontal="left" vertical="top"/>
    </xf>
    <xf numFmtId="0" fontId="27" fillId="13" borderId="17" xfId="0" applyFont="1" applyFill="1" applyBorder="1" applyAlignment="1">
      <alignment horizontal="center" vertical="top"/>
    </xf>
    <xf numFmtId="0" fontId="29" fillId="9" borderId="3" xfId="0" applyFont="1" applyFill="1" applyBorder="1" applyAlignment="1">
      <alignment horizontal="left" vertical="top" wrapText="1"/>
    </xf>
    <xf numFmtId="0" fontId="28" fillId="9" borderId="0" xfId="2" applyFont="1" applyFill="1" applyAlignment="1">
      <alignment horizontal="left" vertical="top"/>
    </xf>
    <xf numFmtId="0" fontId="28" fillId="9" borderId="0" xfId="2" applyFont="1" applyFill="1" applyAlignment="1" applyProtection="1">
      <alignment horizontal="left" vertical="top" wrapText="1"/>
    </xf>
    <xf numFmtId="0" fontId="28" fillId="9" borderId="0" xfId="2" applyFont="1" applyFill="1" applyAlignment="1">
      <alignment horizontal="left" vertical="top" wrapText="1"/>
    </xf>
    <xf numFmtId="0" fontId="4" fillId="0" borderId="0" xfId="0" applyFont="1" applyAlignment="1">
      <alignment horizontal="left" vertical="top" wrapText="1"/>
    </xf>
    <xf numFmtId="0" fontId="1" fillId="0" borderId="0" xfId="0" applyFont="1" applyAlignment="1" applyProtection="1">
      <alignment horizontal="center" vertical="center"/>
      <protection hidden="1"/>
    </xf>
    <xf numFmtId="0" fontId="0" fillId="0" borderId="0" xfId="0" applyAlignment="1">
      <alignment horizontal="center" vertical="center"/>
    </xf>
    <xf numFmtId="0" fontId="28" fillId="9" borderId="0" xfId="2" applyFont="1" applyFill="1" applyAlignment="1" applyProtection="1">
      <alignment horizontal="left" vertical="top"/>
    </xf>
    <xf numFmtId="0" fontId="56" fillId="13" borderId="0" xfId="0" applyFont="1" applyFill="1" applyAlignment="1">
      <alignment horizontal="center" vertical="center"/>
    </xf>
    <xf numFmtId="0" fontId="56" fillId="13" borderId="0" xfId="0" applyFont="1" applyFill="1" applyAlignment="1">
      <alignment horizontal="center" vertical="center" wrapText="1"/>
    </xf>
    <xf numFmtId="0" fontId="55" fillId="9" borderId="16" xfId="0" applyFont="1" applyFill="1" applyBorder="1" applyAlignment="1">
      <alignment horizontal="center" vertical="center" wrapText="1"/>
    </xf>
    <xf numFmtId="0" fontId="54" fillId="9" borderId="9" xfId="0" applyFont="1" applyFill="1" applyBorder="1" applyAlignment="1">
      <alignment horizontal="center" vertical="center" wrapText="1"/>
    </xf>
    <xf numFmtId="0" fontId="32" fillId="15" borderId="43" xfId="0" applyFont="1" applyFill="1" applyBorder="1" applyAlignment="1">
      <alignment horizontal="left" vertical="top" wrapText="1"/>
    </xf>
    <xf numFmtId="0" fontId="3" fillId="15" borderId="1" xfId="0" applyFont="1" applyFill="1" applyBorder="1" applyAlignment="1">
      <alignment horizontal="left" vertical="top" wrapText="1"/>
    </xf>
    <xf numFmtId="0" fontId="3" fillId="15" borderId="3" xfId="0" applyFont="1" applyFill="1" applyBorder="1" applyAlignment="1">
      <alignment horizontal="left" vertical="top" wrapText="1"/>
    </xf>
    <xf numFmtId="0" fontId="3" fillId="15" borderId="0" xfId="0" applyFont="1" applyFill="1" applyAlignment="1">
      <alignment horizontal="left" vertical="top" wrapText="1"/>
    </xf>
    <xf numFmtId="0" fontId="52" fillId="15" borderId="6" xfId="0" applyFont="1" applyFill="1" applyBorder="1" applyAlignment="1">
      <alignment horizontal="left" vertical="center" wrapText="1"/>
    </xf>
    <xf numFmtId="0" fontId="52" fillId="15" borderId="7" xfId="0" applyFont="1" applyFill="1" applyBorder="1" applyAlignment="1">
      <alignment horizontal="left" vertical="center" wrapText="1"/>
    </xf>
    <xf numFmtId="0" fontId="29" fillId="9" borderId="20" xfId="0" applyFont="1" applyFill="1" applyBorder="1" applyAlignment="1">
      <alignment horizontal="left" vertical="center" wrapText="1"/>
    </xf>
    <xf numFmtId="0" fontId="29" fillId="9" borderId="34" xfId="0" applyFont="1" applyFill="1" applyBorder="1" applyAlignment="1">
      <alignment horizontal="left" vertical="center" wrapText="1"/>
    </xf>
    <xf numFmtId="0" fontId="29" fillId="9" borderId="20" xfId="0" applyFont="1" applyFill="1" applyBorder="1" applyAlignment="1">
      <alignment horizontal="center" vertical="center" wrapText="1"/>
    </xf>
    <xf numFmtId="0" fontId="29" fillId="9" borderId="34" xfId="0" applyFont="1" applyFill="1" applyBorder="1" applyAlignment="1">
      <alignment horizontal="center" vertical="center" wrapText="1"/>
    </xf>
  </cellXfs>
  <cellStyles count="7">
    <cellStyle name="Bad" xfId="6" builtinId="27"/>
    <cellStyle name="Comma" xfId="5" builtinId="3"/>
    <cellStyle name="Hyperlink" xfId="2" builtinId="8"/>
    <cellStyle name="Hyperlink 2" xfId="4" xr:uid="{00000000-0005-0000-0000-000003000000}"/>
    <cellStyle name="Normal" xfId="0" builtinId="0"/>
    <cellStyle name="Normal 4" xfId="1" xr:uid="{00000000-0005-0000-0000-000005000000}"/>
    <cellStyle name="Percent 2" xfId="3" xr:uid="{00000000-0005-0000-0000-000006000000}"/>
  </cellStyles>
  <dxfs count="249">
    <dxf>
      <fill>
        <patternFill patternType="lightUp"/>
      </fill>
    </dxf>
    <dxf>
      <fill>
        <patternFill patternType="lightUp"/>
      </fill>
    </dxf>
    <dxf>
      <fill>
        <patternFill patternType="lightUp"/>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Down"/>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patternType="lightUp"/>
      </fill>
    </dxf>
    <dxf>
      <fill>
        <patternFill patternType="lightUp"/>
      </fill>
    </dxf>
    <dxf>
      <fill>
        <patternFill>
          <bgColor theme="0" tint="-0.2499465926084170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theme="0" tint="-0.24994659260841701"/>
        </patternFill>
      </fill>
    </dxf>
    <dxf>
      <fill>
        <patternFill patternType="lightUp"/>
      </fill>
    </dxf>
    <dxf>
      <fill>
        <patternFill>
          <bgColor theme="0" tint="-0.2499465926084170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0"/>
        <color auto="1"/>
        <name val="Arial"/>
        <family val="2"/>
        <scheme val="none"/>
      </font>
      <alignment horizontal="left" vertical="top" textRotation="0" wrapText="1" indent="0" justifyLastLine="0" shrinkToFit="0" readingOrder="0"/>
      <protection locked="1" hidden="0"/>
    </dxf>
    <dxf>
      <border outline="0">
        <right style="medium">
          <color indexed="64"/>
        </right>
        <top style="medium">
          <color indexed="64"/>
        </top>
        <bottom style="medium">
          <color indexed="64"/>
        </bottom>
      </border>
    </dxf>
    <dxf>
      <font>
        <b val="0"/>
        <i val="0"/>
        <strike val="0"/>
        <condense val="0"/>
        <extend val="0"/>
        <outline val="0"/>
        <shadow val="0"/>
        <u val="none"/>
        <vertAlign val="baseline"/>
        <sz val="10"/>
        <color auto="1"/>
        <name val="Arial"/>
        <family val="2"/>
        <scheme val="none"/>
      </font>
      <alignment horizontal="left" vertical="top" textRotation="0" wrapText="1" indent="0" justifyLastLine="0" shrinkToFit="0" readingOrder="0"/>
      <protection locked="1" hidden="0"/>
    </dxf>
    <dxf>
      <border outline="0">
        <bottom style="medium">
          <color indexed="64"/>
        </bottom>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Times New Roman"/>
        <family val="1"/>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Times New Roman"/>
        <family val="1"/>
        <scheme val="none"/>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Times New Roman"/>
        <family val="1"/>
        <scheme val="none"/>
      </font>
    </dxf>
    <dxf>
      <border outline="0">
        <left style="medium">
          <color indexed="64"/>
        </left>
        <top style="medium">
          <color indexed="64"/>
        </top>
      </border>
    </dxf>
    <dxf>
      <border>
        <bottom style="medium">
          <color indexed="64"/>
        </bottom>
      </border>
    </dxf>
    <dxf>
      <border diagonalUp="0" diagonalDown="0">
        <left/>
        <right/>
        <top/>
        <bottom/>
        <vertical/>
        <horizontal/>
      </border>
    </dxf>
    <dxf>
      <font>
        <b val="0"/>
        <i val="0"/>
        <strike val="0"/>
        <condense val="0"/>
        <extend val="0"/>
        <outline val="0"/>
        <shadow val="0"/>
        <u val="none"/>
        <vertAlign val="baseline"/>
        <sz val="10"/>
        <color auto="1"/>
        <name val="Arial"/>
        <family val="2"/>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4" formatCode="m/d/yyyy;@"/>
      <alignment horizontal="left" vertical="bottom" textRotation="0" wrapText="0" indent="1" justifyLastLine="0" shrinkToFit="0" readingOrder="0"/>
      <protection locked="0" hidden="0"/>
    </dxf>
    <dxf>
      <font>
        <strike val="0"/>
        <outline val="0"/>
        <shadow val="0"/>
        <u val="none"/>
        <vertAlign val="baseline"/>
        <name val="Arial"/>
        <family val="2"/>
        <scheme val="none"/>
      </font>
      <protection locked="1" hidden="0"/>
    </dxf>
    <dxf>
      <border outline="0">
        <top style="medium">
          <color indexed="64"/>
        </top>
      </border>
    </dxf>
    <dxf>
      <font>
        <strike val="0"/>
        <outline val="0"/>
        <shadow val="0"/>
        <u val="none"/>
        <vertAlign val="baseline"/>
        <name val="Arial"/>
        <family val="2"/>
        <scheme val="none"/>
      </font>
    </dxf>
    <dxf>
      <border>
        <bottom style="medium">
          <color indexed="64"/>
        </bottom>
      </border>
    </dxf>
    <dxf>
      <font>
        <strike val="0"/>
        <outline val="0"/>
        <shadow val="0"/>
        <u val="none"/>
        <vertAlign val="baseline"/>
        <sz val="11"/>
        <color theme="1"/>
        <name val="Arial"/>
        <family val="2"/>
        <scheme val="none"/>
      </font>
      <border diagonalUp="0" diagonalDown="0" outline="0">
        <left/>
        <right/>
        <top/>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s>
  <tableStyles count="1" defaultTableStyle="TableStyleMedium2" defaultPivotStyle="PivotStyleLight16">
    <tableStyle name="Invisible" pivot="0" table="0" count="0" xr9:uid="{51AA9F25-355E-4F86-920D-DA8ABA5632FD}"/>
  </tableStyles>
  <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2</xdr:row>
          <xdr:rowOff>114300</xdr:rowOff>
        </xdr:from>
        <xdr:to>
          <xdr:col>7</xdr:col>
          <xdr:colOff>1990725</xdr:colOff>
          <xdr:row>2</xdr:row>
          <xdr:rowOff>533400</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E00-000005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Click to Generate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3</xdr:row>
          <xdr:rowOff>104775</xdr:rowOff>
        </xdr:from>
        <xdr:to>
          <xdr:col>7</xdr:col>
          <xdr:colOff>1981200</xdr:colOff>
          <xdr:row>3</xdr:row>
          <xdr:rowOff>504825</xdr:rowOff>
        </xdr:to>
        <xdr:sp macro="" textlink="">
          <xdr:nvSpPr>
            <xdr:cNvPr id="32774" name="Button 6" hidden="1">
              <a:extLst>
                <a:ext uri="{63B3BB69-23CF-44E3-9099-C40C66FF867C}">
                  <a14:compatExt spid="_x0000_s32774"/>
                </a:ext>
                <a:ext uri="{FF2B5EF4-FFF2-40B4-BE49-F238E27FC236}">
                  <a16:creationId xmlns:a16="http://schemas.microsoft.com/office/drawing/2014/main" id="{00000000-0008-0000-0E00-00000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Click to Delete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1357C5-066D-43D6-BE45-3E0CDB61E8A4}" name="Table1" displayName="Table1" ref="A3:C29" totalsRowShown="0" headerRowDxfId="239" dataDxfId="237" headerRowBorderDxfId="238" tableBorderDxfId="236">
  <tableColumns count="3">
    <tableColumn id="1" xr3:uid="{3963F001-FB59-4212-BBBA-C99387073F37}" name="About this Review" dataDxfId="235"/>
    <tableColumn id="2" xr3:uid="{504454F4-139A-4B1A-AD91-4A93D8165C78}" name="Complete the boxes below. Select from drop-down menu where applicable" dataDxfId="234"/>
    <tableColumn id="3" xr3:uid="{48F761FA-889D-48E0-8766-B3AC96E1BAAA}" name="Analyst Notes" dataDxfId="233"/>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BCCFAB8-5728-43F1-8A09-CC9BDED31B26}" name="Table2" displayName="Table2" ref="A31:C44" totalsRowShown="0" headerRowDxfId="232" headerRowBorderDxfId="231" tableBorderDxfId="230">
  <tableColumns count="3">
    <tableColumn id="1" xr3:uid="{F6886BF5-E533-44D4-92BE-C2119AD55CFC}" name="Status of Review by Section Dashboard" dataDxfId="229"/>
    <tableColumn id="2" xr3:uid="{63FBAE3A-47D0-4A51-AF92-AA39C323260F}" name="Medicaid Requirements" dataDxfId="228"/>
    <tableColumn id="3" xr3:uid="{ABA3D758-5CC3-4D46-AD9B-B5AA8BAD3BCB}" name="(Please provide additional comments)" dataDxfId="227"/>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B55F02-4572-4843-825F-3557E5B7605B}" name="Table3" displayName="Table3" ref="D3:D29" totalsRowShown="0" headerRowDxfId="226" dataDxfId="224" headerRowBorderDxfId="225" tableBorderDxfId="223">
  <tableColumns count="1">
    <tableColumn id="1" xr3:uid="{12E79ECC-D0B3-4D8E-85F4-85FBCBD8B7EA}" name="Description/Instructions" dataDxfId="222"/>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cms.gov/Medicare/Medicare-Advantage/MedicareAdvantageApps/Downloads/HSD_Reference_File_01-10-2017.zi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hyperlink" Target="https://urldefense.com/v3/__https:/www.medicaid.gov/sites/default/files/2023-11/cib11162023.pdf__;!!NwMct28-Ww!IP7MweADtqf4-zBzy0oUcjxJ7jJlI9YRV-m1lYrjkWBuRvrIbcXAOSbCWp2LM4iNUE4w-Mt0Gr4CsdE24sM2XJ-bXxCRMdjNHhs$" TargetMode="External"/><Relationship Id="rId2" Type="http://schemas.openxmlformats.org/officeDocument/2006/relationships/hyperlink" Target="https://urldefense.com/v3/__https:/wms-mmdl.cms.gov/WMS/help/TaxonomyCategoryDefinitions.pdf__;!!NwMct28-Ww!IP7MweADtqf4-zBzy0oUcjxJ7jJlI9YRV-m1lYrjkWBuRvrIbcXAOSbCWp2LM4iNUE4w-Mt0Gr4CsdE24sM2XJ-bXxCRHwQO3Sc$" TargetMode="External"/><Relationship Id="rId1" Type="http://schemas.openxmlformats.org/officeDocument/2006/relationships/hyperlink" Target="https://www.medicaid.gov/medicaid/benefits/mandatory-optional-medicaid-benefits/index.html" TargetMode="External"/><Relationship Id="rId6" Type="http://schemas.openxmlformats.org/officeDocument/2006/relationships/printerSettings" Target="../printerSettings/printerSettings9.bin"/><Relationship Id="rId5" Type="http://schemas.openxmlformats.org/officeDocument/2006/relationships/hyperlink" Target="https://www.medicaid.gov/medicaid-chip-program-information/by-topics/long-term-services-and-supports/home-and-community-based-services/statewide-transition-plans.html." TargetMode="External"/><Relationship Id="rId4" Type="http://schemas.openxmlformats.org/officeDocument/2006/relationships/hyperlink" Target="https://urldefense.com/v3/__https:/www.medicaid.gov/sites/default/files/2023-11/cib11162023.pdf__;!!NwMct28-Ww!IP7MweADtqf4-zBzy0oUcjxJ7jJlI9YRV-m1lYrjkWBuRvrIbcXAOSbCWp2LM4iNUE4w-Mt0Gr4CsdE24sM2XJ-bXxCRMdjNHhs$"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hyperlink" Target="https://www.ecfr.gov/current/title-42/chapter-IV/subchapter-C/part-431" TargetMode="External"/><Relationship Id="rId2" Type="http://schemas.openxmlformats.org/officeDocument/2006/relationships/hyperlink" Target="https://www.ecfr.gov/current/title-42/chapter-IV/subchapter-C/part-431/subpart-B" TargetMode="External"/><Relationship Id="rId1" Type="http://schemas.openxmlformats.org/officeDocument/2006/relationships/hyperlink" Target="https://www.ecfr.gov/current/title-42/chapter-IV/subchapter-C/part-431/subpart-B/section-431.60" TargetMode="External"/><Relationship Id="rId4"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02"/>
  <sheetViews>
    <sheetView zoomScale="85" zoomScaleNormal="85" workbookViewId="0"/>
  </sheetViews>
  <sheetFormatPr defaultRowHeight="15" x14ac:dyDescent="0.25"/>
  <cols>
    <col min="1" max="1" width="119.42578125" style="1" bestFit="1" customWidth="1"/>
    <col min="2" max="2" width="9.28515625" style="2"/>
  </cols>
  <sheetData>
    <row r="1" spans="1:6" ht="24" thickBot="1" x14ac:dyDescent="0.3">
      <c r="A1" s="177" t="s">
        <v>0</v>
      </c>
      <c r="B1" s="3"/>
    </row>
    <row r="2" spans="1:6" ht="19.5" thickBot="1" x14ac:dyDescent="0.35">
      <c r="A2" s="178" t="s">
        <v>1</v>
      </c>
      <c r="B2" s="3"/>
      <c r="C2" s="422"/>
      <c r="D2" s="423"/>
      <c r="E2" s="423"/>
      <c r="F2" s="423"/>
    </row>
    <row r="3" spans="1:6" ht="15.75" thickBot="1" x14ac:dyDescent="0.3">
      <c r="A3" s="178" t="s">
        <v>2</v>
      </c>
      <c r="B3" s="3"/>
    </row>
    <row r="4" spans="1:6" ht="15.75" thickBot="1" x14ac:dyDescent="0.3">
      <c r="A4" s="178" t="s">
        <v>3</v>
      </c>
    </row>
    <row r="5" spans="1:6" ht="15.75" thickBot="1" x14ac:dyDescent="0.3">
      <c r="A5" s="179" t="s">
        <v>4</v>
      </c>
    </row>
    <row r="6" spans="1:6" ht="15.75" thickBot="1" x14ac:dyDescent="0.3">
      <c r="A6" s="178" t="s">
        <v>5</v>
      </c>
      <c r="B6" s="3"/>
    </row>
    <row r="7" spans="1:6" x14ac:dyDescent="0.25">
      <c r="A7" s="179" t="s">
        <v>6</v>
      </c>
    </row>
    <row r="8" spans="1:6" x14ac:dyDescent="0.25">
      <c r="A8" s="179" t="s">
        <v>7</v>
      </c>
    </row>
    <row r="9" spans="1:6" x14ac:dyDescent="0.25">
      <c r="A9" s="179" t="s">
        <v>8</v>
      </c>
    </row>
    <row r="10" spans="1:6" x14ac:dyDescent="0.25">
      <c r="A10" s="179" t="s">
        <v>9</v>
      </c>
    </row>
    <row r="11" spans="1:6" x14ac:dyDescent="0.25">
      <c r="A11" s="179" t="s">
        <v>10</v>
      </c>
    </row>
    <row r="12" spans="1:6" x14ac:dyDescent="0.25">
      <c r="A12" s="179" t="s">
        <v>11</v>
      </c>
    </row>
    <row r="13" spans="1:6" ht="15.75" thickBot="1" x14ac:dyDescent="0.3">
      <c r="A13" s="179" t="s">
        <v>12</v>
      </c>
    </row>
    <row r="14" spans="1:6" ht="15.75" thickBot="1" x14ac:dyDescent="0.3">
      <c r="A14" s="178" t="s">
        <v>13</v>
      </c>
    </row>
    <row r="15" spans="1:6" x14ac:dyDescent="0.25">
      <c r="A15" s="179" t="s">
        <v>14</v>
      </c>
    </row>
    <row r="16" spans="1:6" x14ac:dyDescent="0.25">
      <c r="A16" s="179" t="s">
        <v>15</v>
      </c>
    </row>
    <row r="17" spans="1:1" x14ac:dyDescent="0.25">
      <c r="A17" s="179" t="s">
        <v>16</v>
      </c>
    </row>
    <row r="18" spans="1:1" x14ac:dyDescent="0.25">
      <c r="A18" s="179" t="s">
        <v>17</v>
      </c>
    </row>
    <row r="19" spans="1:1" x14ac:dyDescent="0.25">
      <c r="A19" s="179" t="s">
        <v>18</v>
      </c>
    </row>
    <row r="20" spans="1:1" x14ac:dyDescent="0.25">
      <c r="A20" s="179" t="s">
        <v>19</v>
      </c>
    </row>
    <row r="21" spans="1:1" x14ac:dyDescent="0.25">
      <c r="A21" s="179" t="s">
        <v>20</v>
      </c>
    </row>
    <row r="22" spans="1:1" x14ac:dyDescent="0.25">
      <c r="A22" s="179" t="s">
        <v>21</v>
      </c>
    </row>
    <row r="23" spans="1:1" ht="15.75" thickBot="1" x14ac:dyDescent="0.3">
      <c r="A23" s="179" t="s">
        <v>22</v>
      </c>
    </row>
    <row r="24" spans="1:1" ht="15.75" thickBot="1" x14ac:dyDescent="0.3">
      <c r="A24" s="178" t="s">
        <v>23</v>
      </c>
    </row>
    <row r="25" spans="1:1" x14ac:dyDescent="0.25">
      <c r="A25" s="179" t="s">
        <v>24</v>
      </c>
    </row>
    <row r="26" spans="1:1" x14ac:dyDescent="0.25">
      <c r="A26" s="179" t="s">
        <v>25</v>
      </c>
    </row>
    <row r="27" spans="1:1" x14ac:dyDescent="0.25">
      <c r="A27" s="179" t="s">
        <v>26</v>
      </c>
    </row>
    <row r="28" spans="1:1" x14ac:dyDescent="0.25">
      <c r="A28" s="179" t="s">
        <v>27</v>
      </c>
    </row>
    <row r="29" spans="1:1" x14ac:dyDescent="0.25">
      <c r="A29" s="179" t="s">
        <v>28</v>
      </c>
    </row>
    <row r="30" spans="1:1" x14ac:dyDescent="0.25">
      <c r="A30" s="179" t="s">
        <v>29</v>
      </c>
    </row>
    <row r="31" spans="1:1" ht="15.75" thickBot="1" x14ac:dyDescent="0.3">
      <c r="A31" s="179" t="s">
        <v>30</v>
      </c>
    </row>
    <row r="32" spans="1:1" ht="15.75" thickBot="1" x14ac:dyDescent="0.3">
      <c r="A32" s="178" t="s">
        <v>31</v>
      </c>
    </row>
    <row r="33" spans="1:2" x14ac:dyDescent="0.25">
      <c r="A33" s="179" t="s">
        <v>32</v>
      </c>
    </row>
    <row r="34" spans="1:2" x14ac:dyDescent="0.25">
      <c r="A34" s="179" t="s">
        <v>33</v>
      </c>
    </row>
    <row r="35" spans="1:2" x14ac:dyDescent="0.25">
      <c r="A35" s="179" t="s">
        <v>34</v>
      </c>
    </row>
    <row r="36" spans="1:2" x14ac:dyDescent="0.25">
      <c r="A36" s="179" t="s">
        <v>35</v>
      </c>
    </row>
    <row r="37" spans="1:2" x14ac:dyDescent="0.25">
      <c r="A37" s="179" t="s">
        <v>36</v>
      </c>
    </row>
    <row r="38" spans="1:2" x14ac:dyDescent="0.25">
      <c r="A38" s="179" t="s">
        <v>37</v>
      </c>
    </row>
    <row r="39" spans="1:2" x14ac:dyDescent="0.25">
      <c r="A39" s="179" t="s">
        <v>38</v>
      </c>
    </row>
    <row r="40" spans="1:2" x14ac:dyDescent="0.25">
      <c r="A40" s="179" t="s">
        <v>39</v>
      </c>
    </row>
    <row r="41" spans="1:2" x14ac:dyDescent="0.25">
      <c r="A41" s="179" t="s">
        <v>40</v>
      </c>
    </row>
    <row r="42" spans="1:2" ht="15.75" thickBot="1" x14ac:dyDescent="0.3">
      <c r="A42" s="179" t="s">
        <v>41</v>
      </c>
      <c r="B42" s="4"/>
    </row>
    <row r="43" spans="1:2" ht="15.75" thickBot="1" x14ac:dyDescent="0.3">
      <c r="A43" s="178" t="s">
        <v>42</v>
      </c>
    </row>
    <row r="44" spans="1:2" x14ac:dyDescent="0.25">
      <c r="A44" s="179" t="s">
        <v>43</v>
      </c>
    </row>
    <row r="45" spans="1:2" x14ac:dyDescent="0.25">
      <c r="A45" s="179" t="s">
        <v>44</v>
      </c>
    </row>
    <row r="46" spans="1:2" x14ac:dyDescent="0.25">
      <c r="A46" s="179" t="s">
        <v>45</v>
      </c>
    </row>
    <row r="47" spans="1:2" x14ac:dyDescent="0.25">
      <c r="A47" s="179" t="s">
        <v>46</v>
      </c>
    </row>
    <row r="48" spans="1:2" x14ac:dyDescent="0.25">
      <c r="A48" s="179" t="s">
        <v>47</v>
      </c>
    </row>
    <row r="49" spans="1:1" x14ac:dyDescent="0.25">
      <c r="A49" s="179" t="s">
        <v>48</v>
      </c>
    </row>
    <row r="50" spans="1:1" x14ac:dyDescent="0.25">
      <c r="A50" s="179" t="s">
        <v>49</v>
      </c>
    </row>
    <row r="51" spans="1:1" x14ac:dyDescent="0.25">
      <c r="A51" s="179" t="s">
        <v>50</v>
      </c>
    </row>
    <row r="52" spans="1:1" x14ac:dyDescent="0.25">
      <c r="A52" s="179" t="s">
        <v>51</v>
      </c>
    </row>
    <row r="53" spans="1:1" x14ac:dyDescent="0.25">
      <c r="A53" s="179" t="s">
        <v>52</v>
      </c>
    </row>
    <row r="54" spans="1:1" x14ac:dyDescent="0.25">
      <c r="A54" s="179" t="s">
        <v>53</v>
      </c>
    </row>
    <row r="55" spans="1:1" x14ac:dyDescent="0.25">
      <c r="A55" s="179" t="s">
        <v>54</v>
      </c>
    </row>
    <row r="56" spans="1:1" x14ac:dyDescent="0.25">
      <c r="A56" s="179" t="s">
        <v>55</v>
      </c>
    </row>
    <row r="57" spans="1:1" x14ac:dyDescent="0.25">
      <c r="A57" s="179" t="s">
        <v>56</v>
      </c>
    </row>
    <row r="58" spans="1:1" x14ac:dyDescent="0.25">
      <c r="A58" s="179" t="s">
        <v>57</v>
      </c>
    </row>
    <row r="59" spans="1:1" ht="15.75" thickBot="1" x14ac:dyDescent="0.3">
      <c r="A59" s="179" t="s">
        <v>58</v>
      </c>
    </row>
    <row r="60" spans="1:1" ht="15.75" thickBot="1" x14ac:dyDescent="0.3">
      <c r="A60" s="178" t="s">
        <v>59</v>
      </c>
    </row>
    <row r="61" spans="1:1" x14ac:dyDescent="0.25">
      <c r="A61" s="179" t="s">
        <v>60</v>
      </c>
    </row>
    <row r="62" spans="1:1" x14ac:dyDescent="0.25">
      <c r="A62" s="179" t="s">
        <v>61</v>
      </c>
    </row>
    <row r="63" spans="1:1" x14ac:dyDescent="0.25">
      <c r="A63" s="179" t="s">
        <v>62</v>
      </c>
    </row>
    <row r="64" spans="1:1" x14ac:dyDescent="0.25">
      <c r="A64" s="180" t="s">
        <v>63</v>
      </c>
    </row>
    <row r="65" spans="1:1" x14ac:dyDescent="0.25">
      <c r="A65" s="179" t="s">
        <v>64</v>
      </c>
    </row>
    <row r="66" spans="1:1" x14ac:dyDescent="0.25">
      <c r="A66" s="179" t="s">
        <v>65</v>
      </c>
    </row>
    <row r="67" spans="1:1" x14ac:dyDescent="0.25">
      <c r="A67" s="179" t="s">
        <v>66</v>
      </c>
    </row>
    <row r="68" spans="1:1" ht="15.75" thickBot="1" x14ac:dyDescent="0.3">
      <c r="A68" s="179" t="s">
        <v>67</v>
      </c>
    </row>
    <row r="69" spans="1:1" ht="15.75" thickBot="1" x14ac:dyDescent="0.3">
      <c r="A69" s="178" t="s">
        <v>68</v>
      </c>
    </row>
    <row r="70" spans="1:1" x14ac:dyDescent="0.25">
      <c r="A70" s="179" t="s">
        <v>69</v>
      </c>
    </row>
    <row r="71" spans="1:1" x14ac:dyDescent="0.25">
      <c r="A71" s="179" t="s">
        <v>70</v>
      </c>
    </row>
    <row r="72" spans="1:1" x14ac:dyDescent="0.25">
      <c r="A72" s="179" t="s">
        <v>71</v>
      </c>
    </row>
    <row r="73" spans="1:1" x14ac:dyDescent="0.25">
      <c r="A73" s="179" t="s">
        <v>72</v>
      </c>
    </row>
    <row r="74" spans="1:1" x14ac:dyDescent="0.25">
      <c r="A74" s="179" t="s">
        <v>73</v>
      </c>
    </row>
    <row r="75" spans="1:1" x14ac:dyDescent="0.25">
      <c r="A75" s="179" t="s">
        <v>74</v>
      </c>
    </row>
    <row r="76" spans="1:1" x14ac:dyDescent="0.25">
      <c r="A76" s="179" t="s">
        <v>75</v>
      </c>
    </row>
    <row r="77" spans="1:1" x14ac:dyDescent="0.25">
      <c r="A77" s="179" t="s">
        <v>76</v>
      </c>
    </row>
    <row r="78" spans="1:1" x14ac:dyDescent="0.25">
      <c r="A78" s="179" t="s">
        <v>77</v>
      </c>
    </row>
    <row r="79" spans="1:1" x14ac:dyDescent="0.25">
      <c r="A79" s="179" t="s">
        <v>78</v>
      </c>
    </row>
    <row r="80" spans="1:1" ht="15.75" thickBot="1" x14ac:dyDescent="0.3">
      <c r="A80" s="179" t="s">
        <v>79</v>
      </c>
    </row>
    <row r="81" spans="1:1" ht="15.75" thickBot="1" x14ac:dyDescent="0.3">
      <c r="A81" s="178" t="s">
        <v>80</v>
      </c>
    </row>
    <row r="82" spans="1:1" x14ac:dyDescent="0.25">
      <c r="A82" s="179" t="s">
        <v>81</v>
      </c>
    </row>
    <row r="83" spans="1:1" x14ac:dyDescent="0.25">
      <c r="A83" s="179" t="s">
        <v>82</v>
      </c>
    </row>
    <row r="84" spans="1:1" x14ac:dyDescent="0.25">
      <c r="A84" s="179" t="s">
        <v>83</v>
      </c>
    </row>
    <row r="85" spans="1:1" x14ac:dyDescent="0.25">
      <c r="A85" s="179" t="s">
        <v>84</v>
      </c>
    </row>
    <row r="86" spans="1:1" x14ac:dyDescent="0.25">
      <c r="A86" s="179" t="s">
        <v>85</v>
      </c>
    </row>
    <row r="87" spans="1:1" x14ac:dyDescent="0.25">
      <c r="A87" s="179" t="s">
        <v>86</v>
      </c>
    </row>
    <row r="88" spans="1:1" ht="15.75" thickBot="1" x14ac:dyDescent="0.3">
      <c r="A88" s="180" t="s">
        <v>87</v>
      </c>
    </row>
    <row r="89" spans="1:1" ht="15.75" thickBot="1" x14ac:dyDescent="0.3">
      <c r="A89" s="178" t="s">
        <v>88</v>
      </c>
    </row>
    <row r="90" spans="1:1" x14ac:dyDescent="0.25">
      <c r="A90" s="179" t="s">
        <v>89</v>
      </c>
    </row>
    <row r="91" spans="1:1" x14ac:dyDescent="0.25">
      <c r="A91" s="179" t="s">
        <v>90</v>
      </c>
    </row>
    <row r="92" spans="1:1" x14ac:dyDescent="0.25">
      <c r="A92" s="179" t="s">
        <v>91</v>
      </c>
    </row>
    <row r="93" spans="1:1" x14ac:dyDescent="0.25">
      <c r="A93" s="179" t="s">
        <v>92</v>
      </c>
    </row>
    <row r="94" spans="1:1" x14ac:dyDescent="0.25">
      <c r="A94" s="179" t="s">
        <v>93</v>
      </c>
    </row>
    <row r="95" spans="1:1" x14ac:dyDescent="0.25">
      <c r="A95" s="179" t="s">
        <v>94</v>
      </c>
    </row>
    <row r="96" spans="1:1" ht="15.75" thickBot="1" x14ac:dyDescent="0.3">
      <c r="A96" s="179" t="s">
        <v>95</v>
      </c>
    </row>
    <row r="97" spans="1:1" ht="15.75" thickBot="1" x14ac:dyDescent="0.3">
      <c r="A97" s="178" t="s">
        <v>96</v>
      </c>
    </row>
    <row r="98" spans="1:1" ht="15.75" thickBot="1" x14ac:dyDescent="0.3">
      <c r="A98" s="181" t="s">
        <v>97</v>
      </c>
    </row>
    <row r="99" spans="1:1" ht="15.75" thickBot="1" x14ac:dyDescent="0.3">
      <c r="A99" s="178" t="s">
        <v>98</v>
      </c>
    </row>
    <row r="100" spans="1:1" ht="15.75" thickBot="1" x14ac:dyDescent="0.3">
      <c r="A100" s="178" t="s">
        <v>99</v>
      </c>
    </row>
    <row r="101" spans="1:1" x14ac:dyDescent="0.25">
      <c r="A101" s="182"/>
    </row>
    <row r="102" spans="1:1" x14ac:dyDescent="0.25">
      <c r="A102" s="171"/>
    </row>
  </sheetData>
  <sheetProtection formatColumns="0" formatRows="0"/>
  <hyperlinks>
    <hyperlink ref="A4" location="'A. Completeness'!A1" display="Contract Completeness " xr:uid="{308933DF-DCF6-4194-BE4B-C22E28A29B86}"/>
    <hyperlink ref="A6" location="'B. Enrollment &amp; Disenrollment'!Print_Area" display="Enrollment and Disenrollment" xr:uid="{D1F0CCDA-CED1-4BD8-966E-F92AEA5B7FC0}"/>
    <hyperlink ref="A14" location="'C. Beneficiary Notification'!Print_Area" display="Beneficiary Notification" xr:uid="{866C2D70-1245-4574-92F4-83BFC2F7A9CF}"/>
    <hyperlink ref="A24" location="'D. Payment'!Print_Area" display="Payment" xr:uid="{9C2B1EF6-DE95-4CCA-AE88-E4134BB984F3}"/>
    <hyperlink ref="A32" location="'E. Providers &amp; Network'!Print_Area" display="Providers and Provider Network" xr:uid="{04B91977-3424-4AC7-AE72-1BB9BB079114}"/>
    <hyperlink ref="A43" location="'F. Coverage'!Print_Area" display="Coverage" xr:uid="{8C13F3E2-C0E8-4A6F-9021-4FCE791A4523}"/>
    <hyperlink ref="A60" location="'G. Quality and UM'!Print_Area" display="Quality and Utilization Management" xr:uid="{F5B8F3B1-8E8B-40AC-8042-2054CEF1CE7B}"/>
    <hyperlink ref="A69" location="'H. Grievance and Appeals'!Print_Area" display="Grievances and Appeals" xr:uid="{61AC6DD8-65EA-4654-ACD5-6BA399238D5F}"/>
    <hyperlink ref="A81" location="'I. Program Integrity'!Print_Area" display="Program Integrity" xr:uid="{A2262F1F-24AD-4BEF-A086-71DA8CF5C9D4}"/>
    <hyperlink ref="A89" location="'J. General Terms and Conditions'!Print_Area" display="General Terms and Conditions" xr:uid="{98CF5721-754A-4CD2-A88B-FFA93D0FDFE7}"/>
    <hyperlink ref="A97" location="'K. Health Information Systems'!Print_Area" display="Health Information Systems and Enrollee Data" xr:uid="{7067B2D3-DD0B-4178-AE5A-05D48DD70F6B}"/>
    <hyperlink ref="A2" location="Instructions!Print_Area" display="Instructions" xr:uid="{DE14DBF5-63BF-4DC2-B85E-CF29F2403CC5}"/>
    <hyperlink ref="A100" location="Glossary!Print_Area" display="Glossary" xr:uid="{85BD0E0B-5920-41A3-9092-69B9DCB160DE}"/>
    <hyperlink ref="A3" location="'Cover Sheet'!A1" display="Cover Sheet" xr:uid="{CB93728B-0C70-4571-A28E-A0B0110F4888}"/>
    <hyperlink ref="A99" location="Summary!A1" display="Summary" xr:uid="{7F0816B6-F318-45F1-9E69-397D7DB22E47}"/>
  </hyperlinks>
  <pageMargins left="0.25" right="0.25" top="0.75" bottom="0.75" header="0.3" footer="0.3"/>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F42"/>
  <sheetViews>
    <sheetView zoomScaleNormal="100" workbookViewId="0">
      <selection sqref="A1:B1"/>
    </sheetView>
  </sheetViews>
  <sheetFormatPr defaultColWidth="9.28515625" defaultRowHeight="12.75" x14ac:dyDescent="0.2"/>
  <cols>
    <col min="1" max="1" width="21.7109375" style="24" customWidth="1"/>
    <col min="2" max="2" width="133.5703125" style="24" customWidth="1"/>
    <col min="3" max="4" width="9.28515625" style="144" customWidth="1"/>
    <col min="5" max="5" width="12.5703125" style="144" customWidth="1"/>
    <col min="6" max="24" width="9.28515625" style="144" customWidth="1"/>
    <col min="25" max="16384" width="9.28515625" style="144"/>
  </cols>
  <sheetData>
    <row r="1" spans="1:5" ht="24" thickBot="1" x14ac:dyDescent="0.25">
      <c r="A1" s="565" t="s">
        <v>1</v>
      </c>
      <c r="B1" s="566"/>
    </row>
    <row r="2" spans="1:5" ht="129.94999999999999" customHeight="1" thickBot="1" x14ac:dyDescent="0.3">
      <c r="A2" s="183" t="s">
        <v>100</v>
      </c>
      <c r="B2" s="184" t="s">
        <v>101</v>
      </c>
      <c r="C2" s="145"/>
      <c r="D2" s="145"/>
      <c r="E2" s="145"/>
    </row>
    <row r="3" spans="1:5" ht="28.5" customHeight="1" thickBot="1" x14ac:dyDescent="0.3">
      <c r="A3" s="183" t="s">
        <v>102</v>
      </c>
      <c r="B3" s="184" t="s">
        <v>103</v>
      </c>
      <c r="C3" s="145"/>
      <c r="D3" s="145"/>
      <c r="E3" s="145"/>
    </row>
    <row r="4" spans="1:5" ht="20.45" customHeight="1" thickBot="1" x14ac:dyDescent="0.25">
      <c r="A4" s="183" t="s">
        <v>104</v>
      </c>
      <c r="B4" s="184" t="s">
        <v>105</v>
      </c>
    </row>
    <row r="5" spans="1:5" ht="15" customHeight="1" thickBot="1" x14ac:dyDescent="0.25">
      <c r="A5" s="567" t="s">
        <v>106</v>
      </c>
      <c r="B5" s="568"/>
    </row>
    <row r="6" spans="1:5" ht="33.6" customHeight="1" x14ac:dyDescent="0.2">
      <c r="A6" s="562" t="s">
        <v>107</v>
      </c>
      <c r="B6" s="185" t="s">
        <v>108</v>
      </c>
    </row>
    <row r="7" spans="1:5" ht="37.5" customHeight="1" x14ac:dyDescent="0.2">
      <c r="A7" s="563"/>
      <c r="B7" s="186" t="s">
        <v>109</v>
      </c>
    </row>
    <row r="8" spans="1:5" ht="23.25" customHeight="1" x14ac:dyDescent="0.2">
      <c r="A8" s="563"/>
      <c r="B8" s="186" t="s">
        <v>110</v>
      </c>
    </row>
    <row r="9" spans="1:5" ht="22.5" customHeight="1" x14ac:dyDescent="0.2">
      <c r="A9" s="563"/>
      <c r="B9" s="186" t="s">
        <v>111</v>
      </c>
    </row>
    <row r="10" spans="1:5" ht="33.75" customHeight="1" x14ac:dyDescent="0.2">
      <c r="A10" s="563"/>
      <c r="B10" s="186" t="s">
        <v>112</v>
      </c>
      <c r="C10" s="424"/>
    </row>
    <row r="11" spans="1:5" ht="68.45" customHeight="1" x14ac:dyDescent="0.25">
      <c r="A11" s="563"/>
      <c r="B11" s="186" t="s">
        <v>113</v>
      </c>
      <c r="C11" s="143"/>
      <c r="D11" s="143"/>
    </row>
    <row r="12" spans="1:5" ht="51" customHeight="1" x14ac:dyDescent="0.25">
      <c r="A12" s="563"/>
      <c r="B12" s="187" t="s">
        <v>114</v>
      </c>
      <c r="C12" s="145"/>
      <c r="D12" s="145"/>
    </row>
    <row r="13" spans="1:5" ht="39.75" customHeight="1" x14ac:dyDescent="0.2">
      <c r="A13" s="563"/>
      <c r="B13" s="187" t="s">
        <v>115</v>
      </c>
    </row>
    <row r="14" spans="1:5" ht="49.5" customHeight="1" x14ac:dyDescent="0.2">
      <c r="A14" s="563"/>
      <c r="B14" s="187" t="s">
        <v>116</v>
      </c>
    </row>
    <row r="15" spans="1:5" ht="69.599999999999994" customHeight="1" x14ac:dyDescent="0.2">
      <c r="A15" s="563"/>
      <c r="B15" s="187" t="s">
        <v>117</v>
      </c>
    </row>
    <row r="16" spans="1:5" ht="32.1" customHeight="1" x14ac:dyDescent="0.2">
      <c r="A16" s="563"/>
      <c r="B16" s="187" t="s">
        <v>118</v>
      </c>
    </row>
    <row r="17" spans="1:6" ht="40.5" customHeight="1" x14ac:dyDescent="0.2">
      <c r="A17" s="563"/>
      <c r="B17" s="439" t="s">
        <v>119</v>
      </c>
    </row>
    <row r="18" spans="1:6" ht="50.1" customHeight="1" x14ac:dyDescent="0.2">
      <c r="A18" s="564"/>
      <c r="B18" s="439" t="s">
        <v>120</v>
      </c>
    </row>
    <row r="19" spans="1:6" ht="107.25" customHeight="1" x14ac:dyDescent="0.2">
      <c r="A19" s="188" t="s">
        <v>121</v>
      </c>
      <c r="B19" s="189" t="s">
        <v>122</v>
      </c>
    </row>
    <row r="20" spans="1:6" ht="15" customHeight="1" thickBot="1" x14ac:dyDescent="0.25">
      <c r="A20" s="567" t="s">
        <v>123</v>
      </c>
      <c r="B20" s="568"/>
      <c r="E20" s="146"/>
      <c r="F20" s="23"/>
    </row>
    <row r="21" spans="1:6" ht="13.5" thickBot="1" x14ac:dyDescent="0.25">
      <c r="A21" s="560" t="s">
        <v>124</v>
      </c>
      <c r="B21" s="561"/>
      <c r="E21" s="146"/>
      <c r="F21" s="23"/>
    </row>
    <row r="22" spans="1:6" ht="222" customHeight="1" x14ac:dyDescent="0.2">
      <c r="A22" s="190" t="s">
        <v>125</v>
      </c>
      <c r="B22" s="191" t="s">
        <v>126</v>
      </c>
    </row>
    <row r="23" spans="1:6" ht="109.5" customHeight="1" thickBot="1" x14ac:dyDescent="0.25">
      <c r="A23" s="192" t="s">
        <v>127</v>
      </c>
      <c r="B23" s="193" t="s">
        <v>128</v>
      </c>
    </row>
    <row r="24" spans="1:6" ht="13.5" thickBot="1" x14ac:dyDescent="0.25">
      <c r="A24" s="558" t="s">
        <v>129</v>
      </c>
      <c r="B24" s="559"/>
    </row>
    <row r="25" spans="1:6" ht="15.6" customHeight="1" x14ac:dyDescent="0.2">
      <c r="A25" s="194" t="s">
        <v>130</v>
      </c>
      <c r="B25" s="195" t="s">
        <v>131</v>
      </c>
    </row>
    <row r="26" spans="1:6" ht="33.6" customHeight="1" x14ac:dyDescent="0.2">
      <c r="A26" s="196" t="s">
        <v>132</v>
      </c>
      <c r="B26" s="197" t="s">
        <v>133</v>
      </c>
    </row>
    <row r="27" spans="1:6" ht="23.1" customHeight="1" x14ac:dyDescent="0.2">
      <c r="A27" s="196" t="s">
        <v>134</v>
      </c>
      <c r="B27" s="197" t="s">
        <v>135</v>
      </c>
    </row>
    <row r="28" spans="1:6" ht="21.6" customHeight="1" x14ac:dyDescent="0.2">
      <c r="A28" s="196" t="s">
        <v>136</v>
      </c>
      <c r="B28" s="197" t="s">
        <v>137</v>
      </c>
    </row>
    <row r="29" spans="1:6" ht="176.1" customHeight="1" x14ac:dyDescent="0.2">
      <c r="A29" s="196" t="s">
        <v>138</v>
      </c>
      <c r="B29" s="197" t="s">
        <v>139</v>
      </c>
    </row>
    <row r="30" spans="1:6" ht="49.5" customHeight="1" x14ac:dyDescent="0.2">
      <c r="A30" s="196" t="s">
        <v>140</v>
      </c>
      <c r="B30" s="197" t="s">
        <v>141</v>
      </c>
    </row>
    <row r="31" spans="1:6" ht="38.25" x14ac:dyDescent="0.2">
      <c r="A31" s="196" t="s">
        <v>142</v>
      </c>
      <c r="B31" s="197" t="s">
        <v>143</v>
      </c>
    </row>
    <row r="32" spans="1:6" ht="38.25" x14ac:dyDescent="0.2">
      <c r="A32" s="196" t="s">
        <v>144</v>
      </c>
      <c r="B32" s="197" t="s">
        <v>145</v>
      </c>
    </row>
    <row r="33" spans="1:4" ht="54.6" customHeight="1" thickBot="1" x14ac:dyDescent="0.3">
      <c r="A33" s="198" t="s">
        <v>146</v>
      </c>
      <c r="B33" s="199" t="s">
        <v>147</v>
      </c>
      <c r="C33" s="145"/>
      <c r="D33" s="145"/>
    </row>
    <row r="34" spans="1:4" ht="13.5" thickBot="1" x14ac:dyDescent="0.25">
      <c r="A34" s="200" t="s">
        <v>148</v>
      </c>
      <c r="B34" s="201"/>
    </row>
    <row r="35" spans="1:4" ht="38.25" x14ac:dyDescent="0.2">
      <c r="A35" s="196" t="s">
        <v>149</v>
      </c>
      <c r="B35" s="197" t="s">
        <v>150</v>
      </c>
    </row>
    <row r="36" spans="1:4" ht="44.1" customHeight="1" x14ac:dyDescent="0.2">
      <c r="A36" s="202" t="s">
        <v>151</v>
      </c>
      <c r="B36" s="197" t="s">
        <v>152</v>
      </c>
    </row>
    <row r="37" spans="1:4" ht="134.44999999999999" customHeight="1" x14ac:dyDescent="0.2">
      <c r="A37" s="202" t="s">
        <v>153</v>
      </c>
      <c r="B37" s="197" t="s">
        <v>154</v>
      </c>
    </row>
    <row r="38" spans="1:4" ht="73.5" customHeight="1" x14ac:dyDescent="0.2">
      <c r="A38" s="202" t="s">
        <v>155</v>
      </c>
      <c r="B38" s="197" t="s">
        <v>156</v>
      </c>
    </row>
    <row r="39" spans="1:4" ht="26.25" thickBot="1" x14ac:dyDescent="0.25">
      <c r="A39" s="203" t="s">
        <v>157</v>
      </c>
      <c r="B39" s="204" t="s">
        <v>158</v>
      </c>
    </row>
    <row r="40" spans="1:4" s="148" customFormat="1" ht="19.5" customHeight="1" x14ac:dyDescent="0.25">
      <c r="A40" s="205" t="s">
        <v>99</v>
      </c>
      <c r="B40" s="206" t="s">
        <v>159</v>
      </c>
    </row>
    <row r="42" spans="1:4" ht="15" x14ac:dyDescent="0.2">
      <c r="B42" s="9"/>
    </row>
  </sheetData>
  <sheetProtection formatColumns="0" formatRows="0"/>
  <mergeCells count="6">
    <mergeCell ref="A24:B24"/>
    <mergeCell ref="A21:B21"/>
    <mergeCell ref="A6:A18"/>
    <mergeCell ref="A1:B1"/>
    <mergeCell ref="A5:B5"/>
    <mergeCell ref="A20:B20"/>
  </mergeCells>
  <pageMargins left="0.25" right="0.5" top="0.75" bottom="0.75" header="0.3" footer="0.3"/>
  <pageSetup scale="86" fitToHeight="19"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66"/>
  <sheetViews>
    <sheetView zoomScale="85" zoomScaleNormal="85" workbookViewId="0">
      <pane ySplit="1" topLeftCell="A3" activePane="bottomLeft" state="frozen"/>
      <selection pane="bottomLeft" activeCell="C8" sqref="C8"/>
    </sheetView>
  </sheetViews>
  <sheetFormatPr defaultColWidth="9.28515625" defaultRowHeight="12.75" x14ac:dyDescent="0.2"/>
  <cols>
    <col min="1" max="1" width="80.140625" style="1" customWidth="1"/>
    <col min="2" max="2" width="31.7109375" style="1" customWidth="1"/>
    <col min="3" max="3" width="33.42578125" style="1" customWidth="1"/>
    <col min="4" max="4" width="107.85546875" style="1" customWidth="1"/>
    <col min="5" max="11" width="5.5703125" style="15" hidden="1" customWidth="1"/>
    <col min="12" max="12" width="9.5703125" style="15" hidden="1" customWidth="1"/>
    <col min="13" max="13" width="10.7109375" style="15" hidden="1" customWidth="1"/>
    <col min="14" max="16" width="9.28515625" style="15" hidden="1" customWidth="1"/>
    <col min="17" max="17" width="14.5703125" style="1" hidden="1" customWidth="1"/>
    <col min="18" max="19" width="9.28515625" style="1" hidden="1" customWidth="1"/>
    <col min="20" max="52" width="9.28515625" style="1" customWidth="1"/>
    <col min="53" max="16384" width="9.28515625" style="1"/>
  </cols>
  <sheetData>
    <row r="1" spans="1:22" ht="26.25" customHeight="1" x14ac:dyDescent="0.35">
      <c r="A1" s="556" t="s">
        <v>160</v>
      </c>
      <c r="B1" s="557"/>
      <c r="C1" s="557"/>
      <c r="D1" s="432"/>
      <c r="F1" s="16" t="s">
        <v>161</v>
      </c>
      <c r="G1" s="16"/>
      <c r="H1" s="16"/>
      <c r="I1" s="16"/>
      <c r="J1" s="16"/>
      <c r="K1" s="16"/>
      <c r="L1" s="16"/>
      <c r="M1" s="17" t="s">
        <v>162</v>
      </c>
      <c r="N1" s="17" t="str">
        <f>IF($B$19="Non-risk","(Placeholder)",IF($B$19="Risk","Rating Period Start Date","(Type of Review not selected)"))</f>
        <v>(Type of Review not selected)</v>
      </c>
      <c r="O1" s="15" t="s">
        <v>163</v>
      </c>
    </row>
    <row r="2" spans="1:22" ht="19.5" hidden="1" customHeight="1" x14ac:dyDescent="0.2">
      <c r="A2" s="433"/>
      <c r="B2" s="182"/>
      <c r="C2" s="182"/>
      <c r="D2" s="434"/>
      <c r="F2" s="15" t="s">
        <v>164</v>
      </c>
      <c r="G2" s="15" t="s">
        <v>165</v>
      </c>
      <c r="H2" s="15" t="s">
        <v>166</v>
      </c>
      <c r="I2" s="15" t="s">
        <v>167</v>
      </c>
      <c r="J2" s="15" t="s">
        <v>168</v>
      </c>
      <c r="K2" s="15" t="s">
        <v>169</v>
      </c>
      <c r="L2" s="15" t="s">
        <v>170</v>
      </c>
      <c r="M2" s="15" t="str">
        <f>IF($B$6="Base contract","Base Contract Effective Date (Required, if not crosshatched)",IF($B$6="Streamlined","Base Contract Effective Date (Required, if not crosshatched)",IF($B$6="Contract amendment","Base Contract Effective Date (Required, if not crosshatched)","(Type of Review not selected) (Required, if not crosshatched)")))</f>
        <v>(Type of Review not selected) (Required, if not crosshatched)</v>
      </c>
      <c r="N2" s="17" t="str">
        <f>IF($B$19="Non-risk","(Placeholder)",IF($B$19="Risk","Rating Period End Date","(Type of Review not selected)"))</f>
        <v>(Type of Review not selected)</v>
      </c>
      <c r="O2" s="15" t="str">
        <f>IF($B$4="Both", "(Placeholder)", "Rating Period Start Date (Required, if not crosshatched)")</f>
        <v>(Placeholder)</v>
      </c>
    </row>
    <row r="3" spans="1:22" ht="46.5" customHeight="1" x14ac:dyDescent="0.25">
      <c r="A3" s="435" t="s">
        <v>107</v>
      </c>
      <c r="B3" s="426" t="s">
        <v>171</v>
      </c>
      <c r="C3" s="272" t="s">
        <v>172</v>
      </c>
      <c r="D3" s="436" t="s">
        <v>173</v>
      </c>
      <c r="F3" s="15" t="s">
        <v>174</v>
      </c>
      <c r="G3" s="18" t="s">
        <v>175</v>
      </c>
      <c r="H3" s="15" t="s">
        <v>176</v>
      </c>
      <c r="I3" s="15" t="s">
        <v>177</v>
      </c>
      <c r="J3" s="15" t="s">
        <v>178</v>
      </c>
      <c r="K3" s="15" t="s">
        <v>179</v>
      </c>
      <c r="L3" s="15" t="s">
        <v>180</v>
      </c>
      <c r="M3" s="15" t="str">
        <f>IF($B$6="Base contract","Base Contract End Date (Required, if not crosshatched)",IF($B$6="Streamlined","Base Contract End Date (Required, if not crosshatched)",IF(OR($B$6="Contract amendment","Streamlined"),"Base Contract End Date (Required, if not crosshatched)","(Type of Review not selected) (Required, if not crosshatched)")))</f>
        <v>(Type of Review not selected) (Required, if not crosshatched)</v>
      </c>
      <c r="O3" s="15" t="str">
        <f>IF($B$4="Both", "(Placeholder)", "Rating Period End Date (Required, if not crosshatched)")</f>
        <v>(Placeholder)</v>
      </c>
    </row>
    <row r="4" spans="1:22" ht="30.95" customHeight="1" x14ac:dyDescent="0.25">
      <c r="A4" s="531" t="s">
        <v>181</v>
      </c>
      <c r="B4" s="427" t="s">
        <v>2695</v>
      </c>
      <c r="C4" s="211"/>
      <c r="D4" s="526" t="s">
        <v>182</v>
      </c>
      <c r="G4" s="18" t="s">
        <v>183</v>
      </c>
      <c r="H4" s="15" t="s">
        <v>184</v>
      </c>
      <c r="J4" s="19" t="s">
        <v>185</v>
      </c>
      <c r="M4" s="15" t="str">
        <f>IF($B$6="Base contract","(Placeholder)",IF($B$6="Contract amendment","Contract Amendment Effective Date (Required, if not crosshatched)",IF($B$6="Streamlined","Contract Amendment Effective Date (Required, if not crosshatched)","(Type of Review not selected) (Required, if not crosshatched)")))</f>
        <v>(Type of Review not selected) (Required, if not crosshatched)</v>
      </c>
      <c r="Q4" s="142"/>
      <c r="R4" s="143"/>
      <c r="S4" s="143"/>
      <c r="T4" s="143"/>
      <c r="U4" s="143"/>
      <c r="V4" s="143"/>
    </row>
    <row r="5" spans="1:22" ht="16.5" customHeight="1" x14ac:dyDescent="0.2">
      <c r="A5" s="531" t="s">
        <v>186</v>
      </c>
      <c r="B5" s="428"/>
      <c r="C5" s="211"/>
      <c r="D5" s="527" t="s">
        <v>187</v>
      </c>
      <c r="G5" s="18" t="s">
        <v>188</v>
      </c>
      <c r="H5" s="15" t="s">
        <v>189</v>
      </c>
      <c r="J5" s="19" t="s">
        <v>190</v>
      </c>
      <c r="M5" s="15" t="str">
        <f>IF($B$6="Base contract","(Placeholder)",IF($B$6="Contract amendment","Contract Amendment End Date (Required, if not crosshatched)",IF($B$6="Streamlined","Contract Amendment End Date (Required, if not crosshatched)","(Type of Review not selected) (Required, if not crosshatched)")))</f>
        <v>(Type of Review not selected) (Required, if not crosshatched)</v>
      </c>
    </row>
    <row r="6" spans="1:22" ht="17.100000000000001" customHeight="1" x14ac:dyDescent="0.2">
      <c r="A6" s="531" t="s">
        <v>191</v>
      </c>
      <c r="B6" s="428"/>
      <c r="C6" s="211"/>
      <c r="D6" s="527" t="s">
        <v>192</v>
      </c>
      <c r="G6" s="18" t="s">
        <v>193</v>
      </c>
      <c r="H6" s="15" t="s">
        <v>194</v>
      </c>
      <c r="J6" s="19" t="s">
        <v>195</v>
      </c>
    </row>
    <row r="7" spans="1:22" ht="15" customHeight="1" x14ac:dyDescent="0.2">
      <c r="A7" s="531" t="s">
        <v>196</v>
      </c>
      <c r="B7" s="425"/>
      <c r="C7" s="211"/>
      <c r="D7" s="527" t="s">
        <v>197</v>
      </c>
      <c r="G7" s="18" t="s">
        <v>198</v>
      </c>
      <c r="H7" s="15" t="s">
        <v>199</v>
      </c>
      <c r="J7" s="19" t="s">
        <v>200</v>
      </c>
    </row>
    <row r="8" spans="1:22" ht="15" customHeight="1" x14ac:dyDescent="0.2">
      <c r="A8" s="531" t="s">
        <v>201</v>
      </c>
      <c r="B8" s="428"/>
      <c r="C8" s="211"/>
      <c r="D8" s="527" t="s">
        <v>202</v>
      </c>
      <c r="G8" s="18" t="s">
        <v>203</v>
      </c>
      <c r="H8" s="15" t="s">
        <v>184</v>
      </c>
      <c r="J8" s="19"/>
      <c r="M8" s="15" t="str">
        <f>IF(OR($B$4="Both"),"Both","Medicaid")</f>
        <v>Both</v>
      </c>
    </row>
    <row r="9" spans="1:22" ht="15" customHeight="1" x14ac:dyDescent="0.2">
      <c r="A9" s="531" t="s">
        <v>204</v>
      </c>
      <c r="B9" s="428"/>
      <c r="C9" s="211"/>
      <c r="D9" s="527" t="s">
        <v>205</v>
      </c>
      <c r="G9" s="18" t="s">
        <v>206</v>
      </c>
      <c r="J9" s="15" t="s">
        <v>207</v>
      </c>
    </row>
    <row r="10" spans="1:22" ht="18.75" customHeight="1" x14ac:dyDescent="0.2">
      <c r="A10" s="532" t="s">
        <v>208</v>
      </c>
      <c r="B10" s="427"/>
      <c r="C10" s="211"/>
      <c r="D10" s="527" t="s">
        <v>209</v>
      </c>
      <c r="G10" s="15" t="s">
        <v>210</v>
      </c>
      <c r="J10" s="15" t="s">
        <v>211</v>
      </c>
    </row>
    <row r="11" spans="1:22" ht="28.5" customHeight="1" x14ac:dyDescent="0.2">
      <c r="A11" s="531" t="s">
        <v>212</v>
      </c>
      <c r="B11" s="425"/>
      <c r="C11" s="211"/>
      <c r="D11" s="527" t="s">
        <v>213</v>
      </c>
      <c r="G11" s="18" t="s">
        <v>214</v>
      </c>
      <c r="Q11" s="424"/>
      <c r="R11" s="424"/>
      <c r="S11" s="424"/>
      <c r="T11" s="424"/>
    </row>
    <row r="12" spans="1:22" ht="26.1" customHeight="1" x14ac:dyDescent="0.2">
      <c r="A12" s="531" t="s">
        <v>215</v>
      </c>
      <c r="B12" s="429"/>
      <c r="C12" s="211"/>
      <c r="D12" s="527" t="s">
        <v>216</v>
      </c>
      <c r="G12" s="18" t="s">
        <v>217</v>
      </c>
    </row>
    <row r="13" spans="1:22" ht="15" x14ac:dyDescent="0.25">
      <c r="A13" s="531" t="s">
        <v>218</v>
      </c>
      <c r="B13" s="428" t="s">
        <v>207</v>
      </c>
      <c r="C13" s="211"/>
      <c r="D13" s="186" t="s">
        <v>219</v>
      </c>
      <c r="G13" s="18" t="s">
        <v>220</v>
      </c>
      <c r="Q13" s="142"/>
      <c r="R13" s="143"/>
      <c r="S13" s="143"/>
      <c r="T13" s="143"/>
      <c r="U13" s="143"/>
      <c r="V13" s="143"/>
    </row>
    <row r="14" spans="1:22" ht="25.5" x14ac:dyDescent="0.2">
      <c r="A14" s="531" t="s">
        <v>221</v>
      </c>
      <c r="B14" s="425"/>
      <c r="C14" s="211"/>
      <c r="D14" s="186" t="s">
        <v>222</v>
      </c>
      <c r="G14" s="18" t="s">
        <v>223</v>
      </c>
      <c r="S14" s="1" t="s">
        <v>224</v>
      </c>
    </row>
    <row r="15" spans="1:22" ht="26.1" customHeight="1" x14ac:dyDescent="0.25">
      <c r="A15" s="531" t="s">
        <v>225</v>
      </c>
      <c r="B15" s="425"/>
      <c r="C15" s="211"/>
      <c r="D15" s="186" t="s">
        <v>226</v>
      </c>
      <c r="G15" s="18" t="s">
        <v>227</v>
      </c>
      <c r="H15" s="20"/>
    </row>
    <row r="16" spans="1:22" ht="25.5" x14ac:dyDescent="0.25">
      <c r="A16" s="531" t="s">
        <v>228</v>
      </c>
      <c r="B16" s="425"/>
      <c r="C16" s="211"/>
      <c r="D16" s="186" t="s">
        <v>229</v>
      </c>
      <c r="G16" s="18" t="s">
        <v>230</v>
      </c>
      <c r="H16" s="20"/>
    </row>
    <row r="17" spans="1:21" ht="25.5" x14ac:dyDescent="0.2">
      <c r="A17" s="531" t="s">
        <v>231</v>
      </c>
      <c r="B17" s="425"/>
      <c r="C17" s="211"/>
      <c r="D17" s="186" t="s">
        <v>232</v>
      </c>
      <c r="G17" s="18" t="s">
        <v>233</v>
      </c>
      <c r="U17" s="1" t="s">
        <v>224</v>
      </c>
    </row>
    <row r="18" spans="1:21" ht="15" customHeight="1" x14ac:dyDescent="0.25">
      <c r="A18" s="531" t="s">
        <v>234</v>
      </c>
      <c r="B18" s="425"/>
      <c r="C18" s="211"/>
      <c r="D18" s="186" t="s">
        <v>235</v>
      </c>
      <c r="E18" s="21"/>
      <c r="G18" s="18" t="s">
        <v>236</v>
      </c>
      <c r="J18" s="20"/>
      <c r="M18" s="15" t="s">
        <v>207</v>
      </c>
    </row>
    <row r="19" spans="1:21" ht="25.5" x14ac:dyDescent="0.25">
      <c r="A19" s="531" t="s">
        <v>237</v>
      </c>
      <c r="B19" s="428"/>
      <c r="C19" s="211"/>
      <c r="D19" s="527" t="s">
        <v>238</v>
      </c>
      <c r="F19" s="20"/>
      <c r="G19" s="18" t="s">
        <v>239</v>
      </c>
      <c r="H19" s="20"/>
      <c r="I19" s="20"/>
      <c r="J19" s="21"/>
      <c r="M19" s="15" t="s">
        <v>211</v>
      </c>
    </row>
    <row r="20" spans="1:21" ht="15" x14ac:dyDescent="0.25">
      <c r="A20" s="531" t="s">
        <v>240</v>
      </c>
      <c r="B20" s="428"/>
      <c r="C20" s="211"/>
      <c r="D20" s="527" t="s">
        <v>241</v>
      </c>
      <c r="F20" s="20"/>
      <c r="G20" s="18" t="s">
        <v>242</v>
      </c>
      <c r="H20" s="20"/>
      <c r="I20" s="21"/>
      <c r="J20" s="21"/>
      <c r="K20" s="20"/>
      <c r="L20" s="20"/>
    </row>
    <row r="21" spans="1:21" ht="15" x14ac:dyDescent="0.25">
      <c r="A21" s="531" t="str">
        <f>M2</f>
        <v>(Type of Review not selected) (Required, if not crosshatched)</v>
      </c>
      <c r="B21" s="430"/>
      <c r="C21" s="211"/>
      <c r="D21" s="527" t="s">
        <v>243</v>
      </c>
      <c r="F21" s="20"/>
      <c r="G21" s="18" t="s">
        <v>244</v>
      </c>
      <c r="H21" s="20"/>
      <c r="I21" s="20"/>
      <c r="J21" s="20"/>
      <c r="K21" s="20"/>
      <c r="L21" s="21"/>
      <c r="M21" s="15" t="s">
        <v>245</v>
      </c>
    </row>
    <row r="22" spans="1:21" ht="15" x14ac:dyDescent="0.25">
      <c r="A22" s="531" t="str">
        <f>M3</f>
        <v>(Type of Review not selected) (Required, if not crosshatched)</v>
      </c>
      <c r="B22" s="430"/>
      <c r="C22" s="211"/>
      <c r="D22" s="528" t="s">
        <v>246</v>
      </c>
      <c r="F22" s="20"/>
      <c r="G22" s="18" t="s">
        <v>247</v>
      </c>
      <c r="H22" s="21"/>
      <c r="I22" s="20"/>
      <c r="J22" s="20"/>
      <c r="K22" s="20"/>
      <c r="L22" s="20"/>
      <c r="M22" s="15" t="s">
        <v>248</v>
      </c>
      <c r="R22" s="1" t="s">
        <v>224</v>
      </c>
    </row>
    <row r="23" spans="1:21" ht="15" x14ac:dyDescent="0.25">
      <c r="A23" s="531" t="str">
        <f>M4</f>
        <v>(Type of Review not selected) (Required, if not crosshatched)</v>
      </c>
      <c r="B23" s="425"/>
      <c r="C23" s="211"/>
      <c r="D23" s="529" t="s">
        <v>249</v>
      </c>
      <c r="E23" s="21"/>
      <c r="F23" s="20"/>
      <c r="G23" s="18" t="s">
        <v>250</v>
      </c>
      <c r="H23" s="21"/>
      <c r="I23" s="20"/>
      <c r="J23" s="21"/>
      <c r="K23" s="20"/>
      <c r="L23" s="20"/>
    </row>
    <row r="24" spans="1:21" ht="20.100000000000001" customHeight="1" x14ac:dyDescent="0.25">
      <c r="A24" s="531" t="str">
        <f>M5</f>
        <v>(Type of Review not selected) (Required, if not crosshatched)</v>
      </c>
      <c r="B24" s="425"/>
      <c r="C24" s="431"/>
      <c r="D24" s="530" t="s">
        <v>251</v>
      </c>
      <c r="F24" s="20"/>
      <c r="G24" s="18" t="s">
        <v>252</v>
      </c>
      <c r="H24" s="20"/>
      <c r="I24" s="21"/>
      <c r="J24" s="20"/>
      <c r="K24" s="20"/>
      <c r="L24" s="20"/>
    </row>
    <row r="25" spans="1:21" ht="27" customHeight="1" x14ac:dyDescent="0.25">
      <c r="A25" s="531" t="s">
        <v>253</v>
      </c>
      <c r="B25" s="429"/>
      <c r="C25" s="211"/>
      <c r="D25" s="527" t="s">
        <v>254</v>
      </c>
      <c r="F25" s="20"/>
      <c r="G25" s="18" t="s">
        <v>255</v>
      </c>
      <c r="H25" s="20"/>
      <c r="I25" s="21"/>
      <c r="J25" s="20"/>
      <c r="K25" s="20"/>
      <c r="L25" s="20"/>
    </row>
    <row r="26" spans="1:21" ht="20.100000000000001" customHeight="1" x14ac:dyDescent="0.25">
      <c r="A26" s="531" t="s">
        <v>256</v>
      </c>
      <c r="B26" s="429"/>
      <c r="C26" s="211"/>
      <c r="D26" s="530" t="s">
        <v>257</v>
      </c>
      <c r="F26" s="20"/>
      <c r="G26" s="18" t="s">
        <v>258</v>
      </c>
      <c r="H26" s="20"/>
      <c r="I26" s="21"/>
      <c r="J26" s="20"/>
      <c r="K26" s="20"/>
      <c r="L26" s="20"/>
    </row>
    <row r="27" spans="1:21" ht="30.95" customHeight="1" x14ac:dyDescent="0.25">
      <c r="A27" s="533" t="s">
        <v>259</v>
      </c>
      <c r="B27" s="425"/>
      <c r="C27" s="211"/>
      <c r="D27" s="527" t="s">
        <v>260</v>
      </c>
      <c r="F27" s="20"/>
      <c r="G27" s="18" t="s">
        <v>261</v>
      </c>
      <c r="H27" s="20"/>
      <c r="I27" s="21"/>
      <c r="J27" s="20"/>
      <c r="K27" s="20"/>
      <c r="L27" s="20"/>
    </row>
    <row r="28" spans="1:21" ht="15" x14ac:dyDescent="0.25">
      <c r="A28" s="533" t="s">
        <v>262</v>
      </c>
      <c r="B28" s="425"/>
      <c r="C28" s="211"/>
      <c r="D28" s="530" t="s">
        <v>263</v>
      </c>
      <c r="F28" s="21"/>
      <c r="G28" s="18" t="s">
        <v>264</v>
      </c>
      <c r="H28" s="20"/>
      <c r="J28" s="20"/>
      <c r="K28" s="20"/>
      <c r="L28" s="20"/>
    </row>
    <row r="29" spans="1:21" ht="15.75" thickBot="1" x14ac:dyDescent="0.3">
      <c r="A29" s="534" t="s">
        <v>265</v>
      </c>
      <c r="B29" s="437"/>
      <c r="C29" s="438"/>
      <c r="D29" s="527" t="s">
        <v>266</v>
      </c>
      <c r="F29" s="21"/>
      <c r="G29" s="18" t="s">
        <v>267</v>
      </c>
      <c r="H29" s="20"/>
      <c r="J29" s="20"/>
      <c r="K29" s="20"/>
      <c r="L29" s="20"/>
    </row>
    <row r="30" spans="1:21" ht="15" x14ac:dyDescent="0.25">
      <c r="A30" s="182"/>
      <c r="B30" s="425"/>
      <c r="C30" s="211"/>
      <c r="D30" s="211"/>
      <c r="F30" s="21"/>
      <c r="G30" s="18" t="s">
        <v>268</v>
      </c>
      <c r="H30" s="20"/>
      <c r="J30" s="20"/>
      <c r="K30" s="20"/>
      <c r="L30" s="20"/>
    </row>
    <row r="31" spans="1:21" ht="15.75" thickBot="1" x14ac:dyDescent="0.3">
      <c r="A31" s="535" t="s">
        <v>121</v>
      </c>
      <c r="B31" s="536" t="s">
        <v>269</v>
      </c>
      <c r="C31" s="208" t="s">
        <v>270</v>
      </c>
      <c r="D31" s="209"/>
      <c r="F31" s="20"/>
      <c r="G31" s="18" t="s">
        <v>271</v>
      </c>
      <c r="J31" s="20"/>
      <c r="K31" s="20"/>
      <c r="L31" s="20"/>
    </row>
    <row r="32" spans="1:21" ht="36.75" x14ac:dyDescent="0.25">
      <c r="A32" s="537"/>
      <c r="B32" s="538" t="s">
        <v>272</v>
      </c>
      <c r="C32" s="210"/>
      <c r="D32" s="211"/>
      <c r="F32" s="21"/>
      <c r="G32" s="15" t="s">
        <v>273</v>
      </c>
      <c r="K32" s="20"/>
      <c r="L32" s="20"/>
    </row>
    <row r="33" spans="1:12" ht="15" x14ac:dyDescent="0.25">
      <c r="A33" s="539" t="s">
        <v>274</v>
      </c>
      <c r="B33" s="524" t="str">
        <f>'A. Completeness'!$H$3</f>
        <v>Not Started</v>
      </c>
      <c r="C33" s="212"/>
      <c r="D33" s="211"/>
      <c r="F33" s="21"/>
      <c r="G33" s="15" t="s">
        <v>275</v>
      </c>
      <c r="K33" s="20"/>
      <c r="L33" s="20"/>
    </row>
    <row r="34" spans="1:12" ht="15" x14ac:dyDescent="0.25">
      <c r="A34" s="539" t="s">
        <v>276</v>
      </c>
      <c r="B34" s="524" t="str">
        <f>'B. Enrollment &amp; Disenrollment'!H3</f>
        <v>Not Started</v>
      </c>
      <c r="C34" s="212"/>
      <c r="D34" s="211"/>
      <c r="F34" s="21"/>
      <c r="G34" s="15" t="s">
        <v>277</v>
      </c>
      <c r="K34" s="20"/>
      <c r="L34" s="20"/>
    </row>
    <row r="35" spans="1:12" ht="15" x14ac:dyDescent="0.25">
      <c r="A35" s="539" t="s">
        <v>278</v>
      </c>
      <c r="B35" s="524" t="str">
        <f>'C. Beneficiary Notification'!$H$3</f>
        <v>Not Started</v>
      </c>
      <c r="C35" s="212"/>
      <c r="D35" s="211"/>
      <c r="F35" s="21"/>
      <c r="G35" s="15" t="s">
        <v>279</v>
      </c>
      <c r="K35" s="20"/>
      <c r="L35" s="20"/>
    </row>
    <row r="36" spans="1:12" ht="15" x14ac:dyDescent="0.25">
      <c r="A36" s="540" t="s">
        <v>280</v>
      </c>
      <c r="B36" s="524" t="str">
        <f>'D. Payment'!$H$3</f>
        <v>Not Started</v>
      </c>
      <c r="C36" s="212"/>
      <c r="D36" s="211"/>
      <c r="F36" s="21"/>
      <c r="G36" s="15" t="s">
        <v>281</v>
      </c>
      <c r="K36" s="20"/>
      <c r="L36" s="20"/>
    </row>
    <row r="37" spans="1:12" ht="15" x14ac:dyDescent="0.25">
      <c r="A37" s="540" t="s">
        <v>282</v>
      </c>
      <c r="B37" s="524" t="str">
        <f>'E. Providers &amp; Network'!H3</f>
        <v>Not Started</v>
      </c>
      <c r="C37" s="212"/>
      <c r="D37" s="211"/>
      <c r="F37" s="21"/>
      <c r="G37" s="18" t="s">
        <v>283</v>
      </c>
      <c r="K37" s="20"/>
      <c r="L37" s="20"/>
    </row>
    <row r="38" spans="1:12" ht="15" x14ac:dyDescent="0.25">
      <c r="A38" s="540" t="s">
        <v>284</v>
      </c>
      <c r="B38" s="524" t="str">
        <f>'F. Coverage'!H3</f>
        <v>Not Started</v>
      </c>
      <c r="C38" s="212"/>
      <c r="D38" s="213"/>
      <c r="F38" s="21"/>
      <c r="G38" s="18" t="s">
        <v>285</v>
      </c>
      <c r="K38" s="21"/>
      <c r="L38" s="20"/>
    </row>
    <row r="39" spans="1:12" ht="15" x14ac:dyDescent="0.25">
      <c r="A39" s="540" t="s">
        <v>286</v>
      </c>
      <c r="B39" s="524" t="str">
        <f>'G. Quality and UM'!H3</f>
        <v>Not Started</v>
      </c>
      <c r="C39" s="212"/>
      <c r="D39" s="213"/>
      <c r="F39" s="20"/>
      <c r="G39" s="18" t="s">
        <v>287</v>
      </c>
      <c r="K39" s="20"/>
      <c r="L39" s="20"/>
    </row>
    <row r="40" spans="1:12" ht="15" customHeight="1" x14ac:dyDescent="0.25">
      <c r="A40" s="531" t="s">
        <v>288</v>
      </c>
      <c r="B40" s="524" t="str">
        <f>'H. Grievances and Appeals'!H3</f>
        <v>Not Started</v>
      </c>
      <c r="C40" s="212"/>
      <c r="D40" s="213"/>
      <c r="F40" s="20"/>
      <c r="G40" s="18" t="s">
        <v>289</v>
      </c>
    </row>
    <row r="41" spans="1:12" x14ac:dyDescent="0.2">
      <c r="A41" s="531" t="s">
        <v>290</v>
      </c>
      <c r="B41" s="524" t="str">
        <f>'I. Program Integrity'!H3</f>
        <v>Not Started</v>
      </c>
      <c r="C41" s="214"/>
      <c r="D41" s="182"/>
      <c r="G41" s="18" t="s">
        <v>291</v>
      </c>
    </row>
    <row r="42" spans="1:12" x14ac:dyDescent="0.2">
      <c r="A42" s="531" t="s">
        <v>292</v>
      </c>
      <c r="B42" s="524" t="str">
        <f>'J. General Terms and Conditions'!H3</f>
        <v>Not Started</v>
      </c>
      <c r="C42" s="214"/>
      <c r="D42" s="182"/>
      <c r="G42" s="18" t="s">
        <v>293</v>
      </c>
    </row>
    <row r="43" spans="1:12" ht="13.5" thickBot="1" x14ac:dyDescent="0.25">
      <c r="A43" s="541" t="s">
        <v>294</v>
      </c>
      <c r="B43" s="525" t="str">
        <f>'K. Health Information Systems'!H3</f>
        <v>Not Started</v>
      </c>
      <c r="C43" s="215"/>
      <c r="D43" s="182"/>
      <c r="G43" s="22" t="s">
        <v>295</v>
      </c>
    </row>
    <row r="44" spans="1:12" ht="12.75" hidden="1" customHeight="1" x14ac:dyDescent="0.2">
      <c r="A44" s="175" t="s">
        <v>296</v>
      </c>
      <c r="B44" s="176"/>
      <c r="C44" s="13"/>
      <c r="G44" s="22" t="s">
        <v>297</v>
      </c>
    </row>
    <row r="45" spans="1:12" hidden="1" x14ac:dyDescent="0.2">
      <c r="A45" s="1" t="s">
        <v>298</v>
      </c>
      <c r="G45" s="22" t="s">
        <v>299</v>
      </c>
    </row>
    <row r="46" spans="1:12" ht="12.75" customHeight="1" x14ac:dyDescent="0.2">
      <c r="G46" s="22" t="s">
        <v>300</v>
      </c>
    </row>
    <row r="47" spans="1:12" x14ac:dyDescent="0.2">
      <c r="G47" s="22" t="s">
        <v>301</v>
      </c>
    </row>
    <row r="48" spans="1:12" ht="12.75" customHeight="1" x14ac:dyDescent="0.2">
      <c r="G48" s="18" t="s">
        <v>302</v>
      </c>
    </row>
    <row r="49" spans="7:7" ht="12" customHeight="1" x14ac:dyDescent="0.2">
      <c r="G49" s="18" t="s">
        <v>303</v>
      </c>
    </row>
    <row r="50" spans="7:7" ht="13.5" customHeight="1" x14ac:dyDescent="0.2">
      <c r="G50" s="18" t="s">
        <v>304</v>
      </c>
    </row>
    <row r="51" spans="7:7" ht="13.5" customHeight="1" x14ac:dyDescent="0.2">
      <c r="G51" s="18" t="s">
        <v>305</v>
      </c>
    </row>
    <row r="52" spans="7:7" ht="13.5" customHeight="1" x14ac:dyDescent="0.2">
      <c r="G52" s="18" t="s">
        <v>306</v>
      </c>
    </row>
    <row r="53" spans="7:7" ht="13.5" customHeight="1" x14ac:dyDescent="0.2">
      <c r="G53" s="18" t="s">
        <v>307</v>
      </c>
    </row>
    <row r="54" spans="7:7" ht="13.5" customHeight="1" x14ac:dyDescent="0.2">
      <c r="G54" s="18" t="s">
        <v>308</v>
      </c>
    </row>
    <row r="55" spans="7:7" ht="13.5" customHeight="1" x14ac:dyDescent="0.2">
      <c r="G55" s="18"/>
    </row>
    <row r="56" spans="7:7" ht="13.5" customHeight="1" x14ac:dyDescent="0.2"/>
    <row r="57" spans="7:7" ht="13.5" customHeight="1" x14ac:dyDescent="0.2"/>
    <row r="58" spans="7:7" ht="13.5" customHeight="1" x14ac:dyDescent="0.2"/>
    <row r="59" spans="7:7" ht="13.5" customHeight="1" x14ac:dyDescent="0.2"/>
    <row r="60" spans="7:7" ht="13.5" customHeight="1" x14ac:dyDescent="0.2"/>
    <row r="61" spans="7:7" ht="13.5" customHeight="1" x14ac:dyDescent="0.2"/>
    <row r="66" spans="6:6" x14ac:dyDescent="0.2">
      <c r="F66" s="15" t="s">
        <v>309</v>
      </c>
    </row>
  </sheetData>
  <sheetProtection algorithmName="SHA-512" hashValue="FyJwwT0fK0Ey+plraMC7JrI0qw35ekmIAR4GYwiufPpvJghgZpu2tc0ci5G6jibF2ZoUDD7jPOMdpDaOmMJmPA==" saltValue="T7iZMr5fw8o1sbAtJoC8pQ==" spinCount="100000" sheet="1" formatColumns="0" formatRows="0"/>
  <mergeCells count="1">
    <mergeCell ref="A1:C1"/>
  </mergeCells>
  <conditionalFormatting sqref="A21:B21">
    <cfRule type="expression" dxfId="248" priority="79">
      <formula>$A$21="(Placeholder)"</formula>
    </cfRule>
  </conditionalFormatting>
  <conditionalFormatting sqref="A22:B22">
    <cfRule type="expression" dxfId="247" priority="78">
      <formula>$A$21="(Placeholder)"</formula>
    </cfRule>
  </conditionalFormatting>
  <conditionalFormatting sqref="A10:B10">
    <cfRule type="expression" dxfId="246" priority="53">
      <formula>$B$4="CHIP"</formula>
    </cfRule>
  </conditionalFormatting>
  <conditionalFormatting sqref="B21">
    <cfRule type="expression" dxfId="245" priority="17">
      <formula>$A$21="(Placeholder)"</formula>
    </cfRule>
  </conditionalFormatting>
  <conditionalFormatting sqref="B22">
    <cfRule type="expression" dxfId="244" priority="16">
      <formula>$A$21="(Placeholder)"</formula>
    </cfRule>
  </conditionalFormatting>
  <conditionalFormatting sqref="B10">
    <cfRule type="expression" dxfId="243" priority="13">
      <formula>$B$4="CHIP"</formula>
    </cfRule>
  </conditionalFormatting>
  <conditionalFormatting sqref="A23:B23">
    <cfRule type="expression" dxfId="242" priority="11">
      <formula>$B$6="Base contract"</formula>
    </cfRule>
  </conditionalFormatting>
  <conditionalFormatting sqref="A24:B24">
    <cfRule type="expression" dxfId="241" priority="10">
      <formula>$B$6="Base contract"</formula>
    </cfRule>
  </conditionalFormatting>
  <conditionalFormatting sqref="A19:D19">
    <cfRule type="expression" dxfId="240" priority="1">
      <formula>IF(AND($B$13="No",$B$14="No",$B$15="No",$B$16="No",$B$17="No",$B$18="Yes"),TRUE,FALSE)</formula>
    </cfRule>
  </conditionalFormatting>
  <dataValidations count="10">
    <dataValidation type="list" allowBlank="1" showInputMessage="1" showErrorMessage="1" sqref="B6" xr:uid="{00000000-0002-0000-0000-000000000000}">
      <formula1>$F$2:$F$3</formula1>
    </dataValidation>
    <dataValidation type="list" allowBlank="1" showInputMessage="1" showErrorMessage="1" sqref="B10" xr:uid="{00000000-0002-0000-0000-000001000000}">
      <formula1>$H$2:$H$6</formula1>
    </dataValidation>
    <dataValidation type="list" allowBlank="1" showInputMessage="1" showErrorMessage="1" sqref="B19" xr:uid="{00000000-0002-0000-0000-000004000000}">
      <formula1>$L$2:$L$3</formula1>
    </dataValidation>
    <dataValidation type="list" allowBlank="1" showInputMessage="1" showErrorMessage="1" sqref="B20" xr:uid="{00000000-0002-0000-0000-000005000000}">
      <formula1>$I$2:$I$3</formula1>
    </dataValidation>
    <dataValidation type="list" allowBlank="1" showInputMessage="1" showErrorMessage="1" sqref="B4" xr:uid="{00000000-0002-0000-0000-000006000000}">
      <formula1>"Medicaid,Both"</formula1>
    </dataValidation>
    <dataValidation allowBlank="1" showErrorMessage="1" promptTitle="select value" prompt="please select value" sqref="G8:G9 G11:G14" xr:uid="{00000000-0002-0000-0000-000007000000}"/>
    <dataValidation type="list" allowBlank="1" showInputMessage="1" showErrorMessage="1" sqref="B27:B28" xr:uid="{E5428AFA-E8A0-4C87-BB04-2B947A2C5D37}">
      <formula1>$M$18:$M$19</formula1>
    </dataValidation>
    <dataValidation type="list" allowBlank="1" showInputMessage="1" showErrorMessage="1" sqref="B13:B18" xr:uid="{00000000-0002-0000-0000-000003000000}">
      <formula1>$J$9:$J$10</formula1>
    </dataValidation>
    <dataValidation type="list" allowBlank="1" showInputMessage="1" showErrorMessage="1" sqref="B29" xr:uid="{7F65E978-D30B-4068-961F-B29A8569837D}">
      <formula1>$M$21:$M$22</formula1>
    </dataValidation>
    <dataValidation type="list" allowBlank="1" showInputMessage="1" showErrorMessage="1" sqref="B8" xr:uid="{00000000-0002-0000-0000-000009000000}">
      <formula1>$G$3:$G$54</formula1>
    </dataValidation>
  </dataValidations>
  <pageMargins left="0.25" right="0.25" top="0.75" bottom="0.75" header="0.3" footer="0.3"/>
  <pageSetup orientation="landscape" horizontalDpi="4294967293" verticalDpi="4294967293" r:id="rId1"/>
  <legacyDrawing r:id="rId2"/>
  <tableParts count="3">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BF301"/>
  <sheetViews>
    <sheetView topLeftCell="A13" zoomScale="70" zoomScaleNormal="70" workbookViewId="0">
      <selection activeCell="I1" sqref="I1:BF1048576"/>
    </sheetView>
  </sheetViews>
  <sheetFormatPr defaultColWidth="9.28515625" defaultRowHeight="15" x14ac:dyDescent="0.25"/>
  <cols>
    <col min="1" max="1" width="9" customWidth="1"/>
    <col min="2" max="2" width="17.5703125" style="7" customWidth="1"/>
    <col min="3" max="3" width="73.5703125" style="152" customWidth="1"/>
    <col min="4" max="4" width="9.7109375" style="8" customWidth="1"/>
    <col min="5" max="5" width="8.7109375" style="10" customWidth="1"/>
    <col min="6" max="6" width="13.28515625" style="12" customWidth="1"/>
    <col min="7" max="7" width="25" style="12" customWidth="1"/>
    <col min="8" max="8" width="26.140625" style="12" customWidth="1"/>
    <col min="9" max="9" width="26.7109375" style="141" hidden="1" customWidth="1"/>
    <col min="10" max="10" width="9.5703125" style="139" hidden="1" customWidth="1"/>
    <col min="11" max="12" width="6.28515625" style="139" hidden="1" customWidth="1"/>
    <col min="13" max="13" width="12.5703125" style="138" hidden="1" customWidth="1"/>
    <col min="14" max="14" width="6.7109375" style="116" hidden="1" customWidth="1"/>
    <col min="15" max="15" width="8" style="116" hidden="1" customWidth="1"/>
    <col min="16" max="16" width="15.42578125" style="116" hidden="1" customWidth="1"/>
    <col min="17" max="17" width="9.5703125" style="116" hidden="1" customWidth="1"/>
    <col min="18" max="18" width="8.42578125" style="116" hidden="1" customWidth="1"/>
    <col min="19" max="20" width="13.5703125" style="123" hidden="1" customWidth="1"/>
    <col min="21" max="31" width="32.28515625" style="124" hidden="1" customWidth="1"/>
    <col min="32" max="32" width="31.7109375" style="116" hidden="1" customWidth="1"/>
    <col min="33" max="33" width="18.42578125" style="116" hidden="1" customWidth="1"/>
    <col min="34" max="35" width="34.7109375" style="116" hidden="1" customWidth="1"/>
    <col min="36" max="38" width="24" style="116" hidden="1" customWidth="1"/>
    <col min="39" max="39" width="26.5703125" style="90" hidden="1" customWidth="1"/>
    <col min="40" max="40" width="38.7109375" style="85" hidden="1" customWidth="1"/>
    <col min="41" max="41" width="55.7109375" style="85" hidden="1" customWidth="1"/>
    <col min="42" max="42" width="33.28515625" style="100" hidden="1" customWidth="1"/>
    <col min="43" max="43" width="45.7109375" style="85" hidden="1" customWidth="1"/>
    <col min="44" max="44" width="56.42578125" style="85" hidden="1" customWidth="1"/>
    <col min="45" max="45" width="19.28515625" style="69" hidden="1" customWidth="1"/>
    <col min="46" max="46" width="33.28515625" style="69" hidden="1" customWidth="1"/>
    <col min="47" max="47" width="36.28515625" style="69" hidden="1" customWidth="1"/>
    <col min="48" max="48" width="19" style="69" hidden="1" customWidth="1"/>
    <col min="49" max="52" width="35.28515625" style="69" hidden="1" customWidth="1"/>
    <col min="53" max="53" width="39.28515625" style="69" hidden="1" customWidth="1"/>
    <col min="54" max="54" width="43.5703125" style="69" hidden="1" customWidth="1"/>
    <col min="55" max="55" width="62.7109375" style="69" hidden="1" customWidth="1"/>
    <col min="56" max="56" width="9.28515625" hidden="1" customWidth="1"/>
    <col min="57" max="57" width="14.5703125" style="5" hidden="1" customWidth="1"/>
    <col min="58" max="58" width="9.28515625" hidden="1" customWidth="1"/>
    <col min="59" max="242" width="9.28515625" customWidth="1"/>
  </cols>
  <sheetData>
    <row r="1" spans="1:58" ht="21.75" customHeight="1" thickBot="1" x14ac:dyDescent="0.3">
      <c r="A1" s="573" t="s">
        <v>310</v>
      </c>
      <c r="B1" s="574"/>
      <c r="C1" s="574"/>
      <c r="D1" s="574"/>
      <c r="E1" s="574"/>
      <c r="F1" s="574"/>
      <c r="G1" s="216"/>
      <c r="H1" s="217"/>
      <c r="I1" s="25"/>
      <c r="J1" s="26" t="s">
        <v>311</v>
      </c>
      <c r="K1" s="27"/>
      <c r="L1" s="27" t="s">
        <v>207</v>
      </c>
      <c r="M1" s="28" t="b">
        <f>IF($C$2="Base contract","Blist",IF($C$2="Contract Amendment","Alist"))</f>
        <v>0</v>
      </c>
      <c r="N1" s="53"/>
      <c r="O1" s="29"/>
      <c r="P1" s="53"/>
      <c r="Q1" s="53"/>
      <c r="R1" s="53"/>
      <c r="S1" s="30"/>
      <c r="T1" s="30"/>
      <c r="U1" s="38"/>
      <c r="V1" s="101" t="s">
        <v>312</v>
      </c>
      <c r="W1" s="545"/>
      <c r="X1" s="545"/>
      <c r="Y1" s="545"/>
      <c r="Z1" s="581" t="s">
        <v>313</v>
      </c>
      <c r="AA1" s="582"/>
      <c r="AB1" s="582"/>
      <c r="AC1" s="582"/>
      <c r="AD1" s="582"/>
      <c r="AE1" s="582"/>
      <c r="AF1" s="546"/>
      <c r="AG1" s="53"/>
      <c r="AH1" s="65" t="s">
        <v>314</v>
      </c>
      <c r="AI1" s="115" t="s">
        <v>315</v>
      </c>
      <c r="AJ1" s="55" t="s">
        <v>253</v>
      </c>
      <c r="AK1" s="546" t="s">
        <v>316</v>
      </c>
      <c r="AL1" s="102" t="s">
        <v>317</v>
      </c>
      <c r="AM1" s="53"/>
      <c r="AN1" s="546"/>
      <c r="AO1" s="46"/>
      <c r="AP1" s="46" t="s">
        <v>318</v>
      </c>
      <c r="AQ1" s="38"/>
      <c r="AR1" s="38"/>
      <c r="AS1" s="56"/>
      <c r="AT1" s="56"/>
      <c r="AV1" s="69" t="s">
        <v>319</v>
      </c>
      <c r="BD1" s="149"/>
    </row>
    <row r="2" spans="1:58" ht="16.5" customHeight="1" x14ac:dyDescent="0.25">
      <c r="A2" s="578" t="s">
        <v>320</v>
      </c>
      <c r="B2" s="579"/>
      <c r="C2" s="549">
        <f>'Cover Sheet'!B6</f>
        <v>0</v>
      </c>
      <c r="D2" s="218"/>
      <c r="E2" s="219"/>
      <c r="F2" s="220"/>
      <c r="G2" s="221" t="s">
        <v>321</v>
      </c>
      <c r="H2" s="222" t="str">
        <f>I2</f>
        <v>Not Started</v>
      </c>
      <c r="I2" s="25" t="str">
        <f>IF(OR($C$3="Yes, section requirements are not applicable",$C$3="Yes, all requirements on the sheet are crosshatched"),"Section Review N/A",IF((COUNTA(A9:A32)+COUNTBLANK(A9:A32)=COUNTBLANK(E9:E32)),"Not Started",IF((COUNTA(A9:A32)&gt;SUM(U9:U32)),"In Progress","Section Review Complete")))</f>
        <v>Not Started</v>
      </c>
      <c r="J2" s="25" t="s">
        <v>322</v>
      </c>
      <c r="K2" s="27" t="s">
        <v>323</v>
      </c>
      <c r="L2" s="27" t="s">
        <v>211</v>
      </c>
      <c r="M2" s="28"/>
      <c r="N2" s="53"/>
      <c r="O2" s="29"/>
      <c r="P2" s="53"/>
      <c r="Q2" s="53"/>
      <c r="R2" s="53"/>
      <c r="S2" s="30"/>
      <c r="T2" s="30"/>
      <c r="U2" s="38"/>
      <c r="V2" s="58">
        <f>'Cover Sheet'!B19</f>
        <v>0</v>
      </c>
      <c r="W2" s="59"/>
      <c r="X2" s="59"/>
      <c r="Y2" s="59"/>
      <c r="Z2" s="54" t="str">
        <f>IF('Cover Sheet'!$B$13="Yes","MCO","--")</f>
        <v>MCO</v>
      </c>
      <c r="AA2" s="54" t="str">
        <f>IF('Cover Sheet'!$B$14="Yes","HIO","--")</f>
        <v>--</v>
      </c>
      <c r="AB2" s="54" t="str">
        <f>IF('Cover Sheet'!$B$15="Yes","PIHP","--")</f>
        <v>--</v>
      </c>
      <c r="AC2" s="54" t="str">
        <f>IF('Cover Sheet'!$B$16="Yes","PAHP","--")</f>
        <v>--</v>
      </c>
      <c r="AD2" s="54" t="str">
        <f>IF('Cover Sheet'!$B$17="Yes","NEMT PAHP","--")</f>
        <v>--</v>
      </c>
      <c r="AE2" s="54" t="str">
        <f>IF('Cover Sheet'!$B$18="Yes","PCCME","--")</f>
        <v>--</v>
      </c>
      <c r="AF2" s="48"/>
      <c r="AG2" s="53"/>
      <c r="AH2" s="53"/>
      <c r="AI2" s="60"/>
      <c r="AJ2" s="60"/>
      <c r="AK2" s="29" t="b">
        <f>IF('Cover Sheet'!$B$7="",TRUE,FALSE)</f>
        <v>1</v>
      </c>
      <c r="AL2" s="103" t="str">
        <f>IF($AK$2=FALSE,'Cover Sheet'!$B$7,"")</f>
        <v/>
      </c>
      <c r="AM2" s="53"/>
      <c r="AN2" s="29"/>
      <c r="AO2" s="29"/>
      <c r="AP2" s="31">
        <f>IF('Cover Sheet'!$B$4="BOTH",1,0)</f>
        <v>1</v>
      </c>
      <c r="AQ2" s="38"/>
      <c r="AR2" s="38" t="s">
        <v>224</v>
      </c>
      <c r="AS2" s="56"/>
      <c r="AT2" s="56"/>
      <c r="BD2" s="149"/>
    </row>
    <row r="3" spans="1:58" ht="16.5" customHeight="1" thickBot="1" x14ac:dyDescent="0.3">
      <c r="A3" s="223" t="s">
        <v>324</v>
      </c>
      <c r="B3" s="224"/>
      <c r="C3" s="225" t="s">
        <v>325</v>
      </c>
      <c r="D3" s="226"/>
      <c r="E3" s="227"/>
      <c r="F3" s="228"/>
      <c r="G3" s="229" t="s">
        <v>326</v>
      </c>
      <c r="H3" s="230" t="str">
        <f>I3</f>
        <v>Not Started</v>
      </c>
      <c r="I3" s="25" t="str">
        <f>IF(OR($C$3="Yes, section requirements are not applicable",$C$3="Yes, all requirements on the sheet are crosshatched"),"Section Review N/A",IF((COUNTA(A9:A32)+COUNTBLANK(A9:A32))=COUNTBLANK(E9:E32),"Not Started",IF(OR(COUNTA(A9:A32)+COUNTBLANK(A9:A32)&lt;&gt;COUNTIF(E9:E32,"Yes")+COUNTIF(E9:E32,"Met")+COUNTIF(E9:E32,"N/A")+COUNTBLANK(E9:E32),COUNTA(A9:A32)&lt;&gt;SUM(U9:U32)),"Revisions Needed","Approved")))</f>
        <v>Not Started</v>
      </c>
      <c r="J3" s="25" t="s">
        <v>327</v>
      </c>
      <c r="K3" s="27" t="s">
        <v>325</v>
      </c>
      <c r="L3" s="27" t="s">
        <v>328</v>
      </c>
      <c r="M3" s="28"/>
      <c r="N3" s="53"/>
      <c r="O3" s="29"/>
      <c r="P3" s="53"/>
      <c r="Q3" s="53"/>
      <c r="R3" s="53"/>
      <c r="S3" s="30"/>
      <c r="T3" s="30"/>
      <c r="U3" s="38"/>
      <c r="V3" s="38"/>
      <c r="W3" s="38"/>
      <c r="X3" s="38"/>
      <c r="Y3" s="38"/>
      <c r="Z3" s="38"/>
      <c r="AA3" s="38"/>
      <c r="AB3" s="38"/>
      <c r="AC3" s="38"/>
      <c r="AD3" s="38"/>
      <c r="AE3" s="38"/>
      <c r="AF3" s="53" t="s">
        <v>224</v>
      </c>
      <c r="AG3" s="53"/>
      <c r="AH3" s="53"/>
      <c r="AI3" s="53"/>
      <c r="AJ3" s="38"/>
      <c r="AK3" s="38"/>
      <c r="AL3" s="38"/>
      <c r="AM3" s="53"/>
      <c r="AN3" s="47"/>
      <c r="AO3" s="47"/>
      <c r="AP3" s="53"/>
      <c r="AQ3" s="38"/>
      <c r="AR3" s="38"/>
      <c r="AS3" s="56"/>
      <c r="AT3" s="56"/>
      <c r="BD3" s="149"/>
    </row>
    <row r="4" spans="1:58" ht="16.5" hidden="1" customHeight="1" x14ac:dyDescent="0.25">
      <c r="A4" s="231"/>
      <c r="B4" s="232"/>
      <c r="C4" s="233"/>
      <c r="D4" s="234"/>
      <c r="E4" s="235"/>
      <c r="F4" s="236"/>
      <c r="G4" s="236"/>
      <c r="H4" s="236"/>
      <c r="I4" s="25"/>
      <c r="J4" s="25" t="s">
        <v>319</v>
      </c>
      <c r="K4" s="27" t="s">
        <v>329</v>
      </c>
      <c r="L4" s="27" t="s">
        <v>319</v>
      </c>
      <c r="M4" s="28"/>
      <c r="N4" s="53"/>
      <c r="O4" s="29"/>
      <c r="P4" s="53"/>
      <c r="Q4" s="53"/>
      <c r="R4" s="53"/>
      <c r="S4" s="30"/>
      <c r="T4" s="30"/>
      <c r="U4" s="38"/>
      <c r="V4" s="38"/>
      <c r="W4" s="38"/>
      <c r="X4" s="38"/>
      <c r="Y4" s="38"/>
      <c r="Z4" s="38"/>
      <c r="AA4" s="38"/>
      <c r="AB4" s="38"/>
      <c r="AC4" s="38"/>
      <c r="AD4" s="38"/>
      <c r="AE4" s="38"/>
      <c r="AF4" s="53"/>
      <c r="AG4" s="53"/>
      <c r="AH4" s="53"/>
      <c r="AI4" s="53"/>
      <c r="AJ4" s="38"/>
      <c r="AK4" s="38"/>
      <c r="AL4" s="38"/>
      <c r="AM4" s="53"/>
      <c r="AN4" s="47"/>
      <c r="AO4" s="47"/>
      <c r="AP4" s="53"/>
      <c r="AQ4" s="38"/>
      <c r="AR4" s="38"/>
      <c r="AS4" s="56"/>
      <c r="AT4" s="56"/>
      <c r="BD4" s="149"/>
    </row>
    <row r="5" spans="1:58" ht="16.5" hidden="1" customHeight="1" x14ac:dyDescent="0.25">
      <c r="A5" s="237"/>
      <c r="B5" s="238"/>
      <c r="C5" s="237"/>
      <c r="D5" s="239"/>
      <c r="E5" s="240"/>
      <c r="F5" s="241"/>
      <c r="G5" s="241"/>
      <c r="H5" s="241"/>
      <c r="I5" s="25"/>
      <c r="J5" s="25"/>
      <c r="K5" s="27"/>
      <c r="L5" s="27"/>
      <c r="M5" s="28"/>
      <c r="N5" s="53"/>
      <c r="O5" s="29"/>
      <c r="P5" s="53"/>
      <c r="Q5" s="53"/>
      <c r="R5" s="53"/>
      <c r="S5" s="30" t="s">
        <v>330</v>
      </c>
      <c r="T5" s="30"/>
      <c r="U5" s="38"/>
      <c r="V5" s="38"/>
      <c r="W5" s="38"/>
      <c r="X5" s="38"/>
      <c r="Y5" s="38"/>
      <c r="Z5" s="38"/>
      <c r="AA5" s="38"/>
      <c r="AB5" s="38"/>
      <c r="AC5" s="38"/>
      <c r="AD5" s="38"/>
      <c r="AE5" s="38"/>
      <c r="AF5" s="53"/>
      <c r="AG5" s="53"/>
      <c r="AH5" s="53"/>
      <c r="AI5" s="53"/>
      <c r="AJ5" s="38"/>
      <c r="AK5" s="38"/>
      <c r="AL5" s="38"/>
      <c r="AM5" s="53"/>
      <c r="AN5" s="47"/>
      <c r="AO5" s="47"/>
      <c r="AP5" s="53"/>
      <c r="AQ5" s="38"/>
      <c r="AR5" s="38"/>
      <c r="AS5" s="56"/>
      <c r="AT5" s="56"/>
      <c r="AV5" s="69" t="s">
        <v>331</v>
      </c>
      <c r="BD5" s="149"/>
    </row>
    <row r="6" spans="1:58" ht="16.5" hidden="1" customHeight="1" thickBot="1" x14ac:dyDescent="0.3">
      <c r="A6" s="242"/>
      <c r="B6" s="243"/>
      <c r="C6" s="244"/>
      <c r="D6" s="245"/>
      <c r="E6" s="246"/>
      <c r="F6" s="247"/>
      <c r="G6" s="248"/>
      <c r="H6" s="248"/>
      <c r="I6" s="26"/>
      <c r="J6" s="25"/>
      <c r="K6" s="32"/>
      <c r="L6" s="25"/>
      <c r="M6" s="53"/>
      <c r="N6" s="53"/>
      <c r="O6" s="53"/>
      <c r="P6" s="33" t="s">
        <v>332</v>
      </c>
      <c r="Q6" s="33" t="s">
        <v>333</v>
      </c>
      <c r="R6" s="33" t="s">
        <v>334</v>
      </c>
      <c r="S6" s="40"/>
      <c r="T6" s="40"/>
      <c r="U6" s="38"/>
      <c r="V6" s="38"/>
      <c r="W6" s="38"/>
      <c r="X6" s="38"/>
      <c r="Y6" s="38"/>
      <c r="Z6" s="38"/>
      <c r="AA6" s="38"/>
      <c r="AB6" s="38"/>
      <c r="AC6" s="38"/>
      <c r="AD6" s="38"/>
      <c r="AE6" s="38"/>
      <c r="AF6" s="53"/>
      <c r="AG6" s="53"/>
      <c r="AH6" s="53"/>
      <c r="AI6" s="53"/>
      <c r="AJ6" s="53"/>
      <c r="AK6" s="575" t="s">
        <v>335</v>
      </c>
      <c r="AL6" s="576"/>
      <c r="AM6" s="577"/>
      <c r="AN6" s="47"/>
      <c r="AO6" s="47"/>
      <c r="AP6" s="53"/>
      <c r="AQ6" s="38"/>
      <c r="AR6" s="38"/>
      <c r="AS6" s="56" t="s">
        <v>336</v>
      </c>
      <c r="AT6" s="56"/>
      <c r="BD6" s="149"/>
    </row>
    <row r="7" spans="1:58" s="150" customFormat="1" ht="39.6" customHeight="1" thickBot="1" x14ac:dyDescent="0.3">
      <c r="A7" s="249" t="s">
        <v>337</v>
      </c>
      <c r="B7" s="250" t="s">
        <v>338</v>
      </c>
      <c r="C7" s="251" t="s">
        <v>339</v>
      </c>
      <c r="D7" s="251" t="s">
        <v>340</v>
      </c>
      <c r="E7" s="252" t="s">
        <v>341</v>
      </c>
      <c r="F7" s="252" t="s">
        <v>342</v>
      </c>
      <c r="G7" s="252" t="s">
        <v>343</v>
      </c>
      <c r="H7" s="253" t="s">
        <v>344</v>
      </c>
      <c r="I7" s="34" t="s">
        <v>168</v>
      </c>
      <c r="J7" s="34" t="s">
        <v>178</v>
      </c>
      <c r="K7" s="34" t="s">
        <v>185</v>
      </c>
      <c r="L7" s="35" t="s">
        <v>190</v>
      </c>
      <c r="M7" s="36" t="s">
        <v>195</v>
      </c>
      <c r="N7" s="37" t="s">
        <v>345</v>
      </c>
      <c r="O7" s="37" t="s">
        <v>200</v>
      </c>
      <c r="P7" s="38"/>
      <c r="Q7" s="38"/>
      <c r="R7" s="38"/>
      <c r="S7" s="39" t="s">
        <v>346</v>
      </c>
      <c r="T7" s="49" t="s">
        <v>347</v>
      </c>
      <c r="U7" s="50" t="s">
        <v>348</v>
      </c>
      <c r="V7" s="101" t="s">
        <v>349</v>
      </c>
      <c r="W7" s="101" t="s">
        <v>350</v>
      </c>
      <c r="X7" s="101" t="s">
        <v>351</v>
      </c>
      <c r="Y7" s="101" t="s">
        <v>352</v>
      </c>
      <c r="Z7" s="101"/>
      <c r="AA7" s="101"/>
      <c r="AB7" s="101"/>
      <c r="AC7" s="101"/>
      <c r="AD7" s="101"/>
      <c r="AE7" s="101"/>
      <c r="AF7" s="101" t="s">
        <v>353</v>
      </c>
      <c r="AG7" s="101" t="s">
        <v>354</v>
      </c>
      <c r="AH7" s="101" t="s">
        <v>355</v>
      </c>
      <c r="AI7" s="101" t="s">
        <v>356</v>
      </c>
      <c r="AJ7" s="101" t="s">
        <v>357</v>
      </c>
      <c r="AK7" s="70" t="s">
        <v>358</v>
      </c>
      <c r="AL7" s="70" t="s">
        <v>359</v>
      </c>
      <c r="AM7" s="70" t="s">
        <v>360</v>
      </c>
      <c r="AN7" s="70" t="s">
        <v>361</v>
      </c>
      <c r="AO7" s="70" t="s">
        <v>362</v>
      </c>
      <c r="AP7" s="104" t="s">
        <v>363</v>
      </c>
      <c r="AQ7" s="70" t="s">
        <v>364</v>
      </c>
      <c r="AR7" s="70" t="s">
        <v>365</v>
      </c>
      <c r="AS7" s="56" t="s">
        <v>366</v>
      </c>
      <c r="AT7" s="56" t="s">
        <v>367</v>
      </c>
      <c r="AU7" s="69" t="s">
        <v>368</v>
      </c>
      <c r="AV7" s="69" t="s">
        <v>331</v>
      </c>
      <c r="AW7" s="80" t="s">
        <v>369</v>
      </c>
      <c r="AX7" s="80" t="s">
        <v>370</v>
      </c>
      <c r="AY7" s="80" t="s">
        <v>371</v>
      </c>
      <c r="AZ7" s="80" t="s">
        <v>372</v>
      </c>
      <c r="BA7" s="81" t="s">
        <v>373</v>
      </c>
      <c r="BB7" s="82" t="s">
        <v>374</v>
      </c>
      <c r="BC7" s="83" t="s">
        <v>375</v>
      </c>
      <c r="BD7" s="39" t="s">
        <v>347</v>
      </c>
      <c r="BE7" s="172" t="s">
        <v>376</v>
      </c>
      <c r="BF7" s="150" t="s">
        <v>377</v>
      </c>
    </row>
    <row r="8" spans="1:58" ht="15.75" thickBot="1" x14ac:dyDescent="0.3">
      <c r="A8" s="507"/>
      <c r="B8" s="508"/>
      <c r="C8" s="490" t="s">
        <v>4</v>
      </c>
      <c r="D8" s="516"/>
      <c r="E8" s="517"/>
      <c r="F8" s="517"/>
      <c r="G8" s="517"/>
      <c r="H8" s="518"/>
      <c r="I8" s="154"/>
      <c r="J8" s="154"/>
      <c r="K8" s="154"/>
      <c r="L8" s="155"/>
      <c r="M8" s="155"/>
      <c r="N8" s="156"/>
      <c r="O8" s="156"/>
      <c r="P8" s="156"/>
      <c r="Q8" s="156"/>
      <c r="R8" s="156"/>
      <c r="S8" s="157"/>
      <c r="T8" s="157"/>
      <c r="U8" s="158"/>
      <c r="V8" s="158"/>
      <c r="W8" s="158"/>
      <c r="X8" s="158"/>
      <c r="Y8" s="158"/>
      <c r="Z8" s="158" t="s">
        <v>168</v>
      </c>
      <c r="AA8" s="158" t="s">
        <v>178</v>
      </c>
      <c r="AB8" s="158" t="s">
        <v>185</v>
      </c>
      <c r="AC8" s="158" t="s">
        <v>190</v>
      </c>
      <c r="AD8" s="158" t="s">
        <v>195</v>
      </c>
      <c r="AE8" s="158" t="s">
        <v>200</v>
      </c>
      <c r="AF8" s="156"/>
      <c r="AG8" s="159"/>
      <c r="AH8" s="156"/>
      <c r="AI8" s="156"/>
      <c r="AJ8" s="156"/>
      <c r="AK8" s="156"/>
      <c r="AL8" s="156"/>
      <c r="AM8" s="160"/>
      <c r="AN8" s="161"/>
      <c r="AO8" s="162"/>
      <c r="AP8" s="163"/>
      <c r="AQ8" s="162"/>
      <c r="AR8" s="162"/>
      <c r="AS8" s="164"/>
      <c r="AT8" s="164"/>
      <c r="AU8" s="164"/>
      <c r="AV8" s="164"/>
      <c r="AW8" s="164"/>
      <c r="AX8" s="164"/>
      <c r="AY8" s="164"/>
      <c r="AZ8" s="164"/>
      <c r="BA8" s="164"/>
      <c r="BB8" s="164"/>
      <c r="BC8" s="164"/>
      <c r="BD8" s="165"/>
      <c r="BE8" s="173"/>
    </row>
    <row r="9" spans="1:58" ht="17.100000000000001" customHeight="1" x14ac:dyDescent="0.25">
      <c r="A9" s="254" t="s">
        <v>378</v>
      </c>
      <c r="B9" s="255" t="s">
        <v>319</v>
      </c>
      <c r="C9" s="255" t="s">
        <v>379</v>
      </c>
      <c r="D9" s="473"/>
      <c r="E9" s="257"/>
      <c r="F9" s="258"/>
      <c r="G9" s="258"/>
      <c r="H9" s="259"/>
      <c r="I9" s="92" t="s">
        <v>168</v>
      </c>
      <c r="J9" s="92" t="s">
        <v>178</v>
      </c>
      <c r="K9" s="92" t="s">
        <v>185</v>
      </c>
      <c r="L9" s="71" t="s">
        <v>190</v>
      </c>
      <c r="M9" s="71" t="s">
        <v>195</v>
      </c>
      <c r="N9" s="71"/>
      <c r="O9" s="71" t="s">
        <v>200</v>
      </c>
      <c r="P9" s="71" t="s">
        <v>380</v>
      </c>
      <c r="Q9" s="71" t="b">
        <f>IF(OR(AND($C$2="Base contract",$C$3="No, section requirements must be reviewed",$AG9=FALSE, $AH9=FALSE),AND($C$2="Contract amendment",$C$3="No, section requirements must be reviewed",$AG9=FALSE,$AH9=FALSE)),"YNNN")</f>
        <v>0</v>
      </c>
      <c r="R9" s="71"/>
      <c r="S9" s="41"/>
      <c r="T9" s="41"/>
      <c r="U9" s="97">
        <f t="shared" ref="U9:U32" si="0">IF(OR($E$8="N/A",AND(E9="Yes",F9&lt;&gt;""),AND(E9="N/A",H9&lt;&gt;""),AND(E9="Met",F9&lt;&gt;""),AND(E9="Not met",G9&lt;&gt;""),AND(E9="Unsure",G9&lt;&gt;""),AND(E9="N/A"),AND(E9="No",G9&lt;&gt;""),AND(E9="No, submission is in draft",G9&lt;&gt;""),AND(R9=1),AND(Y9=TRUE)),1,0)</f>
        <v>0</v>
      </c>
      <c r="V9" s="126"/>
      <c r="W9" s="126" t="str">
        <f>IF($C$3="Yes, section is not applicable","TRUE","FALSE")</f>
        <v>FALSE</v>
      </c>
      <c r="X9" s="126" t="b">
        <f t="shared" ref="X9:X32" si="1">IF(OR(Y9=TRUE),TRUE,FALSE)</f>
        <v>0</v>
      </c>
      <c r="Y9" s="126" t="b">
        <f t="shared" ref="Y9:Y14" si="2">IF(SUM(Z9:AE9)&lt;1,TRUE,FALSE)</f>
        <v>0</v>
      </c>
      <c r="Z9" s="126">
        <f t="shared" ref="Z9:Z14" si="3">IF($Z$2=I9,1,0)</f>
        <v>1</v>
      </c>
      <c r="AA9" s="126">
        <f t="shared" ref="AA9:AA14" si="4">IF($AA$2=J9,1,0)</f>
        <v>0</v>
      </c>
      <c r="AB9" s="126">
        <f t="shared" ref="AB9:AB14" si="5">IF($AB$2=K9,1,0)</f>
        <v>0</v>
      </c>
      <c r="AC9" s="126">
        <f t="shared" ref="AC9:AC14" si="6">IF($AC$2=L9,1,0)</f>
        <v>0</v>
      </c>
      <c r="AD9" s="126">
        <f t="shared" ref="AD9:AD14" si="7">IF($AD$2=M9,1,0)</f>
        <v>0</v>
      </c>
      <c r="AE9" s="126">
        <f t="shared" ref="AE9:AE14" si="8">IF($AE$2=O9,1,0)</f>
        <v>0</v>
      </c>
      <c r="AG9" s="53"/>
      <c r="AH9" s="53"/>
      <c r="AM9" s="38" t="b">
        <f>IF(AND('Cover Sheet'!$B$19="Non-Risk",$R9=1),TRUE,FALSE)</f>
        <v>0</v>
      </c>
      <c r="AN9" s="38" t="b">
        <f t="shared" ref="AN9:AN30" si="9">IF(AND($H$6="Medicaid",MID($A9,1,FIND(".",$A9,1)-1)="II"),TRUE,FALSE)</f>
        <v>0</v>
      </c>
      <c r="AV9" s="69" t="str">
        <f>IF(AU9=1,1,"")</f>
        <v/>
      </c>
      <c r="BE9" s="5">
        <v>0</v>
      </c>
    </row>
    <row r="10" spans="1:58" ht="77.099999999999994" customHeight="1" x14ac:dyDescent="0.25">
      <c r="A10" s="254" t="s">
        <v>381</v>
      </c>
      <c r="B10" s="255" t="s">
        <v>319</v>
      </c>
      <c r="C10" s="255" t="s">
        <v>382</v>
      </c>
      <c r="D10" s="473"/>
      <c r="E10" s="257"/>
      <c r="F10" s="258"/>
      <c r="G10" s="258"/>
      <c r="H10" s="260"/>
      <c r="I10" s="92" t="s">
        <v>168</v>
      </c>
      <c r="J10" s="92" t="s">
        <v>178</v>
      </c>
      <c r="K10" s="92" t="s">
        <v>185</v>
      </c>
      <c r="L10" s="71" t="s">
        <v>190</v>
      </c>
      <c r="M10" s="71" t="s">
        <v>195</v>
      </c>
      <c r="N10" s="71"/>
      <c r="O10" s="71" t="s">
        <v>200</v>
      </c>
      <c r="P10" s="71" t="s">
        <v>380</v>
      </c>
      <c r="Q10" s="71" t="b">
        <f t="shared" ref="Q10:Q27" si="10">IF(OR(AND($C$2="Base contract",$C$3="No, section requirements must be reviewed",$AG10=FALSE, $AH10=FALSE),AND($C$2="Contract amendment",$C$3="No, section requirements must be reviewed",$AG10=FALSE,$AH10=FALSE)),"YNNN")</f>
        <v>0</v>
      </c>
      <c r="R10" s="71"/>
      <c r="S10" s="41"/>
      <c r="T10" s="41"/>
      <c r="U10" s="97">
        <f t="shared" si="0"/>
        <v>0</v>
      </c>
      <c r="V10" s="126"/>
      <c r="W10" s="126"/>
      <c r="X10" s="126" t="b">
        <f t="shared" si="1"/>
        <v>0</v>
      </c>
      <c r="Y10" s="126" t="b">
        <f t="shared" si="2"/>
        <v>0</v>
      </c>
      <c r="Z10" s="126">
        <f t="shared" si="3"/>
        <v>1</v>
      </c>
      <c r="AA10" s="126">
        <f t="shared" si="4"/>
        <v>0</v>
      </c>
      <c r="AB10" s="126">
        <f t="shared" si="5"/>
        <v>0</v>
      </c>
      <c r="AC10" s="126">
        <f t="shared" si="6"/>
        <v>0</v>
      </c>
      <c r="AD10" s="126">
        <f t="shared" si="7"/>
        <v>0</v>
      </c>
      <c r="AE10" s="126">
        <f t="shared" si="8"/>
        <v>0</v>
      </c>
      <c r="AG10" s="53"/>
      <c r="AH10" s="53"/>
      <c r="AM10" s="38" t="b">
        <f>IF(AND('Cover Sheet'!$B$19="Non-Risk",$R10=1),TRUE,FALSE)</f>
        <v>0</v>
      </c>
      <c r="AN10" s="38" t="b">
        <f t="shared" si="9"/>
        <v>0</v>
      </c>
      <c r="AV10" s="69" t="str">
        <f t="shared" ref="AV10:AV30" si="11">IF(AU10=1,1,"")</f>
        <v/>
      </c>
      <c r="BE10" s="5">
        <v>0</v>
      </c>
    </row>
    <row r="11" spans="1:58" ht="39" customHeight="1" x14ac:dyDescent="0.25">
      <c r="A11" s="254" t="s">
        <v>319</v>
      </c>
      <c r="B11" s="255" t="s">
        <v>319</v>
      </c>
      <c r="C11" s="255" t="s">
        <v>383</v>
      </c>
      <c r="D11" s="477">
        <v>1</v>
      </c>
      <c r="E11" s="257"/>
      <c r="F11" s="258"/>
      <c r="G11" s="258"/>
      <c r="H11" s="260"/>
      <c r="I11" s="92" t="s">
        <v>168</v>
      </c>
      <c r="J11" s="92" t="s">
        <v>178</v>
      </c>
      <c r="K11" s="92" t="s">
        <v>185</v>
      </c>
      <c r="L11" s="71" t="s">
        <v>190</v>
      </c>
      <c r="M11" s="71" t="s">
        <v>195</v>
      </c>
      <c r="N11" s="71"/>
      <c r="O11" s="71" t="s">
        <v>200</v>
      </c>
      <c r="P11" s="71" t="s">
        <v>380</v>
      </c>
      <c r="Q11" s="71" t="b">
        <f t="shared" si="10"/>
        <v>0</v>
      </c>
      <c r="R11" s="71"/>
      <c r="S11" s="41"/>
      <c r="T11" s="41"/>
      <c r="U11" s="97">
        <f t="shared" si="0"/>
        <v>0</v>
      </c>
      <c r="V11" s="126"/>
      <c r="W11" s="126"/>
      <c r="X11" s="126" t="b">
        <f t="shared" si="1"/>
        <v>0</v>
      </c>
      <c r="Y11" s="126" t="b">
        <f t="shared" si="2"/>
        <v>0</v>
      </c>
      <c r="Z11" s="126">
        <f t="shared" si="3"/>
        <v>1</v>
      </c>
      <c r="AA11" s="126">
        <f t="shared" si="4"/>
        <v>0</v>
      </c>
      <c r="AB11" s="126">
        <f t="shared" si="5"/>
        <v>0</v>
      </c>
      <c r="AC11" s="126">
        <f t="shared" si="6"/>
        <v>0</v>
      </c>
      <c r="AD11" s="126">
        <f t="shared" si="7"/>
        <v>0</v>
      </c>
      <c r="AE11" s="126">
        <f t="shared" si="8"/>
        <v>0</v>
      </c>
      <c r="AG11" s="53"/>
      <c r="AH11" s="53"/>
      <c r="AM11" s="38" t="b">
        <f>IF(AND('Cover Sheet'!$B$19="Non-Risk",$R11=1),TRUE,FALSE)</f>
        <v>0</v>
      </c>
      <c r="AN11" s="38" t="e">
        <f t="shared" si="9"/>
        <v>#VALUE!</v>
      </c>
      <c r="AU11" s="69">
        <v>1</v>
      </c>
      <c r="AV11" s="69">
        <f t="shared" si="11"/>
        <v>1</v>
      </c>
      <c r="BE11" s="5">
        <v>0</v>
      </c>
    </row>
    <row r="12" spans="1:58" ht="33.6" customHeight="1" x14ac:dyDescent="0.25">
      <c r="A12" s="254" t="s">
        <v>384</v>
      </c>
      <c r="B12" s="255" t="s">
        <v>385</v>
      </c>
      <c r="C12" s="255" t="s">
        <v>386</v>
      </c>
      <c r="D12" s="477" t="s">
        <v>387</v>
      </c>
      <c r="E12" s="257"/>
      <c r="F12" s="258"/>
      <c r="G12" s="258"/>
      <c r="H12" s="260"/>
      <c r="I12" s="92" t="s">
        <v>168</v>
      </c>
      <c r="J12" s="92" t="s">
        <v>178</v>
      </c>
      <c r="K12" s="92" t="s">
        <v>185</v>
      </c>
      <c r="L12" s="71" t="s">
        <v>190</v>
      </c>
      <c r="M12" s="71"/>
      <c r="N12" s="71"/>
      <c r="O12" s="71"/>
      <c r="P12" s="71" t="s">
        <v>380</v>
      </c>
      <c r="Q12" s="71" t="b">
        <f t="shared" si="10"/>
        <v>0</v>
      </c>
      <c r="R12" s="71"/>
      <c r="S12" s="42">
        <v>42556</v>
      </c>
      <c r="T12" s="42"/>
      <c r="U12" s="97">
        <f t="shared" si="0"/>
        <v>0</v>
      </c>
      <c r="V12" s="126"/>
      <c r="W12" s="126"/>
      <c r="X12" s="126" t="b">
        <f t="shared" si="1"/>
        <v>0</v>
      </c>
      <c r="Y12" s="126" t="b">
        <f t="shared" si="2"/>
        <v>0</v>
      </c>
      <c r="Z12" s="126">
        <f t="shared" si="3"/>
        <v>1</v>
      </c>
      <c r="AA12" s="126">
        <f t="shared" si="4"/>
        <v>0</v>
      </c>
      <c r="AB12" s="126">
        <f t="shared" si="5"/>
        <v>0</v>
      </c>
      <c r="AC12" s="126">
        <f t="shared" si="6"/>
        <v>0</v>
      </c>
      <c r="AD12" s="126">
        <f t="shared" si="7"/>
        <v>0</v>
      </c>
      <c r="AE12" s="126">
        <f t="shared" si="8"/>
        <v>0</v>
      </c>
      <c r="AG12" s="53"/>
      <c r="AH12" s="53"/>
      <c r="AM12" s="38" t="b">
        <f>IF(AND('Cover Sheet'!$B$19="Non-Risk",$R12=1),TRUE,FALSE)</f>
        <v>0</v>
      </c>
      <c r="AN12" s="38" t="b">
        <f t="shared" si="9"/>
        <v>0</v>
      </c>
      <c r="AU12" s="69">
        <v>1</v>
      </c>
      <c r="AV12" s="69">
        <f t="shared" si="11"/>
        <v>1</v>
      </c>
      <c r="BE12" s="5">
        <v>0</v>
      </c>
    </row>
    <row r="13" spans="1:58" ht="75.75" customHeight="1" x14ac:dyDescent="0.25">
      <c r="A13" s="254" t="s">
        <v>388</v>
      </c>
      <c r="B13" s="255" t="s">
        <v>389</v>
      </c>
      <c r="C13" s="261" t="s">
        <v>390</v>
      </c>
      <c r="D13" s="477" t="s">
        <v>391</v>
      </c>
      <c r="E13" s="257"/>
      <c r="F13" s="258"/>
      <c r="G13" s="258"/>
      <c r="H13" s="260"/>
      <c r="I13" s="92" t="s">
        <v>168</v>
      </c>
      <c r="J13" s="92" t="s">
        <v>178</v>
      </c>
      <c r="K13" s="92" t="s">
        <v>185</v>
      </c>
      <c r="L13" s="71" t="s">
        <v>190</v>
      </c>
      <c r="M13" s="71"/>
      <c r="N13" s="71"/>
      <c r="O13" s="71"/>
      <c r="P13" s="71" t="s">
        <v>380</v>
      </c>
      <c r="Q13" s="71" t="b">
        <f t="shared" si="10"/>
        <v>0</v>
      </c>
      <c r="R13" s="71"/>
      <c r="S13" s="64"/>
      <c r="T13" s="95"/>
      <c r="U13" s="97">
        <f>IF(OR($E$8="N/A",AND(E13="Yes",F13&lt;&gt;""),AND(E13="N/A",H13&lt;&gt;""),AND(E13="Met",F13&lt;&gt;""),AND(E13="Not met",G13&lt;&gt;""),AND(E13="Unsure",G13&lt;&gt;""),AND(E13="N/A"),AND(E13="No",G13&lt;&gt;""),AND(E13="No, submission is in draft",G13&lt;&gt;""),AND(R13=1),AND(Y13=TRUE),X13=TRUE),1,0)</f>
        <v>0</v>
      </c>
      <c r="V13" s="126"/>
      <c r="W13" s="126"/>
      <c r="X13" s="126" t="b">
        <f>IF(OR(Y13=TRUE,BF13=0),TRUE,FALSE)</f>
        <v>0</v>
      </c>
      <c r="Y13" s="126" t="b">
        <f t="shared" si="2"/>
        <v>0</v>
      </c>
      <c r="Z13" s="126">
        <f t="shared" si="3"/>
        <v>1</v>
      </c>
      <c r="AA13" s="126">
        <f t="shared" si="4"/>
        <v>0</v>
      </c>
      <c r="AB13" s="126">
        <f t="shared" si="5"/>
        <v>0</v>
      </c>
      <c r="AC13" s="126">
        <f t="shared" si="6"/>
        <v>0</v>
      </c>
      <c r="AD13" s="126">
        <f t="shared" si="7"/>
        <v>0</v>
      </c>
      <c r="AE13" s="126">
        <f t="shared" si="8"/>
        <v>0</v>
      </c>
      <c r="AG13" s="53"/>
      <c r="AH13" s="53"/>
      <c r="AM13" s="38" t="b">
        <f>IF(AND('Cover Sheet'!$B$19="Non-Risk",$R13=1),TRUE,FALSE)</f>
        <v>0</v>
      </c>
      <c r="AN13" s="38" t="b">
        <f t="shared" si="9"/>
        <v>0</v>
      </c>
      <c r="AU13" s="69">
        <v>1</v>
      </c>
      <c r="AV13" s="69">
        <f t="shared" ref="AV13" si="12">IF(AU13=1,1,"")</f>
        <v>1</v>
      </c>
      <c r="BE13" s="5">
        <v>0</v>
      </c>
      <c r="BF13">
        <f>IF(BF14=1,0,1)</f>
        <v>1</v>
      </c>
    </row>
    <row r="14" spans="1:58" ht="75.75" customHeight="1" x14ac:dyDescent="0.25">
      <c r="A14" s="254" t="s">
        <v>388</v>
      </c>
      <c r="B14" s="255" t="s">
        <v>389</v>
      </c>
      <c r="C14" s="261" t="s">
        <v>392</v>
      </c>
      <c r="D14" s="477" t="s">
        <v>391</v>
      </c>
      <c r="E14" s="257"/>
      <c r="F14" s="258"/>
      <c r="G14" s="258"/>
      <c r="H14" s="260"/>
      <c r="I14" s="92" t="s">
        <v>168</v>
      </c>
      <c r="J14" s="92" t="s">
        <v>178</v>
      </c>
      <c r="K14" s="92" t="s">
        <v>185</v>
      </c>
      <c r="L14" s="71" t="s">
        <v>190</v>
      </c>
      <c r="M14" s="71"/>
      <c r="N14" s="71"/>
      <c r="O14" s="71"/>
      <c r="P14" s="71" t="s">
        <v>380</v>
      </c>
      <c r="Q14" s="71" t="b">
        <f t="shared" si="10"/>
        <v>0</v>
      </c>
      <c r="R14" s="71"/>
      <c r="S14" s="64">
        <v>45544</v>
      </c>
      <c r="T14" s="95"/>
      <c r="U14" s="97">
        <f>IF(OR($E$8="N/A",AND(E14="Yes",F14&lt;&gt;""),AND(E14="N/A",H14&lt;&gt;""),AND(E14="Met",F14&lt;&gt;""),AND(E14="Not met",G14&lt;&gt;""),AND(E14="Unsure",G14&lt;&gt;""),AND(E14="N/A"),AND(E14="No",G14&lt;&gt;""),AND(E14="No, submission is in draft",G14&lt;&gt;""),AND(R14=1),AND(Y14=TRUE),X14=TRUE),1,0)</f>
        <v>1</v>
      </c>
      <c r="V14" s="126"/>
      <c r="W14" s="126"/>
      <c r="X14" s="126" t="b">
        <f>IF(OR(Y14=TRUE,BF14=0),TRUE,FALSE)</f>
        <v>1</v>
      </c>
      <c r="Y14" s="126" t="b">
        <f t="shared" si="2"/>
        <v>0</v>
      </c>
      <c r="Z14" s="126">
        <f t="shared" si="3"/>
        <v>1</v>
      </c>
      <c r="AA14" s="126">
        <f t="shared" si="4"/>
        <v>0</v>
      </c>
      <c r="AB14" s="126">
        <f t="shared" si="5"/>
        <v>0</v>
      </c>
      <c r="AC14" s="126">
        <f t="shared" si="6"/>
        <v>0</v>
      </c>
      <c r="AD14" s="126">
        <f t="shared" si="7"/>
        <v>0</v>
      </c>
      <c r="AE14" s="126">
        <f t="shared" si="8"/>
        <v>0</v>
      </c>
      <c r="AG14" s="53"/>
      <c r="AH14" s="53"/>
      <c r="AM14" s="38" t="b">
        <f>IF(AND('Cover Sheet'!$B$19="Non-Risk",$R14=1),TRUE,FALSE)</f>
        <v>0</v>
      </c>
      <c r="AN14" s="38" t="b">
        <f t="shared" si="9"/>
        <v>0</v>
      </c>
      <c r="AU14" s="69">
        <v>1</v>
      </c>
      <c r="AV14" s="69">
        <f t="shared" si="11"/>
        <v>1</v>
      </c>
      <c r="BE14" s="5">
        <v>0</v>
      </c>
      <c r="BF14">
        <f>IF('Cover Sheet'!$B$25&gt;=S14,1,0)</f>
        <v>0</v>
      </c>
    </row>
    <row r="15" spans="1:58" ht="62.1" customHeight="1" x14ac:dyDescent="0.25">
      <c r="A15" s="254" t="s">
        <v>393</v>
      </c>
      <c r="B15" s="509" t="s">
        <v>394</v>
      </c>
      <c r="C15" s="262" t="s">
        <v>395</v>
      </c>
      <c r="D15" s="477" t="s">
        <v>396</v>
      </c>
      <c r="E15" s="257"/>
      <c r="F15" s="258"/>
      <c r="G15" s="258"/>
      <c r="H15" s="260"/>
      <c r="I15" s="92" t="s">
        <v>168</v>
      </c>
      <c r="J15" s="92" t="s">
        <v>178</v>
      </c>
      <c r="K15" s="92" t="s">
        <v>185</v>
      </c>
      <c r="L15" s="71" t="s">
        <v>190</v>
      </c>
      <c r="M15" s="71"/>
      <c r="N15" s="71"/>
      <c r="O15" s="71"/>
      <c r="P15" s="71" t="s">
        <v>397</v>
      </c>
      <c r="Q15" s="71" t="b">
        <f t="shared" si="10"/>
        <v>0</v>
      </c>
      <c r="R15" s="71" t="b">
        <f>IF('Cover Sheet'!$B$19="Non-Risk",1)</f>
        <v>0</v>
      </c>
      <c r="S15" s="42">
        <v>44378</v>
      </c>
      <c r="T15" s="64" t="s">
        <v>398</v>
      </c>
      <c r="U15" s="97">
        <f t="shared" si="0"/>
        <v>0</v>
      </c>
      <c r="V15" s="38" t="str">
        <f>IF(AND($V$2="Non-risk",T15="RP"),"DATE",T15)</f>
        <v>RP</v>
      </c>
      <c r="W15" s="38"/>
      <c r="X15" s="126" t="b">
        <f t="shared" si="1"/>
        <v>0</v>
      </c>
      <c r="Y15" s="126" t="b">
        <f t="shared" ref="Y15:Y32" si="13">IF(SUM(Z15:AE15)&lt;1,TRUE,FALSE)</f>
        <v>0</v>
      </c>
      <c r="Z15" s="126">
        <f t="shared" ref="Z15:Z32" si="14">IF($Z$2=I15,1,0)</f>
        <v>1</v>
      </c>
      <c r="AA15" s="126">
        <f t="shared" ref="AA15:AA32" si="15">IF($AA$2=J15,1,0)</f>
        <v>0</v>
      </c>
      <c r="AB15" s="126">
        <f t="shared" ref="AB15:AB32" si="16">IF($AB$2=K15,1,0)</f>
        <v>0</v>
      </c>
      <c r="AC15" s="126">
        <f t="shared" ref="AC15:AC32" si="17">IF($AC$2=L15,1,0)</f>
        <v>0</v>
      </c>
      <c r="AD15" s="126">
        <f t="shared" ref="AD15:AD32" si="18">IF($AD$2=M15,1,0)</f>
        <v>0</v>
      </c>
      <c r="AE15" s="126">
        <f t="shared" ref="AE15:AE32" si="19">IF($AE$2=O15,1,0)</f>
        <v>0</v>
      </c>
      <c r="AG15" s="53"/>
      <c r="AH15" s="53"/>
      <c r="AI15" s="53" t="str">
        <f>IF(OR($AH$2=TRUE,AND('Cover Sheet'!$B$19="Risk")),TRUE,"")</f>
        <v/>
      </c>
      <c r="AJ15" s="53" t="b">
        <f>IF(OR(AK15=TRUE,AL15=TRUE,AM15=TRUE,AN15=TRUE),TRUE,"")</f>
        <v>1</v>
      </c>
      <c r="AK15" s="53" t="str">
        <f>IF(V15="DATE",IF($AH$2=FALSE,IF(S15&gt;$AI$2,TRUE,"ReqEffectiveEarlierThanContractDate"),"Dates Missing"),"Not DATE")</f>
        <v>Not DATE</v>
      </c>
      <c r="AL15" s="53" t="b">
        <f>IF(V15="RP",IF($AH$2=FALSE,IF(S15&gt;$AJ$2,TRUE,"ReqEffectiveEarlierThanRatePeriodStartDate"),"Dates Missing"),"Not RP")</f>
        <v>1</v>
      </c>
      <c r="AM15" s="38" t="b">
        <f>IF(AND('Cover Sheet'!$B$19="Non-Risk",$R15=1),TRUE,FALSE)</f>
        <v>0</v>
      </c>
      <c r="AN15" s="38" t="b">
        <f t="shared" si="9"/>
        <v>0</v>
      </c>
      <c r="AU15" s="69">
        <v>1</v>
      </c>
      <c r="AV15" s="69">
        <f t="shared" si="11"/>
        <v>1</v>
      </c>
      <c r="BD15" s="64" t="s">
        <v>398</v>
      </c>
      <c r="BE15" s="5">
        <v>0</v>
      </c>
    </row>
    <row r="16" spans="1:58" ht="62.1" customHeight="1" x14ac:dyDescent="0.25">
      <c r="A16" s="510" t="s">
        <v>399</v>
      </c>
      <c r="B16" s="511" t="s">
        <v>400</v>
      </c>
      <c r="C16" s="416" t="s">
        <v>401</v>
      </c>
      <c r="D16" s="477">
        <v>7</v>
      </c>
      <c r="E16" s="257"/>
      <c r="F16" s="258"/>
      <c r="G16" s="258"/>
      <c r="H16" s="260"/>
      <c r="I16" s="92" t="s">
        <v>168</v>
      </c>
      <c r="J16" s="92" t="s">
        <v>178</v>
      </c>
      <c r="K16" s="92" t="s">
        <v>185</v>
      </c>
      <c r="L16" s="71" t="s">
        <v>190</v>
      </c>
      <c r="M16" s="71"/>
      <c r="N16" s="71"/>
      <c r="O16" s="71"/>
      <c r="P16" s="71"/>
      <c r="Q16" s="71"/>
      <c r="R16" s="71"/>
      <c r="S16" s="42"/>
      <c r="T16" s="64"/>
      <c r="U16" s="97">
        <f t="shared" ref="U16" si="20">IF(OR($E$8="N/A",AND(E16="Yes",F16&lt;&gt;""),AND(E16="N/A",H16&lt;&gt;""),AND(E16="Met",F16&lt;&gt;""),AND(E16="Not met",G16&lt;&gt;""),AND(E16="Unsure",G16&lt;&gt;""),AND(E16="N/A"),AND(E16="No",G16&lt;&gt;""),AND(E16="No, submission is in draft",G16&lt;&gt;""),AND(R16=1),AND(Y16=TRUE)),1,0)</f>
        <v>0</v>
      </c>
      <c r="V16" s="38"/>
      <c r="W16" s="38"/>
      <c r="X16" s="126" t="b">
        <f>IF(OR(Y16=TRUE,BF16=0),TRUE,FALSE)</f>
        <v>0</v>
      </c>
      <c r="Y16" s="126" t="b">
        <f t="shared" ref="Y16" si="21">IF(SUM(Z16:AE16)&lt;1,TRUE,FALSE)</f>
        <v>0</v>
      </c>
      <c r="Z16" s="126">
        <f t="shared" ref="Z16" si="22">IF($Z$2=I16,1,0)</f>
        <v>1</v>
      </c>
      <c r="AA16" s="126">
        <f t="shared" ref="AA16" si="23">IF($AA$2=J16,1,0)</f>
        <v>0</v>
      </c>
      <c r="AB16" s="126">
        <f t="shared" ref="AB16" si="24">IF($AB$2=K16,1,0)</f>
        <v>0</v>
      </c>
      <c r="AC16" s="126">
        <f t="shared" ref="AC16" si="25">IF($AC$2=L16,1,0)</f>
        <v>0</v>
      </c>
      <c r="AD16" s="126">
        <f t="shared" ref="AD16" si="26">IF($AD$2=M16,1,0)</f>
        <v>0</v>
      </c>
      <c r="AE16" s="126">
        <f t="shared" ref="AE16" si="27">IF($AE$2=O16,1,0)</f>
        <v>0</v>
      </c>
      <c r="AG16" s="53"/>
      <c r="AH16" s="53"/>
      <c r="AI16" s="53"/>
      <c r="AJ16" s="53"/>
      <c r="AK16" s="53"/>
      <c r="AL16" s="53"/>
      <c r="AM16" s="38"/>
      <c r="AN16" s="38"/>
      <c r="BD16" s="64"/>
      <c r="BF16">
        <f>IF(BF17=1,0,1)</f>
        <v>1</v>
      </c>
    </row>
    <row r="17" spans="1:58" ht="62.1" customHeight="1" x14ac:dyDescent="0.25">
      <c r="A17" s="510" t="s">
        <v>399</v>
      </c>
      <c r="B17" s="511" t="s">
        <v>400</v>
      </c>
      <c r="C17" s="416" t="s">
        <v>402</v>
      </c>
      <c r="D17" s="477">
        <v>7</v>
      </c>
      <c r="E17" s="257"/>
      <c r="F17" s="258"/>
      <c r="G17" s="258"/>
      <c r="H17" s="260"/>
      <c r="I17" s="92" t="s">
        <v>168</v>
      </c>
      <c r="J17" s="92" t="s">
        <v>178</v>
      </c>
      <c r="K17" s="92" t="s">
        <v>185</v>
      </c>
      <c r="L17" s="71" t="s">
        <v>190</v>
      </c>
      <c r="M17" s="71"/>
      <c r="N17" s="71"/>
      <c r="O17" s="71"/>
      <c r="P17" s="71"/>
      <c r="Q17" s="71"/>
      <c r="R17" s="71"/>
      <c r="S17" s="42">
        <v>45482</v>
      </c>
      <c r="T17" s="64"/>
      <c r="U17" s="97">
        <f>IF(OR($E$8="N/A",AND(E17="Yes",F17&lt;&gt;""),AND(E17="N/A",H17&lt;&gt;""),AND(E17="Met",F17&lt;&gt;""),AND(E17="Not met",G17&lt;&gt;""),AND(E17="Unsure",G17&lt;&gt;""),AND(E17="N/A"),AND(E17="No",G17&lt;&gt;""),AND(E17="No, submission is in draft",G17&lt;&gt;""),AND(R17=1),AND(X17=TRUE),AND(Y17=TRUE)),1,0)</f>
        <v>1</v>
      </c>
      <c r="V17" s="38"/>
      <c r="W17" s="38"/>
      <c r="X17" s="126" t="b">
        <f>IF(OR(Y17=TRUE,BF17=0),TRUE,FALSE)</f>
        <v>1</v>
      </c>
      <c r="Y17" s="126" t="b">
        <f t="shared" si="13"/>
        <v>0</v>
      </c>
      <c r="Z17" s="126">
        <f t="shared" si="14"/>
        <v>1</v>
      </c>
      <c r="AA17" s="126">
        <f t="shared" si="15"/>
        <v>0</v>
      </c>
      <c r="AB17" s="126">
        <f t="shared" si="16"/>
        <v>0</v>
      </c>
      <c r="AC17" s="126">
        <f t="shared" si="17"/>
        <v>0</v>
      </c>
      <c r="AD17" s="126">
        <f t="shared" si="18"/>
        <v>0</v>
      </c>
      <c r="AE17" s="126">
        <f t="shared" si="19"/>
        <v>0</v>
      </c>
      <c r="AG17" s="53"/>
      <c r="AH17" s="53"/>
      <c r="AI17" s="53"/>
      <c r="AJ17" s="53"/>
      <c r="AK17" s="53"/>
      <c r="AL17" s="53"/>
      <c r="AM17" s="38"/>
      <c r="AN17" s="38"/>
      <c r="BD17" s="64"/>
      <c r="BF17">
        <f>IF('Cover Sheet'!$B$25&gt;=S17,1,0)</f>
        <v>0</v>
      </c>
    </row>
    <row r="18" spans="1:58" ht="53.1" customHeight="1" x14ac:dyDescent="0.25">
      <c r="A18" s="510" t="s">
        <v>403</v>
      </c>
      <c r="B18" s="512" t="s">
        <v>404</v>
      </c>
      <c r="C18" s="513" t="s">
        <v>405</v>
      </c>
      <c r="D18" s="477" t="s">
        <v>406</v>
      </c>
      <c r="E18" s="257"/>
      <c r="F18" s="258"/>
      <c r="G18" s="258"/>
      <c r="H18" s="260"/>
      <c r="I18" s="92" t="s">
        <v>168</v>
      </c>
      <c r="J18" s="92" t="s">
        <v>178</v>
      </c>
      <c r="K18" s="92" t="s">
        <v>185</v>
      </c>
      <c r="L18" s="71" t="s">
        <v>190</v>
      </c>
      <c r="M18" s="71"/>
      <c r="N18" s="71"/>
      <c r="O18" s="71"/>
      <c r="P18" s="71" t="s">
        <v>380</v>
      </c>
      <c r="Q18" s="71" t="b">
        <f t="shared" si="10"/>
        <v>0</v>
      </c>
      <c r="R18" s="71" t="b">
        <f>IF('Cover Sheet'!$B$19="Non-Risk",1)</f>
        <v>0</v>
      </c>
      <c r="S18" s="42"/>
      <c r="T18" s="42"/>
      <c r="U18" s="97">
        <f>IF(OR($E$8="N/A",AND(E18="Yes",F18&lt;&gt;""),AND(E18="N/A",H18&lt;&gt;""),AND(E18="Met",F18&lt;&gt;""),AND(E18="Not met",G18&lt;&gt;""),AND(E18="Unsure",G18&lt;&gt;""),AND(E18="N/A"),AND(E18="No",G18&lt;&gt;""),AND(E18="No, submission is in draft",G18&lt;&gt;""),AND(R18=1),AND(Y18=TRUE),X18=TRUE),1,0)</f>
        <v>0</v>
      </c>
      <c r="V18" s="126"/>
      <c r="W18" s="126"/>
      <c r="X18" s="126" t="b">
        <f>IF(OR(Y18=TRUE,BF18=0),TRUE,FALSE)</f>
        <v>0</v>
      </c>
      <c r="Y18" s="126" t="b">
        <f t="shared" ref="Y18" si="28">IF(SUM(Z18:AE18)&lt;1,TRUE,FALSE)</f>
        <v>0</v>
      </c>
      <c r="Z18" s="126">
        <f t="shared" ref="Z18" si="29">IF($Z$2=I18,1,0)</f>
        <v>1</v>
      </c>
      <c r="AA18" s="126">
        <f t="shared" ref="AA18" si="30">IF($AA$2=J18,1,0)</f>
        <v>0</v>
      </c>
      <c r="AB18" s="126">
        <f t="shared" ref="AB18" si="31">IF($AB$2=K18,1,0)</f>
        <v>0</v>
      </c>
      <c r="AC18" s="126">
        <f t="shared" ref="AC18" si="32">IF($AC$2=L18,1,0)</f>
        <v>0</v>
      </c>
      <c r="AD18" s="126">
        <f t="shared" ref="AD18" si="33">IF($AD$2=M18,1,0)</f>
        <v>0</v>
      </c>
      <c r="AE18" s="126">
        <f t="shared" ref="AE18" si="34">IF($AE$2=O18,1,0)</f>
        <v>0</v>
      </c>
      <c r="AG18" s="53"/>
      <c r="AH18" s="53"/>
      <c r="AM18" s="38" t="b">
        <f>IF(AND('Cover Sheet'!$B$19="Non-Risk",$R18=1),TRUE,FALSE)</f>
        <v>0</v>
      </c>
      <c r="AN18" s="38" t="b">
        <f t="shared" si="9"/>
        <v>0</v>
      </c>
      <c r="AV18" s="69" t="str">
        <f t="shared" ref="AV18" si="35">IF(AU18=1,1,"")</f>
        <v/>
      </c>
      <c r="BE18" s="5">
        <v>0</v>
      </c>
      <c r="BF18">
        <f>IF(BF19=1,0,1)</f>
        <v>1</v>
      </c>
    </row>
    <row r="19" spans="1:58" ht="53.1" customHeight="1" x14ac:dyDescent="0.25">
      <c r="A19" s="510" t="s">
        <v>403</v>
      </c>
      <c r="B19" s="512" t="s">
        <v>404</v>
      </c>
      <c r="C19" s="513" t="s">
        <v>407</v>
      </c>
      <c r="D19" s="477" t="s">
        <v>406</v>
      </c>
      <c r="E19" s="257"/>
      <c r="F19" s="258"/>
      <c r="G19" s="258"/>
      <c r="H19" s="260"/>
      <c r="I19" s="92" t="s">
        <v>168</v>
      </c>
      <c r="J19" s="92" t="s">
        <v>178</v>
      </c>
      <c r="K19" s="92" t="s">
        <v>185</v>
      </c>
      <c r="L19" s="71" t="s">
        <v>190</v>
      </c>
      <c r="M19" s="71"/>
      <c r="N19" s="71"/>
      <c r="O19" s="71"/>
      <c r="P19" s="71" t="s">
        <v>380</v>
      </c>
      <c r="Q19" s="71" t="b">
        <f t="shared" si="10"/>
        <v>0</v>
      </c>
      <c r="R19" s="71" t="b">
        <f>IF('Cover Sheet'!$B$19="Non-Risk",1)</f>
        <v>0</v>
      </c>
      <c r="S19" s="42">
        <v>45482</v>
      </c>
      <c r="T19" s="42"/>
      <c r="U19" s="97">
        <f>IF(OR($E$8="N/A",AND(E19="Yes",F19&lt;&gt;""),AND(E19="N/A",H19&lt;&gt;""),AND(E19="Met",F19&lt;&gt;""),AND(E19="Not met",G19&lt;&gt;""),AND(E19="Unsure",G19&lt;&gt;""),AND(E19="N/A"),AND(E19="No",G19&lt;&gt;""),AND(E19="No, submission is in draft",G19&lt;&gt;""),AND(R19=1),AND(Y19=TRUE),X19=TRUE),1,0)</f>
        <v>1</v>
      </c>
      <c r="V19" s="126"/>
      <c r="W19" s="126"/>
      <c r="X19" s="126" t="b">
        <f>IF(OR(Y19=TRUE,BF19=0),TRUE,FALSE)</f>
        <v>1</v>
      </c>
      <c r="Y19" s="126" t="b">
        <f t="shared" si="13"/>
        <v>0</v>
      </c>
      <c r="Z19" s="126">
        <f t="shared" si="14"/>
        <v>1</v>
      </c>
      <c r="AA19" s="126">
        <f t="shared" si="15"/>
        <v>0</v>
      </c>
      <c r="AB19" s="126">
        <f t="shared" si="16"/>
        <v>0</v>
      </c>
      <c r="AC19" s="126">
        <f t="shared" si="17"/>
        <v>0</v>
      </c>
      <c r="AD19" s="126">
        <f t="shared" si="18"/>
        <v>0</v>
      </c>
      <c r="AE19" s="126">
        <f t="shared" si="19"/>
        <v>0</v>
      </c>
      <c r="AG19" s="53"/>
      <c r="AH19" s="53"/>
      <c r="AM19" s="38" t="b">
        <f>IF(AND('Cover Sheet'!$B$19="Non-Risk",$R19=1),TRUE,FALSE)</f>
        <v>0</v>
      </c>
      <c r="AN19" s="38" t="b">
        <f t="shared" si="9"/>
        <v>0</v>
      </c>
      <c r="AV19" s="69" t="str">
        <f t="shared" si="11"/>
        <v/>
      </c>
      <c r="BE19" s="5">
        <v>0</v>
      </c>
      <c r="BF19">
        <f>IF('Cover Sheet'!$B$25&gt;=S19,1,0)</f>
        <v>0</v>
      </c>
    </row>
    <row r="20" spans="1:58" ht="87" customHeight="1" x14ac:dyDescent="0.25">
      <c r="A20" s="254" t="s">
        <v>408</v>
      </c>
      <c r="B20" s="255" t="s">
        <v>409</v>
      </c>
      <c r="C20" s="255" t="s">
        <v>410</v>
      </c>
      <c r="D20" s="477">
        <v>12</v>
      </c>
      <c r="E20" s="257"/>
      <c r="F20" s="258"/>
      <c r="G20" s="258"/>
      <c r="H20" s="260"/>
      <c r="I20" s="92" t="s">
        <v>168</v>
      </c>
      <c r="J20" s="92" t="s">
        <v>178</v>
      </c>
      <c r="K20" s="92" t="s">
        <v>185</v>
      </c>
      <c r="L20" s="71" t="s">
        <v>190</v>
      </c>
      <c r="M20" s="71" t="s">
        <v>195</v>
      </c>
      <c r="N20" s="71"/>
      <c r="O20" s="71" t="s">
        <v>200</v>
      </c>
      <c r="P20" s="71" t="s">
        <v>380</v>
      </c>
      <c r="Q20" s="71" t="b">
        <f t="shared" si="10"/>
        <v>0</v>
      </c>
      <c r="R20" s="71"/>
      <c r="S20" s="43"/>
      <c r="T20" s="43"/>
      <c r="U20" s="97">
        <f t="shared" si="0"/>
        <v>0</v>
      </c>
      <c r="V20" s="126"/>
      <c r="W20" s="126"/>
      <c r="X20" s="126" t="b">
        <f t="shared" si="1"/>
        <v>0</v>
      </c>
      <c r="Y20" s="126" t="b">
        <f t="shared" si="13"/>
        <v>0</v>
      </c>
      <c r="Z20" s="126">
        <f t="shared" si="14"/>
        <v>1</v>
      </c>
      <c r="AA20" s="126">
        <f t="shared" si="15"/>
        <v>0</v>
      </c>
      <c r="AB20" s="126">
        <f t="shared" si="16"/>
        <v>0</v>
      </c>
      <c r="AC20" s="126">
        <f t="shared" si="17"/>
        <v>0</v>
      </c>
      <c r="AD20" s="126">
        <f t="shared" si="18"/>
        <v>0</v>
      </c>
      <c r="AE20" s="126">
        <f t="shared" si="19"/>
        <v>0</v>
      </c>
      <c r="AG20" s="53"/>
      <c r="AH20" s="53"/>
      <c r="AM20" s="38" t="b">
        <f>IF(AND('Cover Sheet'!$B$19="Non-Risk",$R20=1),TRUE,FALSE)</f>
        <v>0</v>
      </c>
      <c r="AN20" s="38" t="b">
        <f t="shared" si="9"/>
        <v>0</v>
      </c>
      <c r="AU20" s="69">
        <v>1</v>
      </c>
      <c r="AV20" s="69">
        <f t="shared" si="11"/>
        <v>1</v>
      </c>
      <c r="BE20" s="5">
        <v>0</v>
      </c>
    </row>
    <row r="21" spans="1:58" ht="204.95" customHeight="1" x14ac:dyDescent="0.25">
      <c r="A21" s="254" t="s">
        <v>411</v>
      </c>
      <c r="B21" s="255" t="s">
        <v>412</v>
      </c>
      <c r="C21" s="255" t="s">
        <v>413</v>
      </c>
      <c r="D21" s="477">
        <v>13</v>
      </c>
      <c r="E21" s="257"/>
      <c r="F21" s="258"/>
      <c r="G21" s="258"/>
      <c r="H21" s="260"/>
      <c r="I21" s="92" t="s">
        <v>168</v>
      </c>
      <c r="J21" s="92" t="s">
        <v>178</v>
      </c>
      <c r="K21" s="92"/>
      <c r="L21" s="71"/>
      <c r="M21" s="71"/>
      <c r="N21" s="71"/>
      <c r="O21" s="71"/>
      <c r="P21" s="71" t="s">
        <v>380</v>
      </c>
      <c r="Q21" s="71" t="b">
        <f t="shared" si="10"/>
        <v>0</v>
      </c>
      <c r="R21" s="71"/>
      <c r="S21" s="42">
        <v>43010</v>
      </c>
      <c r="T21" s="42"/>
      <c r="U21" s="97">
        <f t="shared" si="0"/>
        <v>0</v>
      </c>
      <c r="V21" s="126"/>
      <c r="W21" s="126"/>
      <c r="X21" s="126" t="b">
        <f t="shared" si="1"/>
        <v>0</v>
      </c>
      <c r="Y21" s="126" t="b">
        <f t="shared" si="13"/>
        <v>0</v>
      </c>
      <c r="Z21" s="126">
        <f t="shared" si="14"/>
        <v>1</v>
      </c>
      <c r="AA21" s="126">
        <f t="shared" si="15"/>
        <v>0</v>
      </c>
      <c r="AB21" s="126">
        <f t="shared" si="16"/>
        <v>0</v>
      </c>
      <c r="AC21" s="126">
        <f t="shared" si="17"/>
        <v>0</v>
      </c>
      <c r="AD21" s="126">
        <f t="shared" si="18"/>
        <v>0</v>
      </c>
      <c r="AE21" s="126">
        <f t="shared" si="19"/>
        <v>0</v>
      </c>
      <c r="AG21" s="53"/>
      <c r="AH21" s="53"/>
      <c r="AM21" s="38" t="b">
        <f>IF(AND('Cover Sheet'!$B$19="Non-Risk",$R21=1),TRUE,FALSE)</f>
        <v>0</v>
      </c>
      <c r="AN21" s="38" t="b">
        <f t="shared" si="9"/>
        <v>0</v>
      </c>
      <c r="AU21" s="69">
        <v>1</v>
      </c>
      <c r="AV21" s="69">
        <f t="shared" si="11"/>
        <v>1</v>
      </c>
      <c r="BE21" s="5">
        <v>0</v>
      </c>
    </row>
    <row r="22" spans="1:58" ht="126.95" customHeight="1" x14ac:dyDescent="0.25">
      <c r="A22" s="254" t="s">
        <v>414</v>
      </c>
      <c r="B22" s="261" t="s">
        <v>415</v>
      </c>
      <c r="C22" s="261" t="s">
        <v>416</v>
      </c>
      <c r="D22" s="477" t="s">
        <v>417</v>
      </c>
      <c r="E22" s="257"/>
      <c r="F22" s="258"/>
      <c r="G22" s="258"/>
      <c r="H22" s="260"/>
      <c r="I22" s="92" t="s">
        <v>168</v>
      </c>
      <c r="J22" s="92" t="s">
        <v>178</v>
      </c>
      <c r="K22" s="92" t="s">
        <v>185</v>
      </c>
      <c r="L22" s="71" t="s">
        <v>190</v>
      </c>
      <c r="M22" s="71"/>
      <c r="N22" s="71"/>
      <c r="O22" s="71"/>
      <c r="P22" s="71" t="s">
        <v>380</v>
      </c>
      <c r="Q22" s="71" t="b">
        <f t="shared" si="10"/>
        <v>0</v>
      </c>
      <c r="R22" s="71" t="b">
        <f>IF('Cover Sheet'!$B$19="Non-Risk",1)</f>
        <v>0</v>
      </c>
      <c r="S22" s="42"/>
      <c r="T22" s="93"/>
      <c r="U22" s="97">
        <f>IF(OR($E$8="N/A",AND(E22="Yes",F22&lt;&gt;""),AND(E22="N/A",H22&lt;&gt;""),AND(E22="Met",F22&lt;&gt;""),AND(E22="Not met",G22&lt;&gt;""),AND(E22="Unsure",G22&lt;&gt;""),AND(E22="N/A"),AND(E22="No",G22&lt;&gt;""),AND(E22="No, submission is in draft",G22&lt;&gt;""),AND(R22=1),AND(Y22=TRUE),X22=TRUE),1,0)</f>
        <v>0</v>
      </c>
      <c r="V22" s="126"/>
      <c r="W22" s="126"/>
      <c r="X22" s="126" t="b">
        <f>IF(OR(Y22=TRUE,BF22=0),TRUE,FALSE)</f>
        <v>0</v>
      </c>
      <c r="Y22" s="126" t="b">
        <f t="shared" ref="Y22" si="36">IF(SUM(Z22:AE22)&lt;1,TRUE,FALSE)</f>
        <v>0</v>
      </c>
      <c r="Z22" s="126">
        <f t="shared" ref="Z22" si="37">IF($Z$2=I22,1,0)</f>
        <v>1</v>
      </c>
      <c r="AA22" s="126">
        <f t="shared" ref="AA22" si="38">IF($AA$2=J22,1,0)</f>
        <v>0</v>
      </c>
      <c r="AB22" s="126">
        <f t="shared" ref="AB22" si="39">IF($AB$2=K22,1,0)</f>
        <v>0</v>
      </c>
      <c r="AC22" s="126">
        <f t="shared" ref="AC22" si="40">IF($AC$2=L22,1,0)</f>
        <v>0</v>
      </c>
      <c r="AD22" s="126">
        <f t="shared" ref="AD22" si="41">IF($AD$2=M22,1,0)</f>
        <v>0</v>
      </c>
      <c r="AE22" s="126">
        <f t="shared" ref="AE22" si="42">IF($AE$2=O22,1,0)</f>
        <v>0</v>
      </c>
      <c r="AG22" s="53"/>
      <c r="AH22" s="53"/>
      <c r="AM22" s="38" t="b">
        <f>IF(AND('Cover Sheet'!$B$19="Non-Risk",$R22=1),TRUE,FALSE)</f>
        <v>0</v>
      </c>
      <c r="AN22" s="38" t="b">
        <f t="shared" si="9"/>
        <v>0</v>
      </c>
      <c r="AU22" s="69">
        <v>1</v>
      </c>
      <c r="AV22" s="69">
        <f t="shared" ref="AV22" si="43">IF(AU22=1,1,"")</f>
        <v>1</v>
      </c>
      <c r="BE22" s="5">
        <v>0</v>
      </c>
      <c r="BF22">
        <f>IF(BF23=1,0,1)</f>
        <v>1</v>
      </c>
    </row>
    <row r="23" spans="1:58" ht="156.75" customHeight="1" x14ac:dyDescent="0.25">
      <c r="A23" s="254" t="s">
        <v>414</v>
      </c>
      <c r="B23" s="261" t="s">
        <v>415</v>
      </c>
      <c r="C23" s="261" t="s">
        <v>418</v>
      </c>
      <c r="D23" s="477" t="s">
        <v>417</v>
      </c>
      <c r="E23" s="257"/>
      <c r="F23" s="258"/>
      <c r="G23" s="258"/>
      <c r="H23" s="260"/>
      <c r="I23" s="92" t="s">
        <v>168</v>
      </c>
      <c r="J23" s="92" t="s">
        <v>178</v>
      </c>
      <c r="K23" s="92" t="s">
        <v>185</v>
      </c>
      <c r="L23" s="71" t="s">
        <v>190</v>
      </c>
      <c r="M23" s="71"/>
      <c r="N23" s="71"/>
      <c r="O23" s="71"/>
      <c r="P23" s="71" t="s">
        <v>380</v>
      </c>
      <c r="Q23" s="71" t="b">
        <f t="shared" si="10"/>
        <v>0</v>
      </c>
      <c r="R23" s="71" t="b">
        <f>IF('Cover Sheet'!$B$19="Non-Risk",1)</f>
        <v>0</v>
      </c>
      <c r="S23" s="42">
        <v>45482</v>
      </c>
      <c r="T23" s="93"/>
      <c r="U23" s="97">
        <f>IF(OR($E$8="N/A",AND(E23="Yes",F23&lt;&gt;""),AND(E23="N/A",H23&lt;&gt;""),AND(E23="Met",F23&lt;&gt;""),AND(E23="Not met",G23&lt;&gt;""),AND(E23="Unsure",G23&lt;&gt;""),AND(E23="N/A"),AND(E23="No",G23&lt;&gt;""),AND(E23="No, submission is in draft",G23&lt;&gt;""),AND(R23=1),AND(Y23=TRUE),X23=TRUE),1,0)</f>
        <v>1</v>
      </c>
      <c r="V23" s="126"/>
      <c r="W23" s="126"/>
      <c r="X23" s="126" t="b">
        <f>IF(OR(Y23=TRUE,BF23=0),TRUE,FALSE)</f>
        <v>1</v>
      </c>
      <c r="Y23" s="126" t="b">
        <f t="shared" si="13"/>
        <v>0</v>
      </c>
      <c r="Z23" s="126">
        <f t="shared" si="14"/>
        <v>1</v>
      </c>
      <c r="AA23" s="126">
        <f t="shared" si="15"/>
        <v>0</v>
      </c>
      <c r="AB23" s="126">
        <f t="shared" si="16"/>
        <v>0</v>
      </c>
      <c r="AC23" s="126">
        <f t="shared" si="17"/>
        <v>0</v>
      </c>
      <c r="AD23" s="126">
        <f t="shared" si="18"/>
        <v>0</v>
      </c>
      <c r="AE23" s="126">
        <f t="shared" si="19"/>
        <v>0</v>
      </c>
      <c r="AG23" s="53"/>
      <c r="AH23" s="53"/>
      <c r="AM23" s="38" t="b">
        <f>IF(AND('Cover Sheet'!$B$19="Non-Risk",$R23=1),TRUE,FALSE)</f>
        <v>0</v>
      </c>
      <c r="AN23" s="38" t="b">
        <f t="shared" si="9"/>
        <v>0</v>
      </c>
      <c r="AU23" s="69">
        <v>1</v>
      </c>
      <c r="AV23" s="69">
        <f t="shared" si="11"/>
        <v>1</v>
      </c>
      <c r="BE23" s="5">
        <v>0</v>
      </c>
      <c r="BF23">
        <f>IF('Cover Sheet'!$B$25&gt;=S23,1,0)</f>
        <v>0</v>
      </c>
    </row>
    <row r="24" spans="1:58" ht="74.099999999999994" customHeight="1" x14ac:dyDescent="0.25">
      <c r="A24" s="254" t="s">
        <v>419</v>
      </c>
      <c r="B24" s="261" t="s">
        <v>420</v>
      </c>
      <c r="C24" s="261" t="s">
        <v>421</v>
      </c>
      <c r="D24" s="477">
        <v>18</v>
      </c>
      <c r="E24" s="257"/>
      <c r="F24" s="258"/>
      <c r="G24" s="258"/>
      <c r="H24" s="260"/>
      <c r="I24" s="92" t="s">
        <v>168</v>
      </c>
      <c r="J24" s="92" t="s">
        <v>178</v>
      </c>
      <c r="K24" s="92" t="s">
        <v>185</v>
      </c>
      <c r="L24" s="71" t="s">
        <v>190</v>
      </c>
      <c r="M24" s="71"/>
      <c r="N24" s="71"/>
      <c r="O24" s="71"/>
      <c r="P24" s="71" t="s">
        <v>380</v>
      </c>
      <c r="Q24" s="71" t="b">
        <f t="shared" si="10"/>
        <v>0</v>
      </c>
      <c r="R24" s="71" t="b">
        <f>IF('Cover Sheet'!$B$19="Non-Risk",1)</f>
        <v>0</v>
      </c>
      <c r="S24" s="42">
        <v>44179</v>
      </c>
      <c r="T24" s="93"/>
      <c r="U24" s="97">
        <f t="shared" si="0"/>
        <v>0</v>
      </c>
      <c r="V24" s="126"/>
      <c r="W24" s="126"/>
      <c r="X24" s="126" t="b">
        <f t="shared" si="1"/>
        <v>0</v>
      </c>
      <c r="Y24" s="126" t="b">
        <f t="shared" si="13"/>
        <v>0</v>
      </c>
      <c r="Z24" s="126">
        <f t="shared" si="14"/>
        <v>1</v>
      </c>
      <c r="AA24" s="126">
        <f t="shared" si="15"/>
        <v>0</v>
      </c>
      <c r="AB24" s="126">
        <f t="shared" si="16"/>
        <v>0</v>
      </c>
      <c r="AC24" s="126">
        <f t="shared" si="17"/>
        <v>0</v>
      </c>
      <c r="AD24" s="126">
        <f t="shared" si="18"/>
        <v>0</v>
      </c>
      <c r="AE24" s="126">
        <f t="shared" si="19"/>
        <v>0</v>
      </c>
      <c r="AG24" s="53"/>
      <c r="AH24" s="53"/>
      <c r="AM24" s="38" t="b">
        <f>IF(AND('Cover Sheet'!$B$19="Non-Risk",$R24=1),TRUE,FALSE)</f>
        <v>0</v>
      </c>
      <c r="AN24" s="38" t="b">
        <f t="shared" si="9"/>
        <v>0</v>
      </c>
      <c r="AU24" s="69">
        <v>1</v>
      </c>
      <c r="AV24" s="69">
        <f t="shared" si="11"/>
        <v>1</v>
      </c>
      <c r="BE24" s="5">
        <v>0</v>
      </c>
    </row>
    <row r="25" spans="1:58" ht="40.5" customHeight="1" x14ac:dyDescent="0.25">
      <c r="A25" s="254" t="s">
        <v>422</v>
      </c>
      <c r="B25" s="255" t="s">
        <v>423</v>
      </c>
      <c r="C25" s="255" t="s">
        <v>424</v>
      </c>
      <c r="D25" s="473"/>
      <c r="E25" s="257"/>
      <c r="F25" s="258"/>
      <c r="G25" s="258"/>
      <c r="H25" s="260"/>
      <c r="I25" s="92" t="s">
        <v>168</v>
      </c>
      <c r="J25" s="92" t="s">
        <v>178</v>
      </c>
      <c r="K25" s="92" t="s">
        <v>185</v>
      </c>
      <c r="L25" s="71" t="s">
        <v>190</v>
      </c>
      <c r="M25" s="71"/>
      <c r="N25" s="71"/>
      <c r="O25" s="71" t="s">
        <v>200</v>
      </c>
      <c r="P25" s="71" t="s">
        <v>380</v>
      </c>
      <c r="Q25" s="71" t="b">
        <f t="shared" si="10"/>
        <v>0</v>
      </c>
      <c r="R25" s="71"/>
      <c r="S25" s="42">
        <v>42917</v>
      </c>
      <c r="T25" s="42"/>
      <c r="U25" s="97">
        <f t="shared" si="0"/>
        <v>0</v>
      </c>
      <c r="V25" s="126"/>
      <c r="W25" s="126"/>
      <c r="X25" s="126" t="b">
        <f t="shared" si="1"/>
        <v>0</v>
      </c>
      <c r="Y25" s="126" t="b">
        <f t="shared" si="13"/>
        <v>0</v>
      </c>
      <c r="Z25" s="126">
        <f t="shared" si="14"/>
        <v>1</v>
      </c>
      <c r="AA25" s="126">
        <f t="shared" si="15"/>
        <v>0</v>
      </c>
      <c r="AB25" s="126">
        <f t="shared" si="16"/>
        <v>0</v>
      </c>
      <c r="AC25" s="126">
        <f t="shared" si="17"/>
        <v>0</v>
      </c>
      <c r="AD25" s="126">
        <f t="shared" si="18"/>
        <v>0</v>
      </c>
      <c r="AE25" s="126">
        <f t="shared" si="19"/>
        <v>0</v>
      </c>
      <c r="AG25" s="53"/>
      <c r="AH25" s="53"/>
      <c r="AM25" s="38" t="b">
        <f>IF(AND('Cover Sheet'!$B$19="Non-Risk",$R25=1),TRUE,FALSE)</f>
        <v>0</v>
      </c>
      <c r="AN25" s="38" t="b">
        <f t="shared" si="9"/>
        <v>0</v>
      </c>
      <c r="AU25" s="69">
        <v>1</v>
      </c>
      <c r="AV25" s="69">
        <f t="shared" si="11"/>
        <v>1</v>
      </c>
      <c r="BE25" s="5">
        <v>0</v>
      </c>
    </row>
    <row r="26" spans="1:58" ht="28.5" customHeight="1" x14ac:dyDescent="0.25">
      <c r="A26" s="254" t="s">
        <v>425</v>
      </c>
      <c r="B26" s="255" t="s">
        <v>426</v>
      </c>
      <c r="C26" s="255" t="s">
        <v>427</v>
      </c>
      <c r="D26" s="473"/>
      <c r="E26" s="257"/>
      <c r="F26" s="258"/>
      <c r="G26" s="258"/>
      <c r="H26" s="260"/>
      <c r="I26" s="92" t="s">
        <v>168</v>
      </c>
      <c r="J26" s="92" t="s">
        <v>178</v>
      </c>
      <c r="K26" s="92" t="s">
        <v>185</v>
      </c>
      <c r="L26" s="71" t="s">
        <v>190</v>
      </c>
      <c r="M26" s="71"/>
      <c r="N26" s="71"/>
      <c r="O26" s="71" t="s">
        <v>200</v>
      </c>
      <c r="P26" s="71" t="s">
        <v>380</v>
      </c>
      <c r="Q26" s="71" t="b">
        <f t="shared" si="10"/>
        <v>0</v>
      </c>
      <c r="R26" s="71"/>
      <c r="S26" s="42">
        <v>42917</v>
      </c>
      <c r="T26" s="42"/>
      <c r="U26" s="97">
        <f t="shared" si="0"/>
        <v>0</v>
      </c>
      <c r="V26" s="126"/>
      <c r="W26" s="126"/>
      <c r="X26" s="126" t="b">
        <f t="shared" si="1"/>
        <v>0</v>
      </c>
      <c r="Y26" s="126" t="b">
        <f t="shared" si="13"/>
        <v>0</v>
      </c>
      <c r="Z26" s="126">
        <f t="shared" si="14"/>
        <v>1</v>
      </c>
      <c r="AA26" s="126">
        <f t="shared" si="15"/>
        <v>0</v>
      </c>
      <c r="AB26" s="126">
        <f t="shared" si="16"/>
        <v>0</v>
      </c>
      <c r="AC26" s="126">
        <f t="shared" si="17"/>
        <v>0</v>
      </c>
      <c r="AD26" s="126">
        <f t="shared" si="18"/>
        <v>0</v>
      </c>
      <c r="AE26" s="126">
        <f t="shared" si="19"/>
        <v>0</v>
      </c>
      <c r="AG26" s="53"/>
      <c r="AH26" s="53"/>
      <c r="AM26" s="38" t="b">
        <f>IF(AND('Cover Sheet'!$B$19="Non-Risk",$R26=1),TRUE,FALSE)</f>
        <v>0</v>
      </c>
      <c r="AN26" s="38" t="b">
        <f t="shared" si="9"/>
        <v>0</v>
      </c>
      <c r="AU26" s="69">
        <v>1</v>
      </c>
      <c r="AV26" s="69">
        <f t="shared" si="11"/>
        <v>1</v>
      </c>
      <c r="BE26" s="5">
        <v>0</v>
      </c>
    </row>
    <row r="27" spans="1:58" ht="40.5" customHeight="1" x14ac:dyDescent="0.25">
      <c r="A27" s="254" t="s">
        <v>428</v>
      </c>
      <c r="B27" s="255" t="s">
        <v>429</v>
      </c>
      <c r="C27" s="255" t="s">
        <v>430</v>
      </c>
      <c r="D27" s="473"/>
      <c r="E27" s="257"/>
      <c r="F27" s="258"/>
      <c r="G27" s="258"/>
      <c r="H27" s="260"/>
      <c r="I27" s="92" t="s">
        <v>168</v>
      </c>
      <c r="J27" s="92" t="s">
        <v>178</v>
      </c>
      <c r="K27" s="92" t="s">
        <v>185</v>
      </c>
      <c r="L27" s="71" t="s">
        <v>190</v>
      </c>
      <c r="M27" s="71"/>
      <c r="N27" s="71"/>
      <c r="O27" s="71" t="s">
        <v>200</v>
      </c>
      <c r="P27" s="71" t="s">
        <v>380</v>
      </c>
      <c r="Q27" s="71" t="b">
        <f t="shared" si="10"/>
        <v>0</v>
      </c>
      <c r="R27" s="71"/>
      <c r="S27" s="42">
        <v>42917</v>
      </c>
      <c r="T27" s="42"/>
      <c r="U27" s="97">
        <f t="shared" si="0"/>
        <v>0</v>
      </c>
      <c r="V27" s="126"/>
      <c r="W27" s="126"/>
      <c r="X27" s="126" t="b">
        <f t="shared" si="1"/>
        <v>0</v>
      </c>
      <c r="Y27" s="126" t="b">
        <f t="shared" si="13"/>
        <v>0</v>
      </c>
      <c r="Z27" s="126">
        <f t="shared" si="14"/>
        <v>1</v>
      </c>
      <c r="AA27" s="126">
        <f t="shared" si="15"/>
        <v>0</v>
      </c>
      <c r="AB27" s="126">
        <f t="shared" si="16"/>
        <v>0</v>
      </c>
      <c r="AC27" s="126">
        <f t="shared" si="17"/>
        <v>0</v>
      </c>
      <c r="AD27" s="126">
        <f t="shared" si="18"/>
        <v>0</v>
      </c>
      <c r="AE27" s="126">
        <f t="shared" si="19"/>
        <v>0</v>
      </c>
      <c r="AG27" s="53"/>
      <c r="AH27" s="53"/>
      <c r="AM27" s="38" t="b">
        <f>IF(AND('Cover Sheet'!$B$19="Non-Risk",$R27=1),TRUE,FALSE)</f>
        <v>0</v>
      </c>
      <c r="AN27" s="38" t="b">
        <f t="shared" si="9"/>
        <v>0</v>
      </c>
      <c r="AU27" s="69">
        <v>1</v>
      </c>
      <c r="AV27" s="69">
        <f t="shared" si="11"/>
        <v>1</v>
      </c>
      <c r="BE27" s="5">
        <v>0</v>
      </c>
    </row>
    <row r="28" spans="1:58" ht="99.75" customHeight="1" x14ac:dyDescent="0.25">
      <c r="A28" s="254" t="s">
        <v>431</v>
      </c>
      <c r="B28" s="255" t="s">
        <v>432</v>
      </c>
      <c r="C28" s="255" t="s">
        <v>433</v>
      </c>
      <c r="D28" s="473"/>
      <c r="E28" s="257"/>
      <c r="F28" s="258"/>
      <c r="G28" s="258"/>
      <c r="H28" s="260"/>
      <c r="I28" s="92" t="s">
        <v>168</v>
      </c>
      <c r="J28" s="92" t="s">
        <v>178</v>
      </c>
      <c r="K28" s="92" t="s">
        <v>185</v>
      </c>
      <c r="L28" s="71" t="s">
        <v>190</v>
      </c>
      <c r="M28" s="71"/>
      <c r="N28" s="71"/>
      <c r="O28" s="71"/>
      <c r="P28" s="71"/>
      <c r="Q28" s="71"/>
      <c r="R28" s="71"/>
      <c r="S28" s="42">
        <v>45544</v>
      </c>
      <c r="T28" s="42"/>
      <c r="U28" s="97">
        <f>IF(OR($E$8="N/A",AND(E28="Yes",F28&lt;&gt;""),AND(E28="N/A",H28&lt;&gt;""),AND(E28="Met",F28&lt;&gt;""),AND(E28="Not met",G28&lt;&gt;""),AND(E28="Unsure",G28&lt;&gt;""),AND(E28="N/A"),AND(E28="No",G28&lt;&gt;""),AND(E28="No, submission is in draft",G28&lt;&gt;""),AND(R28=1),AND(Y28=TRUE),X28=TRUE),1,0)</f>
        <v>1</v>
      </c>
      <c r="V28" s="126"/>
      <c r="W28" s="126"/>
      <c r="X28" s="126" t="b">
        <f>IF(OR(Y28=TRUE,BF28=0),TRUE,FALSE)</f>
        <v>1</v>
      </c>
      <c r="Y28" s="126" t="b">
        <f>IF(SUM(Z28:AE28)&lt;1,TRUE,FALSE)</f>
        <v>0</v>
      </c>
      <c r="Z28" s="126">
        <f>IF($Z$2=I28,1,0)</f>
        <v>1</v>
      </c>
      <c r="AA28" s="126">
        <f>IF($AA$2=J28,1,0)</f>
        <v>0</v>
      </c>
      <c r="AB28" s="126">
        <f>IF($AB$2=K28,1,0)</f>
        <v>0</v>
      </c>
      <c r="AC28" s="126">
        <f>IF($AC$2=L28,1,0)</f>
        <v>0</v>
      </c>
      <c r="AD28" s="126">
        <f>IF($AD$2=M28,1,0)</f>
        <v>0</v>
      </c>
      <c r="AE28" s="126">
        <f>IF($AE$2=O28,1,0)</f>
        <v>0</v>
      </c>
      <c r="AG28" s="53"/>
      <c r="AH28" s="53"/>
      <c r="AM28" s="38"/>
      <c r="AN28" s="38" t="b">
        <f t="shared" si="9"/>
        <v>0</v>
      </c>
      <c r="BE28" s="5">
        <v>0</v>
      </c>
      <c r="BF28">
        <f>IF('Cover Sheet'!$B$25&gt;=S28,1,0)</f>
        <v>0</v>
      </c>
    </row>
    <row r="29" spans="1:58" ht="51" customHeight="1" x14ac:dyDescent="0.25">
      <c r="A29" s="254" t="s">
        <v>319</v>
      </c>
      <c r="B29" s="255" t="s">
        <v>434</v>
      </c>
      <c r="C29" s="255" t="s">
        <v>435</v>
      </c>
      <c r="D29" s="477" t="s">
        <v>406</v>
      </c>
      <c r="E29" s="257"/>
      <c r="F29" s="258"/>
      <c r="G29" s="258"/>
      <c r="H29" s="260"/>
      <c r="I29" s="92" t="s">
        <v>168</v>
      </c>
      <c r="J29" s="92" t="s">
        <v>178</v>
      </c>
      <c r="K29" s="92" t="s">
        <v>185</v>
      </c>
      <c r="L29" s="71" t="s">
        <v>190</v>
      </c>
      <c r="M29" s="71" t="s">
        <v>195</v>
      </c>
      <c r="N29" s="71"/>
      <c r="O29" s="71"/>
      <c r="P29" s="71" t="s">
        <v>380</v>
      </c>
      <c r="Q29" s="71" t="b">
        <f>IF(OR(AND($C$2="Base contract",$C$3="No, section requirements must be reviewed",$AG29=FALSE, $AH29=FALSE),AND($C$2="Contract amendment",$C$3="No, section requirements must be reviewed",$AG29=FALSE,$AH29=FALSE)),"YNNN")</f>
        <v>0</v>
      </c>
      <c r="R29" s="71" t="b">
        <f>IF('Cover Sheet'!$B$19="Non-Risk",1)</f>
        <v>0</v>
      </c>
      <c r="S29" s="42"/>
      <c r="T29" s="42"/>
      <c r="U29" s="97">
        <f t="shared" si="0"/>
        <v>0</v>
      </c>
      <c r="V29" s="126"/>
      <c r="W29" s="126"/>
      <c r="X29" s="126" t="b">
        <f t="shared" si="1"/>
        <v>0</v>
      </c>
      <c r="Y29" s="126" t="b">
        <f t="shared" si="13"/>
        <v>0</v>
      </c>
      <c r="Z29" s="126">
        <f t="shared" si="14"/>
        <v>1</v>
      </c>
      <c r="AA29" s="126">
        <f t="shared" si="15"/>
        <v>0</v>
      </c>
      <c r="AB29" s="126">
        <f t="shared" si="16"/>
        <v>0</v>
      </c>
      <c r="AC29" s="126">
        <f t="shared" si="17"/>
        <v>0</v>
      </c>
      <c r="AD29" s="126">
        <f t="shared" si="18"/>
        <v>0</v>
      </c>
      <c r="AE29" s="126">
        <f t="shared" si="19"/>
        <v>0</v>
      </c>
      <c r="AG29" s="53"/>
      <c r="AH29" s="53"/>
      <c r="AM29" s="38" t="b">
        <f>IF(AND('Cover Sheet'!$B$19="Non-Risk",$R29=1),TRUE,FALSE)</f>
        <v>0</v>
      </c>
      <c r="AN29" s="38" t="e">
        <f t="shared" si="9"/>
        <v>#VALUE!</v>
      </c>
      <c r="AU29" s="69">
        <v>1</v>
      </c>
      <c r="AV29" s="69">
        <f t="shared" si="11"/>
        <v>1</v>
      </c>
      <c r="BE29" s="5">
        <v>0</v>
      </c>
    </row>
    <row r="30" spans="1:58" ht="41.25" customHeight="1" x14ac:dyDescent="0.25">
      <c r="A30" s="254" t="s">
        <v>319</v>
      </c>
      <c r="B30" s="255" t="s">
        <v>319</v>
      </c>
      <c r="C30" s="255" t="s">
        <v>436</v>
      </c>
      <c r="D30" s="477" t="s">
        <v>437</v>
      </c>
      <c r="E30" s="257"/>
      <c r="F30" s="258"/>
      <c r="G30" s="258"/>
      <c r="H30" s="260"/>
      <c r="I30" s="92" t="s">
        <v>168</v>
      </c>
      <c r="J30" s="92" t="s">
        <v>178</v>
      </c>
      <c r="K30" s="92" t="s">
        <v>185</v>
      </c>
      <c r="L30" s="71" t="s">
        <v>190</v>
      </c>
      <c r="M30" s="71" t="s">
        <v>195</v>
      </c>
      <c r="N30" s="71"/>
      <c r="O30" s="71"/>
      <c r="P30" s="71" t="s">
        <v>380</v>
      </c>
      <c r="Q30" s="71" t="b">
        <f>IF(OR(AND($C$2="Base contract",$C$3="No, section requirements must be reviewed",$AG30=FALSE, $AH30=FALSE),AND($C$2="Contract amendment",$C$3="No, section requirements must be reviewed",$AG30=FALSE,$AH30=FALSE)),"YNNN")</f>
        <v>0</v>
      </c>
      <c r="R30" s="71" t="b">
        <f>IF('Cover Sheet'!$B$19="Non-Risk",1)</f>
        <v>0</v>
      </c>
      <c r="S30" s="42"/>
      <c r="T30" s="42"/>
      <c r="U30" s="97">
        <f t="shared" si="0"/>
        <v>0</v>
      </c>
      <c r="V30" s="126"/>
      <c r="W30" s="126"/>
      <c r="X30" s="126" t="b">
        <f t="shared" si="1"/>
        <v>0</v>
      </c>
      <c r="Y30" s="126" t="b">
        <f t="shared" si="13"/>
        <v>0</v>
      </c>
      <c r="Z30" s="126">
        <f t="shared" si="14"/>
        <v>1</v>
      </c>
      <c r="AA30" s="126">
        <f t="shared" si="15"/>
        <v>0</v>
      </c>
      <c r="AB30" s="126">
        <f t="shared" si="16"/>
        <v>0</v>
      </c>
      <c r="AC30" s="126">
        <f t="shared" si="17"/>
        <v>0</v>
      </c>
      <c r="AD30" s="126">
        <f t="shared" si="18"/>
        <v>0</v>
      </c>
      <c r="AE30" s="126">
        <f t="shared" si="19"/>
        <v>0</v>
      </c>
      <c r="AG30" s="53"/>
      <c r="AH30" s="53"/>
      <c r="AM30" s="38" t="b">
        <f>IF(AND('Cover Sheet'!$B$19="Non-Risk",$R30=1),TRUE,FALSE)</f>
        <v>0</v>
      </c>
      <c r="AN30" s="38" t="e">
        <f t="shared" si="9"/>
        <v>#VALUE!</v>
      </c>
      <c r="AU30" s="69">
        <v>1</v>
      </c>
      <c r="AV30" s="69">
        <f t="shared" si="11"/>
        <v>1</v>
      </c>
      <c r="BE30" s="5">
        <v>0</v>
      </c>
    </row>
    <row r="31" spans="1:58" ht="25.5" x14ac:dyDescent="0.25">
      <c r="A31" s="514" t="s">
        <v>319</v>
      </c>
      <c r="B31" s="515" t="s">
        <v>438</v>
      </c>
      <c r="C31" s="515" t="s">
        <v>439</v>
      </c>
      <c r="D31" s="519"/>
      <c r="E31" s="257"/>
      <c r="F31" s="520"/>
      <c r="G31" s="520"/>
      <c r="H31" s="521"/>
      <c r="I31" s="92" t="s">
        <v>168</v>
      </c>
      <c r="J31" s="92"/>
      <c r="K31" s="92" t="s">
        <v>185</v>
      </c>
      <c r="L31" s="71" t="s">
        <v>190</v>
      </c>
      <c r="M31" s="71" t="s">
        <v>195</v>
      </c>
      <c r="N31" s="71" t="s">
        <v>345</v>
      </c>
      <c r="O31" s="71" t="s">
        <v>200</v>
      </c>
      <c r="P31" s="71" t="s">
        <v>380</v>
      </c>
      <c r="Q31" s="71" t="b">
        <f>IF(OR(AND($C$2="Base contract",$C$3="No, section requirements must be reviewed",$AG31=FALSE, $AH31=FALSE),AND($C$2="Contract amendment",$C$3="No, section requirements must be reviewed",$AG31=FALSE,$AH31=FALSE)),"YNNN")</f>
        <v>0</v>
      </c>
      <c r="R31" s="71"/>
      <c r="S31" s="42">
        <v>43282</v>
      </c>
      <c r="T31" s="42"/>
      <c r="U31" s="97">
        <f t="shared" si="0"/>
        <v>0</v>
      </c>
      <c r="V31" s="126"/>
      <c r="W31" s="126"/>
      <c r="X31" s="126" t="b">
        <f t="shared" si="1"/>
        <v>0</v>
      </c>
      <c r="Y31" s="126" t="b">
        <f t="shared" si="13"/>
        <v>0</v>
      </c>
      <c r="Z31" s="126">
        <f t="shared" si="14"/>
        <v>1</v>
      </c>
      <c r="AA31" s="126">
        <f t="shared" si="15"/>
        <v>0</v>
      </c>
      <c r="AB31" s="126">
        <f t="shared" si="16"/>
        <v>0</v>
      </c>
      <c r="AC31" s="126">
        <f t="shared" si="17"/>
        <v>0</v>
      </c>
      <c r="AD31" s="126">
        <f t="shared" si="18"/>
        <v>0</v>
      </c>
      <c r="AE31" s="126">
        <f t="shared" si="19"/>
        <v>0</v>
      </c>
      <c r="AF31" s="53" t="str">
        <f>IF(AT31=1,IF(SUMPRODUCT(--(E31:H31&lt;&gt;""))=0,"TRUE","FALSE"), "FALSE")</f>
        <v>FALSE</v>
      </c>
      <c r="AG31" s="53"/>
      <c r="AH31" s="53"/>
      <c r="AM31" s="38" t="b">
        <f>IF(AND('Cover Sheet'!$B$19="Non-Risk",$R31=1),TRUE,FALSE)</f>
        <v>0</v>
      </c>
      <c r="AN31" s="38" t="e">
        <f>IF(OR(AND($H$6="Medicaid",MID($A31,1,FIND(".",$A31,1)-1)="II"),AND($H$6="CHIP",MID($A31,1,FIND(".",$A31,1)-1)="I")),TRUE,FALSE)</f>
        <v>#VALUE!</v>
      </c>
      <c r="AP31" s="45">
        <v>0</v>
      </c>
      <c r="AQ31" s="79"/>
      <c r="AR31" s="79"/>
      <c r="AS31" s="57" t="str">
        <f>IF(AP31=1,AR31=C31,"")</f>
        <v/>
      </c>
      <c r="AT31" s="57">
        <f>IF($AP$2=1, IF(AP31=1,1,0),0)</f>
        <v>0</v>
      </c>
      <c r="AV31" s="69" t="str">
        <f>IF(AU31=1,1,"")</f>
        <v/>
      </c>
      <c r="BA31" s="69">
        <f>IF(OR(AND($H$6="Both",OR(AND(AP31=0,OR(NOT(ISBLANK(E31)),NOT(ISBLANK(F31)),NOT(ISBLANK(G31)),NOT(ISBLANK(H31)))),AND(AP31=1,AF31="TRUE",OR(AW31&lt;&gt;0,AX31&lt;&gt;0,AY31&lt;&gt;0,AZ31&lt;&gt;0)),AND(AP31=1,AF31="FALSE",OR(NOT(ISBLANK(E31)),NOT(ISBLANK(F31)),NOT(ISBLANK(G31)),NOT(ISBLANK(H31)))))),AND($H$6="CHIP",OR(NOT(ISBLANK(E31)),NOT(ISBLANK(F31)),NOT(ISBLANK(G31)),NOT(ISBLANK(H31)))),U31=1),1,0)</f>
        <v>0</v>
      </c>
      <c r="BB31" s="99">
        <f>IF(AND(OR(OR(AG31=TRUE,AH31=TRUE),AND($H$6="Both",OR(AND(AP31=1,AF31="TRUE",BC31=1,OR(AW31="Yes",AW31="N/A",AW31="Met")),AND(AF31="FALSE",OR(AND(E31="Yes",NOT(ISBLANK(F31))),AND(E31="N/A",NOT(ISBLANK(H31))),AND(E31="Met",NOT(ISBLANK(F31))))))),AND($H$6="CHIP",OR(AND(E31="Yes",NOT(ISBLANK(F31))),AND(E31="N/A",NOT(ISBLANK(H31))),AND(E31="Met",NOT(ISBLANK(F31)))))),U31=1),1,0)</f>
        <v>0</v>
      </c>
      <c r="BE31" s="5">
        <v>0</v>
      </c>
    </row>
    <row r="32" spans="1:58" ht="39.6" customHeight="1" x14ac:dyDescent="0.25">
      <c r="A32" s="263" t="s">
        <v>319</v>
      </c>
      <c r="B32" s="263" t="s">
        <v>440</v>
      </c>
      <c r="C32" s="263" t="s">
        <v>441</v>
      </c>
      <c r="D32" s="470">
        <v>20</v>
      </c>
      <c r="E32" s="264"/>
      <c r="F32" s="522"/>
      <c r="G32" s="522"/>
      <c r="H32" s="522"/>
      <c r="I32" s="167" t="s">
        <v>168</v>
      </c>
      <c r="J32" s="92"/>
      <c r="K32" s="167" t="s">
        <v>185</v>
      </c>
      <c r="L32" s="166" t="s">
        <v>190</v>
      </c>
      <c r="M32" s="71"/>
      <c r="N32" s="71"/>
      <c r="O32" s="71"/>
      <c r="P32" s="166" t="s">
        <v>397</v>
      </c>
      <c r="Q32" s="166"/>
      <c r="R32" s="166"/>
      <c r="S32" s="170"/>
      <c r="T32" s="170"/>
      <c r="U32" s="97">
        <f t="shared" si="0"/>
        <v>0</v>
      </c>
      <c r="V32" s="126"/>
      <c r="W32" s="126"/>
      <c r="X32" s="126" t="b">
        <f t="shared" si="1"/>
        <v>0</v>
      </c>
      <c r="Y32" s="126" t="b">
        <f t="shared" si="13"/>
        <v>0</v>
      </c>
      <c r="Z32" s="126">
        <f t="shared" si="14"/>
        <v>1</v>
      </c>
      <c r="AA32" s="126">
        <f t="shared" si="15"/>
        <v>0</v>
      </c>
      <c r="AB32" s="126">
        <f t="shared" si="16"/>
        <v>0</v>
      </c>
      <c r="AC32" s="126">
        <f t="shared" si="17"/>
        <v>0</v>
      </c>
      <c r="AD32" s="126">
        <f t="shared" si="18"/>
        <v>0</v>
      </c>
      <c r="AE32" s="126">
        <f t="shared" si="19"/>
        <v>0</v>
      </c>
      <c r="AF32" s="53" t="str">
        <f>IF(AT32=1,IF(SUMPRODUCT(--(E32:H32&lt;&gt;""))=0,"TRUE","FALSE"), "FALSE")</f>
        <v>FALSE</v>
      </c>
      <c r="AG32" s="53"/>
      <c r="AH32" s="53"/>
      <c r="AM32" s="38" t="b">
        <f>IF(AND('Cover Sheet'!$B$19="Non-Risk",$R32=1),TRUE,FALSE)</f>
        <v>0</v>
      </c>
      <c r="AN32" s="38" t="e">
        <f>IF(OR(AND($H$6="Medicaid",MID($A32,1,FIND(".",$A32,1)-1)="II"),AND($H$6="CHIP",MID($A32,1,FIND(".",$A32,1)-1)="I")),TRUE,FALSE)</f>
        <v>#VALUE!</v>
      </c>
      <c r="AP32" s="45">
        <v>0</v>
      </c>
      <c r="AQ32" s="79"/>
      <c r="AR32" s="79"/>
      <c r="AS32" s="57" t="str">
        <f>IF(AP32=1,AR32=C32,"")</f>
        <v/>
      </c>
      <c r="AT32" s="57">
        <f>IF($AP$2=1, IF(AP32=1,1,0),0)</f>
        <v>0</v>
      </c>
      <c r="AV32" s="69" t="str">
        <f>IF(AU32=1,1,"")</f>
        <v/>
      </c>
      <c r="BA32" s="69">
        <f>IF(OR(AND($H$6="Both",OR(AND(AP32=0,OR(NOT(ISBLANK(E32)),NOT(ISBLANK(F32)),NOT(ISBLANK(G32)),NOT(ISBLANK(H32)))),AND(AP32=1,AF32="TRUE",OR(AW32&lt;&gt;0,AX32&lt;&gt;0,AY32&lt;&gt;0,AZ32&lt;&gt;0)),AND(AP32=1,AF32="FALSE",OR(NOT(ISBLANK(E32)),NOT(ISBLANK(F32)),NOT(ISBLANK(G32)),NOT(ISBLANK(H32)))))),AND($H$6="CHIP",OR(NOT(ISBLANK(E32)),NOT(ISBLANK(F32)),NOT(ISBLANK(G32)),NOT(ISBLANK(H32)))),U32=1),1,0)</f>
        <v>0</v>
      </c>
      <c r="BB32" s="99">
        <f>IF(AND(OR(OR(AG32=TRUE,AH32=TRUE),AND($H$6="Both",OR(AND(AP32=1,AF32="TRUE",BC32=1,OR(AW32="Yes",AW32="N/A",AW32="Met")),AND(AF32="FALSE",OR(AND(E32="Yes",NOT(ISBLANK(F32))),AND(E32="N/A",NOT(ISBLANK(H32))),AND(E32="Met",NOT(ISBLANK(F32))))))),AND($H$6="CHIP",OR(AND(E32="Yes",NOT(ISBLANK(F32))),AND(E32="N/A",NOT(ISBLANK(H32))),AND(E32="Met",NOT(ISBLANK(F32)))))),U32=1),1,0)</f>
        <v>0</v>
      </c>
      <c r="BE32" s="5">
        <v>0</v>
      </c>
    </row>
    <row r="33" spans="1:40" x14ac:dyDescent="0.25">
      <c r="A33" s="265" t="s">
        <v>442</v>
      </c>
      <c r="B33" s="266"/>
      <c r="C33" s="267"/>
      <c r="D33" s="268"/>
      <c r="E33" s="269"/>
      <c r="F33" s="270"/>
      <c r="G33" s="271"/>
      <c r="H33" s="271"/>
      <c r="AN33" s="125"/>
    </row>
    <row r="34" spans="1:40" ht="17.25" customHeight="1" x14ac:dyDescent="0.25">
      <c r="A34" s="417">
        <v>1</v>
      </c>
      <c r="B34" s="570" t="s">
        <v>443</v>
      </c>
      <c r="C34" s="570"/>
      <c r="D34" s="570"/>
      <c r="E34" s="570"/>
      <c r="F34" s="570"/>
      <c r="G34" s="570"/>
      <c r="H34" s="570"/>
      <c r="AN34" s="125"/>
    </row>
    <row r="35" spans="1:40" ht="17.25" customHeight="1" x14ac:dyDescent="0.25">
      <c r="A35" s="417">
        <v>2</v>
      </c>
      <c r="B35" s="580" t="s">
        <v>444</v>
      </c>
      <c r="C35" s="580"/>
      <c r="D35" s="580"/>
      <c r="E35" s="580"/>
      <c r="F35" s="580"/>
      <c r="G35" s="580"/>
      <c r="H35" s="580"/>
      <c r="AN35" s="125"/>
    </row>
    <row r="36" spans="1:40" ht="33.950000000000003" customHeight="1" x14ac:dyDescent="0.25">
      <c r="A36" s="417">
        <v>3</v>
      </c>
      <c r="B36" s="570" t="s">
        <v>445</v>
      </c>
      <c r="C36" s="570"/>
      <c r="D36" s="570"/>
      <c r="E36" s="570"/>
      <c r="F36" s="570"/>
      <c r="G36" s="570"/>
      <c r="H36" s="570"/>
      <c r="AN36" s="125"/>
    </row>
    <row r="37" spans="1:40" ht="55.5" customHeight="1" x14ac:dyDescent="0.25">
      <c r="A37" s="417">
        <v>4</v>
      </c>
      <c r="B37" s="570" t="s">
        <v>446</v>
      </c>
      <c r="C37" s="570"/>
      <c r="D37" s="570"/>
      <c r="E37" s="570"/>
      <c r="F37" s="570"/>
      <c r="G37" s="570"/>
      <c r="H37" s="570"/>
      <c r="AN37" s="125"/>
    </row>
    <row r="38" spans="1:40" ht="60.6" customHeight="1" x14ac:dyDescent="0.25">
      <c r="A38" s="417">
        <v>5</v>
      </c>
      <c r="B38" s="571" t="s">
        <v>447</v>
      </c>
      <c r="C38" s="571"/>
      <c r="D38" s="571"/>
      <c r="E38" s="571"/>
      <c r="F38" s="571"/>
      <c r="G38" s="571"/>
      <c r="H38" s="571"/>
      <c r="AN38" s="125"/>
    </row>
    <row r="39" spans="1:40" ht="57" customHeight="1" x14ac:dyDescent="0.25">
      <c r="A39" s="417">
        <v>6</v>
      </c>
      <c r="B39" s="571" t="s">
        <v>448</v>
      </c>
      <c r="C39" s="571"/>
      <c r="D39" s="571"/>
      <c r="E39" s="571"/>
      <c r="F39" s="571"/>
      <c r="G39" s="571"/>
      <c r="H39" s="571"/>
      <c r="AN39" s="125"/>
    </row>
    <row r="40" spans="1:40" ht="69.95" customHeight="1" x14ac:dyDescent="0.25">
      <c r="A40" s="417">
        <v>7</v>
      </c>
      <c r="B40" s="571" t="s">
        <v>449</v>
      </c>
      <c r="C40" s="571"/>
      <c r="D40" s="571"/>
      <c r="E40" s="571"/>
      <c r="F40" s="571"/>
      <c r="G40" s="571"/>
      <c r="H40" s="571"/>
      <c r="AN40" s="125"/>
    </row>
    <row r="41" spans="1:40" ht="36" customHeight="1" x14ac:dyDescent="0.25">
      <c r="A41" s="418">
        <v>8</v>
      </c>
      <c r="B41" s="571" t="s">
        <v>450</v>
      </c>
      <c r="C41" s="571"/>
      <c r="D41" s="571"/>
      <c r="E41" s="571"/>
      <c r="F41" s="571"/>
      <c r="G41" s="571"/>
      <c r="H41" s="571"/>
    </row>
    <row r="42" spans="1:40" ht="93" customHeight="1" x14ac:dyDescent="0.25">
      <c r="A42" s="418">
        <v>9</v>
      </c>
      <c r="B42" s="571" t="s">
        <v>451</v>
      </c>
      <c r="C42" s="571"/>
      <c r="D42" s="571"/>
      <c r="E42" s="571"/>
      <c r="F42" s="571"/>
      <c r="G42" s="571"/>
      <c r="H42" s="571"/>
    </row>
    <row r="43" spans="1:40" ht="36" customHeight="1" x14ac:dyDescent="0.25">
      <c r="A43" s="418">
        <v>10</v>
      </c>
      <c r="B43" s="571" t="s">
        <v>452</v>
      </c>
      <c r="C43" s="571"/>
      <c r="D43" s="571"/>
      <c r="E43" s="571"/>
      <c r="F43" s="571"/>
      <c r="G43" s="571"/>
      <c r="H43" s="571"/>
    </row>
    <row r="44" spans="1:40" ht="45.6" customHeight="1" x14ac:dyDescent="0.25">
      <c r="A44" s="419">
        <v>11</v>
      </c>
      <c r="B44" s="570" t="s">
        <v>453</v>
      </c>
      <c r="C44" s="570"/>
      <c r="D44" s="570"/>
      <c r="E44" s="570"/>
      <c r="F44" s="570"/>
      <c r="G44" s="570"/>
      <c r="H44" s="570"/>
      <c r="AN44" s="125"/>
    </row>
    <row r="45" spans="1:40" ht="36.950000000000003" customHeight="1" x14ac:dyDescent="0.25">
      <c r="A45" s="419">
        <v>12</v>
      </c>
      <c r="B45" s="570" t="s">
        <v>454</v>
      </c>
      <c r="C45" s="570"/>
      <c r="D45" s="570"/>
      <c r="E45" s="570"/>
      <c r="F45" s="570"/>
      <c r="G45" s="570"/>
      <c r="H45" s="570"/>
      <c r="AN45" s="125"/>
    </row>
    <row r="46" spans="1:40" ht="82.5" customHeight="1" x14ac:dyDescent="0.25">
      <c r="A46" s="419">
        <v>13</v>
      </c>
      <c r="B46" s="570" t="s">
        <v>455</v>
      </c>
      <c r="C46" s="570"/>
      <c r="D46" s="570"/>
      <c r="E46" s="570"/>
      <c r="F46" s="570"/>
      <c r="G46" s="570"/>
      <c r="H46" s="570"/>
      <c r="AN46" s="125"/>
    </row>
    <row r="47" spans="1:40" ht="41.25" customHeight="1" x14ac:dyDescent="0.25">
      <c r="A47" s="419">
        <v>14</v>
      </c>
      <c r="B47" s="570" t="s">
        <v>456</v>
      </c>
      <c r="C47" s="570"/>
      <c r="D47" s="570"/>
      <c r="E47" s="570"/>
      <c r="F47" s="570"/>
      <c r="G47" s="570"/>
      <c r="H47" s="570"/>
      <c r="AN47" s="125"/>
    </row>
    <row r="48" spans="1:40" ht="54" customHeight="1" x14ac:dyDescent="0.25">
      <c r="A48" s="420">
        <v>15</v>
      </c>
      <c r="B48" s="571" t="s">
        <v>457</v>
      </c>
      <c r="C48" s="571"/>
      <c r="D48" s="571"/>
      <c r="E48" s="571"/>
      <c r="F48" s="571"/>
      <c r="G48" s="571"/>
      <c r="H48" s="571"/>
      <c r="AN48" s="125"/>
    </row>
    <row r="49" spans="1:40" ht="42" customHeight="1" x14ac:dyDescent="0.25">
      <c r="A49" s="420">
        <v>16</v>
      </c>
      <c r="B49" s="571" t="s">
        <v>458</v>
      </c>
      <c r="C49" s="571"/>
      <c r="D49" s="571"/>
      <c r="E49" s="571"/>
      <c r="F49" s="571"/>
      <c r="G49" s="571"/>
      <c r="H49" s="571"/>
      <c r="AN49" s="125"/>
    </row>
    <row r="50" spans="1:40" ht="66.75" customHeight="1" x14ac:dyDescent="0.25">
      <c r="A50" s="420">
        <v>17</v>
      </c>
      <c r="B50" s="571" t="s">
        <v>459</v>
      </c>
      <c r="C50" s="571"/>
      <c r="D50" s="571"/>
      <c r="E50" s="571"/>
      <c r="F50" s="571"/>
      <c r="G50" s="571"/>
      <c r="H50" s="571"/>
      <c r="AN50" s="125"/>
    </row>
    <row r="51" spans="1:40" ht="117" customHeight="1" x14ac:dyDescent="0.25">
      <c r="A51" s="420">
        <v>18</v>
      </c>
      <c r="B51" s="571" t="s">
        <v>460</v>
      </c>
      <c r="C51" s="571"/>
      <c r="D51" s="571"/>
      <c r="E51" s="571"/>
      <c r="F51" s="571"/>
      <c r="G51" s="571"/>
      <c r="H51" s="571"/>
      <c r="AN51" s="125"/>
    </row>
    <row r="52" spans="1:40" ht="26.25" customHeight="1" x14ac:dyDescent="0.25">
      <c r="A52" s="417">
        <v>19</v>
      </c>
      <c r="B52" s="569" t="s">
        <v>461</v>
      </c>
      <c r="C52" s="572"/>
      <c r="D52" s="572"/>
      <c r="E52" s="572"/>
      <c r="F52" s="572"/>
      <c r="G52" s="572"/>
      <c r="H52" s="572"/>
      <c r="I52" s="140"/>
      <c r="J52" s="151"/>
      <c r="K52" s="151"/>
      <c r="L52" s="151"/>
      <c r="M52" s="151"/>
      <c r="N52" s="151"/>
      <c r="O52" s="151"/>
      <c r="P52" s="151"/>
      <c r="Q52" s="151"/>
      <c r="R52" s="151"/>
      <c r="S52" s="151"/>
      <c r="T52" s="151"/>
      <c r="AN52" s="125"/>
    </row>
    <row r="53" spans="1:40" ht="51.95" customHeight="1" x14ac:dyDescent="0.25">
      <c r="A53" s="417">
        <v>20</v>
      </c>
      <c r="B53" s="569" t="s">
        <v>462</v>
      </c>
      <c r="C53" s="569"/>
      <c r="D53" s="569"/>
      <c r="E53" s="569"/>
      <c r="F53" s="569"/>
      <c r="G53" s="569"/>
      <c r="H53" s="569"/>
      <c r="I53" s="140"/>
      <c r="J53" s="151"/>
      <c r="K53" s="151"/>
      <c r="L53" s="151"/>
      <c r="M53" s="151"/>
      <c r="N53" s="151"/>
      <c r="O53" s="151"/>
      <c r="P53" s="151"/>
      <c r="Q53" s="151"/>
      <c r="R53" s="151"/>
      <c r="S53" s="151"/>
      <c r="T53" s="151"/>
      <c r="AN53" s="125"/>
    </row>
    <row r="54" spans="1:40" x14ac:dyDescent="0.25">
      <c r="A54" s="272"/>
      <c r="B54" s="273"/>
      <c r="C54" s="274"/>
      <c r="D54" s="275"/>
      <c r="E54" s="276"/>
      <c r="F54" s="277"/>
      <c r="G54" s="278"/>
      <c r="H54" s="278"/>
      <c r="AN54" s="125"/>
    </row>
    <row r="55" spans="1:40" ht="15.75" customHeight="1" x14ac:dyDescent="0.25">
      <c r="A55" s="279"/>
      <c r="B55" s="273"/>
      <c r="C55" s="274"/>
      <c r="D55" s="275"/>
      <c r="E55" s="276"/>
      <c r="F55" s="277"/>
      <c r="G55" s="278"/>
      <c r="H55" s="278"/>
      <c r="AN55" s="125"/>
    </row>
    <row r="56" spans="1:40" x14ac:dyDescent="0.25">
      <c r="A56" s="279"/>
      <c r="B56" s="273"/>
      <c r="C56" s="274"/>
      <c r="D56" s="275"/>
      <c r="E56" s="276"/>
      <c r="F56" s="277"/>
      <c r="G56" s="278"/>
      <c r="H56" s="278"/>
      <c r="AN56" s="125"/>
    </row>
    <row r="57" spans="1:40" x14ac:dyDescent="0.25">
      <c r="A57" s="279"/>
      <c r="B57" s="273"/>
      <c r="C57" s="274"/>
      <c r="D57" s="275"/>
      <c r="E57" s="276"/>
      <c r="F57" s="277"/>
      <c r="G57" s="278"/>
      <c r="H57" s="278"/>
      <c r="AN57" s="125"/>
    </row>
    <row r="58" spans="1:40" x14ac:dyDescent="0.25">
      <c r="A58" s="279"/>
      <c r="B58" s="273"/>
      <c r="C58" s="274"/>
      <c r="D58" s="275"/>
      <c r="E58" s="276"/>
      <c r="F58" s="277"/>
      <c r="G58" s="278"/>
      <c r="H58" s="278"/>
      <c r="AN58" s="125"/>
    </row>
    <row r="59" spans="1:40" ht="15" customHeight="1" x14ac:dyDescent="0.25">
      <c r="A59" s="279"/>
      <c r="B59" s="273"/>
      <c r="C59" s="274"/>
      <c r="D59" s="275"/>
      <c r="E59" s="276"/>
      <c r="F59" s="277"/>
      <c r="G59" s="278"/>
      <c r="H59" s="278"/>
      <c r="AN59" s="125"/>
    </row>
    <row r="60" spans="1:40" x14ac:dyDescent="0.25">
      <c r="A60" s="279"/>
      <c r="B60" s="273"/>
      <c r="C60" s="274"/>
      <c r="D60" s="275"/>
      <c r="E60" s="276"/>
      <c r="F60" s="277"/>
      <c r="G60" s="278"/>
      <c r="H60" s="278"/>
      <c r="AN60" s="125"/>
    </row>
    <row r="61" spans="1:40" ht="15" customHeight="1" x14ac:dyDescent="0.25">
      <c r="A61" s="279"/>
      <c r="B61" s="273"/>
      <c r="C61" s="274"/>
      <c r="D61" s="275"/>
      <c r="E61" s="276"/>
      <c r="F61" s="277"/>
      <c r="G61" s="278"/>
      <c r="H61" s="278"/>
      <c r="AN61" s="125"/>
    </row>
    <row r="62" spans="1:40" ht="15" customHeight="1" x14ac:dyDescent="0.25">
      <c r="F62" s="11"/>
      <c r="AN62" s="125"/>
    </row>
    <row r="63" spans="1:40" ht="15.75" customHeight="1" x14ac:dyDescent="0.25">
      <c r="F63" s="11"/>
      <c r="AN63" s="125"/>
    </row>
    <row r="64" spans="1:40" ht="15" customHeight="1" x14ac:dyDescent="0.25">
      <c r="F64" s="11"/>
      <c r="AN64" s="125"/>
    </row>
    <row r="65" spans="6:40" ht="15.75" customHeight="1" x14ac:dyDescent="0.25">
      <c r="F65" s="11"/>
      <c r="AN65" s="125"/>
    </row>
    <row r="66" spans="6:40" ht="15" customHeight="1" x14ac:dyDescent="0.25">
      <c r="F66" s="11"/>
      <c r="AN66" s="125"/>
    </row>
    <row r="67" spans="6:40" ht="15" customHeight="1" x14ac:dyDescent="0.25">
      <c r="F67" s="11"/>
      <c r="AN67" s="125"/>
    </row>
    <row r="68" spans="6:40" ht="15.75" customHeight="1" x14ac:dyDescent="0.25">
      <c r="F68" s="11"/>
      <c r="AN68" s="125"/>
    </row>
    <row r="69" spans="6:40" ht="15" customHeight="1" x14ac:dyDescent="0.25">
      <c r="F69" s="11"/>
      <c r="AN69" s="125"/>
    </row>
    <row r="70" spans="6:40" ht="15" customHeight="1" x14ac:dyDescent="0.25">
      <c r="F70" s="11"/>
      <c r="AN70" s="125"/>
    </row>
    <row r="71" spans="6:40" ht="15.75" customHeight="1" x14ac:dyDescent="0.25">
      <c r="F71" s="11"/>
      <c r="AN71" s="125"/>
    </row>
    <row r="72" spans="6:40" ht="25.5" customHeight="1" x14ac:dyDescent="0.25">
      <c r="F72" s="11"/>
      <c r="AN72" s="125"/>
    </row>
    <row r="73" spans="6:40" ht="15" customHeight="1" x14ac:dyDescent="0.25">
      <c r="F73" s="11"/>
      <c r="AN73" s="125"/>
    </row>
    <row r="74" spans="6:40" x14ac:dyDescent="0.25">
      <c r="F74" s="11"/>
      <c r="AN74" s="125"/>
    </row>
    <row r="75" spans="6:40" x14ac:dyDescent="0.25">
      <c r="F75" s="11"/>
      <c r="AN75" s="125"/>
    </row>
    <row r="76" spans="6:40" ht="15" customHeight="1" x14ac:dyDescent="0.25">
      <c r="F76" s="11"/>
      <c r="AN76" s="125"/>
    </row>
    <row r="77" spans="6:40" ht="15.75" customHeight="1" x14ac:dyDescent="0.25">
      <c r="F77" s="11"/>
      <c r="AN77" s="125"/>
    </row>
    <row r="78" spans="6:40" x14ac:dyDescent="0.25">
      <c r="F78" s="11"/>
      <c r="AN78" s="125"/>
    </row>
    <row r="79" spans="6:40" x14ac:dyDescent="0.25">
      <c r="F79" s="11"/>
      <c r="AN79" s="125"/>
    </row>
    <row r="80" spans="6:40" x14ac:dyDescent="0.25">
      <c r="F80" s="11"/>
      <c r="AN80" s="125"/>
    </row>
    <row r="81" spans="6:40" x14ac:dyDescent="0.25">
      <c r="F81" s="11"/>
      <c r="AN81" s="125"/>
    </row>
    <row r="82" spans="6:40" x14ac:dyDescent="0.25">
      <c r="F82" s="11"/>
      <c r="AN82" s="125"/>
    </row>
    <row r="83" spans="6:40" x14ac:dyDescent="0.25">
      <c r="F83" s="11"/>
      <c r="AN83" s="125"/>
    </row>
    <row r="84" spans="6:40" x14ac:dyDescent="0.25">
      <c r="F84" s="11"/>
      <c r="AN84" s="125"/>
    </row>
    <row r="85" spans="6:40" x14ac:dyDescent="0.25">
      <c r="F85" s="11"/>
      <c r="AN85" s="125"/>
    </row>
    <row r="86" spans="6:40" x14ac:dyDescent="0.25">
      <c r="F86" s="11"/>
      <c r="AN86" s="125"/>
    </row>
    <row r="87" spans="6:40" x14ac:dyDescent="0.25">
      <c r="F87" s="11"/>
      <c r="AN87" s="125"/>
    </row>
    <row r="88" spans="6:40" x14ac:dyDescent="0.25">
      <c r="F88" s="11"/>
      <c r="AN88" s="125"/>
    </row>
    <row r="89" spans="6:40" x14ac:dyDescent="0.25">
      <c r="F89" s="11"/>
      <c r="AN89" s="125"/>
    </row>
    <row r="90" spans="6:40" x14ac:dyDescent="0.25">
      <c r="F90" s="11"/>
      <c r="AN90" s="125"/>
    </row>
    <row r="91" spans="6:40" x14ac:dyDescent="0.25">
      <c r="F91" s="11"/>
      <c r="AN91" s="125"/>
    </row>
    <row r="92" spans="6:40" x14ac:dyDescent="0.25">
      <c r="F92" s="11"/>
      <c r="AN92" s="125"/>
    </row>
    <row r="93" spans="6:40" x14ac:dyDescent="0.25">
      <c r="F93" s="11"/>
      <c r="AN93" s="125"/>
    </row>
    <row r="94" spans="6:40" x14ac:dyDescent="0.25">
      <c r="F94" s="11"/>
      <c r="AN94" s="125"/>
    </row>
    <row r="95" spans="6:40" x14ac:dyDescent="0.25">
      <c r="F95" s="11"/>
      <c r="AN95" s="125"/>
    </row>
    <row r="96" spans="6:40" x14ac:dyDescent="0.25">
      <c r="F96" s="11"/>
      <c r="AN96" s="125"/>
    </row>
    <row r="97" spans="6:40" x14ac:dyDescent="0.25">
      <c r="F97" s="11"/>
      <c r="AN97" s="125"/>
    </row>
    <row r="98" spans="6:40" x14ac:dyDescent="0.25">
      <c r="F98" s="11"/>
      <c r="AN98" s="125"/>
    </row>
    <row r="99" spans="6:40" x14ac:dyDescent="0.25">
      <c r="F99" s="11"/>
      <c r="AN99" s="125"/>
    </row>
    <row r="100" spans="6:40" x14ac:dyDescent="0.25">
      <c r="F100" s="11"/>
      <c r="AN100" s="125"/>
    </row>
    <row r="101" spans="6:40" x14ac:dyDescent="0.25">
      <c r="F101" s="11"/>
      <c r="AN101" s="125"/>
    </row>
    <row r="102" spans="6:40" x14ac:dyDescent="0.25">
      <c r="F102" s="11"/>
      <c r="AN102" s="125"/>
    </row>
    <row r="103" spans="6:40" x14ac:dyDescent="0.25">
      <c r="F103" s="11"/>
      <c r="AN103" s="125"/>
    </row>
    <row r="104" spans="6:40" x14ac:dyDescent="0.25">
      <c r="F104" s="11"/>
      <c r="AN104" s="125"/>
    </row>
    <row r="105" spans="6:40" x14ac:dyDescent="0.25">
      <c r="F105" s="11"/>
      <c r="AN105" s="125"/>
    </row>
    <row r="106" spans="6:40" x14ac:dyDescent="0.25">
      <c r="F106" s="11"/>
      <c r="AN106" s="125"/>
    </row>
    <row r="107" spans="6:40" x14ac:dyDescent="0.25">
      <c r="F107" s="11"/>
      <c r="AN107" s="125"/>
    </row>
    <row r="108" spans="6:40" x14ac:dyDescent="0.25">
      <c r="F108" s="11"/>
      <c r="AN108" s="125"/>
    </row>
    <row r="109" spans="6:40" x14ac:dyDescent="0.25">
      <c r="F109" s="11"/>
      <c r="AN109" s="125"/>
    </row>
    <row r="110" spans="6:40" x14ac:dyDescent="0.25">
      <c r="F110" s="11"/>
      <c r="AN110" s="125"/>
    </row>
    <row r="111" spans="6:40" x14ac:dyDescent="0.25">
      <c r="F111" s="11"/>
      <c r="AN111" s="125"/>
    </row>
    <row r="112" spans="6:40" x14ac:dyDescent="0.25">
      <c r="F112" s="11"/>
      <c r="AN112" s="125"/>
    </row>
    <row r="113" spans="6:40" x14ac:dyDescent="0.25">
      <c r="F113" s="11"/>
      <c r="AN113" s="125"/>
    </row>
    <row r="114" spans="6:40" x14ac:dyDescent="0.25">
      <c r="F114" s="11"/>
      <c r="AN114" s="125"/>
    </row>
    <row r="115" spans="6:40" x14ac:dyDescent="0.25">
      <c r="F115" s="11"/>
      <c r="AN115" s="125"/>
    </row>
    <row r="116" spans="6:40" x14ac:dyDescent="0.25">
      <c r="F116" s="11"/>
      <c r="AN116" s="125"/>
    </row>
    <row r="117" spans="6:40" x14ac:dyDescent="0.25">
      <c r="F117" s="11"/>
      <c r="AN117" s="125"/>
    </row>
    <row r="118" spans="6:40" x14ac:dyDescent="0.25">
      <c r="F118" s="11"/>
      <c r="AN118" s="125"/>
    </row>
    <row r="119" spans="6:40" x14ac:dyDescent="0.25">
      <c r="F119" s="11"/>
      <c r="AN119" s="125"/>
    </row>
    <row r="120" spans="6:40" x14ac:dyDescent="0.25">
      <c r="F120" s="11"/>
      <c r="AN120" s="125"/>
    </row>
    <row r="121" spans="6:40" x14ac:dyDescent="0.25">
      <c r="F121" s="11"/>
      <c r="AN121" s="125"/>
    </row>
    <row r="122" spans="6:40" x14ac:dyDescent="0.25">
      <c r="F122" s="11"/>
      <c r="AN122" s="125"/>
    </row>
    <row r="123" spans="6:40" x14ac:dyDescent="0.25">
      <c r="F123" s="11"/>
      <c r="AN123" s="125"/>
    </row>
    <row r="124" spans="6:40" x14ac:dyDescent="0.25">
      <c r="F124" s="11"/>
      <c r="AN124" s="125"/>
    </row>
    <row r="125" spans="6:40" x14ac:dyDescent="0.25">
      <c r="F125" s="11"/>
      <c r="AN125" s="125"/>
    </row>
    <row r="126" spans="6:40" x14ac:dyDescent="0.25">
      <c r="F126" s="11"/>
      <c r="AN126" s="125"/>
    </row>
    <row r="127" spans="6:40" x14ac:dyDescent="0.25">
      <c r="F127" s="11"/>
      <c r="AN127" s="125"/>
    </row>
    <row r="128" spans="6:40" x14ac:dyDescent="0.25">
      <c r="F128" s="11"/>
      <c r="AN128" s="125"/>
    </row>
    <row r="129" spans="6:40" x14ac:dyDescent="0.25">
      <c r="F129" s="11"/>
      <c r="AN129" s="125"/>
    </row>
    <row r="130" spans="6:40" x14ac:dyDescent="0.25">
      <c r="F130" s="11"/>
      <c r="AN130" s="125"/>
    </row>
    <row r="131" spans="6:40" x14ac:dyDescent="0.25">
      <c r="F131" s="11"/>
      <c r="AN131" s="125"/>
    </row>
    <row r="132" spans="6:40" x14ac:dyDescent="0.25">
      <c r="F132" s="11"/>
      <c r="AN132" s="125"/>
    </row>
    <row r="133" spans="6:40" x14ac:dyDescent="0.25">
      <c r="F133" s="11"/>
      <c r="AN133" s="125"/>
    </row>
    <row r="134" spans="6:40" x14ac:dyDescent="0.25">
      <c r="F134" s="11"/>
      <c r="AN134" s="125"/>
    </row>
    <row r="135" spans="6:40" x14ac:dyDescent="0.25">
      <c r="F135" s="11"/>
      <c r="AN135" s="125"/>
    </row>
    <row r="136" spans="6:40" x14ac:dyDescent="0.25">
      <c r="F136" s="11"/>
      <c r="AN136" s="125"/>
    </row>
    <row r="137" spans="6:40" x14ac:dyDescent="0.25">
      <c r="F137" s="11"/>
      <c r="AN137" s="125"/>
    </row>
    <row r="138" spans="6:40" x14ac:dyDescent="0.25">
      <c r="F138" s="11"/>
      <c r="AN138" s="125"/>
    </row>
    <row r="139" spans="6:40" x14ac:dyDescent="0.25">
      <c r="F139" s="11"/>
      <c r="AN139" s="125"/>
    </row>
    <row r="140" spans="6:40" x14ac:dyDescent="0.25">
      <c r="F140" s="11"/>
      <c r="AN140" s="125"/>
    </row>
    <row r="141" spans="6:40" x14ac:dyDescent="0.25">
      <c r="F141" s="11"/>
      <c r="AN141" s="125"/>
    </row>
    <row r="142" spans="6:40" x14ac:dyDescent="0.25">
      <c r="F142" s="11"/>
      <c r="AN142" s="125"/>
    </row>
    <row r="143" spans="6:40" x14ac:dyDescent="0.25">
      <c r="AN143" s="125"/>
    </row>
    <row r="144" spans="6:40" x14ac:dyDescent="0.25">
      <c r="AN144" s="125"/>
    </row>
    <row r="145" spans="40:40" x14ac:dyDescent="0.25">
      <c r="AN145" s="125"/>
    </row>
    <row r="146" spans="40:40" x14ac:dyDescent="0.25">
      <c r="AN146" s="125"/>
    </row>
    <row r="147" spans="40:40" x14ac:dyDescent="0.25">
      <c r="AN147" s="125"/>
    </row>
    <row r="148" spans="40:40" x14ac:dyDescent="0.25">
      <c r="AN148" s="125"/>
    </row>
    <row r="149" spans="40:40" x14ac:dyDescent="0.25">
      <c r="AN149" s="125"/>
    </row>
    <row r="150" spans="40:40" x14ac:dyDescent="0.25">
      <c r="AN150" s="125"/>
    </row>
    <row r="151" spans="40:40" x14ac:dyDescent="0.25">
      <c r="AN151" s="125"/>
    </row>
    <row r="152" spans="40:40" x14ac:dyDescent="0.25">
      <c r="AN152" s="125"/>
    </row>
    <row r="153" spans="40:40" x14ac:dyDescent="0.25">
      <c r="AN153" s="125"/>
    </row>
    <row r="154" spans="40:40" x14ac:dyDescent="0.25">
      <c r="AN154" s="125"/>
    </row>
    <row r="155" spans="40:40" x14ac:dyDescent="0.25">
      <c r="AN155" s="125"/>
    </row>
    <row r="156" spans="40:40" x14ac:dyDescent="0.25">
      <c r="AN156" s="125"/>
    </row>
    <row r="157" spans="40:40" x14ac:dyDescent="0.25">
      <c r="AN157" s="125"/>
    </row>
    <row r="158" spans="40:40" x14ac:dyDescent="0.25">
      <c r="AN158" s="125"/>
    </row>
    <row r="159" spans="40:40" x14ac:dyDescent="0.25">
      <c r="AN159" s="125"/>
    </row>
    <row r="160" spans="40:40" x14ac:dyDescent="0.25">
      <c r="AN160" s="125"/>
    </row>
    <row r="161" spans="40:40" x14ac:dyDescent="0.25">
      <c r="AN161" s="125"/>
    </row>
    <row r="162" spans="40:40" x14ac:dyDescent="0.25">
      <c r="AN162" s="125"/>
    </row>
    <row r="163" spans="40:40" x14ac:dyDescent="0.25">
      <c r="AN163" s="125"/>
    </row>
    <row r="164" spans="40:40" x14ac:dyDescent="0.25">
      <c r="AN164" s="125"/>
    </row>
    <row r="165" spans="40:40" x14ac:dyDescent="0.25">
      <c r="AN165" s="125"/>
    </row>
    <row r="166" spans="40:40" x14ac:dyDescent="0.25">
      <c r="AN166" s="125"/>
    </row>
    <row r="167" spans="40:40" x14ac:dyDescent="0.25">
      <c r="AN167" s="125"/>
    </row>
    <row r="168" spans="40:40" x14ac:dyDescent="0.25">
      <c r="AN168" s="125"/>
    </row>
    <row r="169" spans="40:40" x14ac:dyDescent="0.25">
      <c r="AN169" s="125"/>
    </row>
    <row r="170" spans="40:40" x14ac:dyDescent="0.25">
      <c r="AN170" s="125"/>
    </row>
    <row r="171" spans="40:40" x14ac:dyDescent="0.25">
      <c r="AN171" s="125"/>
    </row>
    <row r="172" spans="40:40" x14ac:dyDescent="0.25">
      <c r="AN172" s="125"/>
    </row>
    <row r="173" spans="40:40" x14ac:dyDescent="0.25">
      <c r="AN173" s="125"/>
    </row>
    <row r="174" spans="40:40" x14ac:dyDescent="0.25">
      <c r="AN174" s="125"/>
    </row>
    <row r="175" spans="40:40" x14ac:dyDescent="0.25">
      <c r="AN175" s="125"/>
    </row>
    <row r="176" spans="40:40" x14ac:dyDescent="0.25">
      <c r="AN176" s="125"/>
    </row>
    <row r="177" spans="40:40" x14ac:dyDescent="0.25">
      <c r="AN177" s="125"/>
    </row>
    <row r="178" spans="40:40" x14ac:dyDescent="0.25">
      <c r="AN178" s="125"/>
    </row>
    <row r="179" spans="40:40" x14ac:dyDescent="0.25">
      <c r="AN179" s="125"/>
    </row>
    <row r="180" spans="40:40" x14ac:dyDescent="0.25">
      <c r="AN180" s="125"/>
    </row>
    <row r="181" spans="40:40" x14ac:dyDescent="0.25">
      <c r="AN181" s="125"/>
    </row>
    <row r="182" spans="40:40" x14ac:dyDescent="0.25">
      <c r="AN182" s="125"/>
    </row>
    <row r="183" spans="40:40" x14ac:dyDescent="0.25">
      <c r="AN183" s="125"/>
    </row>
    <row r="184" spans="40:40" x14ac:dyDescent="0.25">
      <c r="AN184" s="125"/>
    </row>
    <row r="185" spans="40:40" x14ac:dyDescent="0.25">
      <c r="AN185" s="125"/>
    </row>
    <row r="186" spans="40:40" x14ac:dyDescent="0.25">
      <c r="AN186" s="125"/>
    </row>
    <row r="187" spans="40:40" x14ac:dyDescent="0.25">
      <c r="AN187" s="125"/>
    </row>
    <row r="188" spans="40:40" x14ac:dyDescent="0.25">
      <c r="AN188" s="125"/>
    </row>
    <row r="189" spans="40:40" x14ac:dyDescent="0.25">
      <c r="AN189" s="125"/>
    </row>
    <row r="190" spans="40:40" x14ac:dyDescent="0.25">
      <c r="AN190" s="125"/>
    </row>
    <row r="191" spans="40:40" x14ac:dyDescent="0.25">
      <c r="AN191" s="125"/>
    </row>
    <row r="192" spans="40:40" x14ac:dyDescent="0.25">
      <c r="AN192" s="125"/>
    </row>
    <row r="193" spans="40:40" x14ac:dyDescent="0.25">
      <c r="AN193" s="125"/>
    </row>
    <row r="194" spans="40:40" x14ac:dyDescent="0.25">
      <c r="AN194" s="125"/>
    </row>
    <row r="195" spans="40:40" x14ac:dyDescent="0.25">
      <c r="AN195" s="125"/>
    </row>
    <row r="196" spans="40:40" x14ac:dyDescent="0.25">
      <c r="AN196" s="125"/>
    </row>
    <row r="197" spans="40:40" x14ac:dyDescent="0.25">
      <c r="AN197" s="125"/>
    </row>
    <row r="198" spans="40:40" x14ac:dyDescent="0.25">
      <c r="AN198" s="125"/>
    </row>
    <row r="199" spans="40:40" x14ac:dyDescent="0.25">
      <c r="AN199" s="125"/>
    </row>
    <row r="200" spans="40:40" x14ac:dyDescent="0.25">
      <c r="AN200" s="125"/>
    </row>
    <row r="201" spans="40:40" x14ac:dyDescent="0.25">
      <c r="AN201" s="125"/>
    </row>
    <row r="202" spans="40:40" x14ac:dyDescent="0.25">
      <c r="AN202" s="125"/>
    </row>
    <row r="203" spans="40:40" x14ac:dyDescent="0.25">
      <c r="AN203" s="125"/>
    </row>
    <row r="204" spans="40:40" x14ac:dyDescent="0.25">
      <c r="AN204" s="125"/>
    </row>
    <row r="205" spans="40:40" x14ac:dyDescent="0.25">
      <c r="AN205" s="125"/>
    </row>
    <row r="206" spans="40:40" x14ac:dyDescent="0.25">
      <c r="AN206" s="125"/>
    </row>
    <row r="207" spans="40:40" x14ac:dyDescent="0.25">
      <c r="AN207" s="125"/>
    </row>
    <row r="208" spans="40:40" x14ac:dyDescent="0.25">
      <c r="AN208" s="125"/>
    </row>
    <row r="209" spans="40:40" x14ac:dyDescent="0.25">
      <c r="AN209" s="125"/>
    </row>
    <row r="210" spans="40:40" x14ac:dyDescent="0.25">
      <c r="AN210" s="125"/>
    </row>
    <row r="211" spans="40:40" x14ac:dyDescent="0.25">
      <c r="AN211" s="125"/>
    </row>
    <row r="212" spans="40:40" x14ac:dyDescent="0.25">
      <c r="AN212" s="125"/>
    </row>
    <row r="213" spans="40:40" x14ac:dyDescent="0.25">
      <c r="AN213" s="125"/>
    </row>
    <row r="214" spans="40:40" x14ac:dyDescent="0.25">
      <c r="AN214" s="125"/>
    </row>
    <row r="215" spans="40:40" x14ac:dyDescent="0.25">
      <c r="AN215" s="125"/>
    </row>
    <row r="216" spans="40:40" x14ac:dyDescent="0.25">
      <c r="AN216" s="125"/>
    </row>
    <row r="217" spans="40:40" x14ac:dyDescent="0.25">
      <c r="AN217" s="125"/>
    </row>
    <row r="218" spans="40:40" x14ac:dyDescent="0.25">
      <c r="AN218" s="125"/>
    </row>
    <row r="219" spans="40:40" x14ac:dyDescent="0.25">
      <c r="AN219" s="125"/>
    </row>
    <row r="220" spans="40:40" x14ac:dyDescent="0.25">
      <c r="AN220" s="125"/>
    </row>
    <row r="221" spans="40:40" x14ac:dyDescent="0.25">
      <c r="AN221" s="125"/>
    </row>
    <row r="222" spans="40:40" x14ac:dyDescent="0.25">
      <c r="AN222" s="125"/>
    </row>
    <row r="223" spans="40:40" x14ac:dyDescent="0.25">
      <c r="AN223" s="125"/>
    </row>
    <row r="224" spans="40:40" x14ac:dyDescent="0.25">
      <c r="AN224" s="125"/>
    </row>
    <row r="225" spans="40:40" x14ac:dyDescent="0.25">
      <c r="AN225" s="125"/>
    </row>
    <row r="226" spans="40:40" x14ac:dyDescent="0.25">
      <c r="AN226" s="125"/>
    </row>
    <row r="227" spans="40:40" x14ac:dyDescent="0.25">
      <c r="AN227" s="125"/>
    </row>
    <row r="228" spans="40:40" x14ac:dyDescent="0.25">
      <c r="AN228" s="125"/>
    </row>
    <row r="229" spans="40:40" x14ac:dyDescent="0.25">
      <c r="AN229" s="125"/>
    </row>
    <row r="230" spans="40:40" x14ac:dyDescent="0.25">
      <c r="AN230" s="125"/>
    </row>
    <row r="231" spans="40:40" x14ac:dyDescent="0.25">
      <c r="AN231" s="125"/>
    </row>
    <row r="232" spans="40:40" x14ac:dyDescent="0.25">
      <c r="AN232" s="125"/>
    </row>
    <row r="233" spans="40:40" x14ac:dyDescent="0.25">
      <c r="AN233" s="125"/>
    </row>
    <row r="234" spans="40:40" x14ac:dyDescent="0.25">
      <c r="AN234" s="125"/>
    </row>
    <row r="235" spans="40:40" x14ac:dyDescent="0.25">
      <c r="AN235" s="125"/>
    </row>
    <row r="236" spans="40:40" x14ac:dyDescent="0.25">
      <c r="AN236" s="125"/>
    </row>
    <row r="237" spans="40:40" x14ac:dyDescent="0.25">
      <c r="AN237" s="125"/>
    </row>
    <row r="238" spans="40:40" x14ac:dyDescent="0.25">
      <c r="AN238" s="125"/>
    </row>
    <row r="239" spans="40:40" x14ac:dyDescent="0.25">
      <c r="AN239" s="125"/>
    </row>
    <row r="240" spans="40:40" x14ac:dyDescent="0.25">
      <c r="AN240" s="125"/>
    </row>
    <row r="241" spans="40:40" x14ac:dyDescent="0.25">
      <c r="AN241" s="125"/>
    </row>
    <row r="242" spans="40:40" x14ac:dyDescent="0.25">
      <c r="AN242" s="125"/>
    </row>
    <row r="243" spans="40:40" x14ac:dyDescent="0.25">
      <c r="AN243" s="125"/>
    </row>
    <row r="244" spans="40:40" x14ac:dyDescent="0.25">
      <c r="AN244" s="125"/>
    </row>
    <row r="245" spans="40:40" x14ac:dyDescent="0.25">
      <c r="AN245" s="125"/>
    </row>
    <row r="246" spans="40:40" x14ac:dyDescent="0.25">
      <c r="AN246" s="125"/>
    </row>
    <row r="247" spans="40:40" x14ac:dyDescent="0.25">
      <c r="AN247" s="125"/>
    </row>
    <row r="248" spans="40:40" x14ac:dyDescent="0.25">
      <c r="AN248" s="125"/>
    </row>
    <row r="249" spans="40:40" x14ac:dyDescent="0.25">
      <c r="AN249" s="125"/>
    </row>
    <row r="250" spans="40:40" x14ac:dyDescent="0.25">
      <c r="AN250" s="125"/>
    </row>
    <row r="251" spans="40:40" x14ac:dyDescent="0.25">
      <c r="AN251" s="125"/>
    </row>
    <row r="252" spans="40:40" x14ac:dyDescent="0.25">
      <c r="AN252" s="125"/>
    </row>
    <row r="253" spans="40:40" x14ac:dyDescent="0.25">
      <c r="AN253" s="125"/>
    </row>
    <row r="254" spans="40:40" x14ac:dyDescent="0.25">
      <c r="AN254" s="125"/>
    </row>
    <row r="255" spans="40:40" x14ac:dyDescent="0.25">
      <c r="AN255" s="125"/>
    </row>
    <row r="256" spans="40:40" x14ac:dyDescent="0.25">
      <c r="AN256" s="125"/>
    </row>
    <row r="257" spans="40:40" x14ac:dyDescent="0.25">
      <c r="AN257" s="125"/>
    </row>
    <row r="258" spans="40:40" x14ac:dyDescent="0.25">
      <c r="AN258" s="125"/>
    </row>
    <row r="259" spans="40:40" x14ac:dyDescent="0.25">
      <c r="AN259" s="125"/>
    </row>
    <row r="260" spans="40:40" x14ac:dyDescent="0.25">
      <c r="AN260" s="125"/>
    </row>
    <row r="261" spans="40:40" x14ac:dyDescent="0.25">
      <c r="AN261" s="125"/>
    </row>
    <row r="262" spans="40:40" x14ac:dyDescent="0.25">
      <c r="AN262" s="125"/>
    </row>
    <row r="263" spans="40:40" x14ac:dyDescent="0.25">
      <c r="AN263" s="125"/>
    </row>
    <row r="264" spans="40:40" x14ac:dyDescent="0.25">
      <c r="AN264" s="125"/>
    </row>
    <row r="265" spans="40:40" x14ac:dyDescent="0.25">
      <c r="AN265" s="125"/>
    </row>
    <row r="266" spans="40:40" x14ac:dyDescent="0.25">
      <c r="AN266" s="125"/>
    </row>
    <row r="267" spans="40:40" x14ac:dyDescent="0.25">
      <c r="AN267" s="125"/>
    </row>
    <row r="268" spans="40:40" x14ac:dyDescent="0.25">
      <c r="AN268" s="125"/>
    </row>
    <row r="269" spans="40:40" x14ac:dyDescent="0.25">
      <c r="AN269" s="125"/>
    </row>
    <row r="270" spans="40:40" x14ac:dyDescent="0.25">
      <c r="AN270" s="125"/>
    </row>
    <row r="271" spans="40:40" x14ac:dyDescent="0.25">
      <c r="AN271" s="125"/>
    </row>
    <row r="272" spans="40:40" x14ac:dyDescent="0.25">
      <c r="AN272" s="125"/>
    </row>
    <row r="273" spans="40:40" x14ac:dyDescent="0.25">
      <c r="AN273" s="125"/>
    </row>
    <row r="274" spans="40:40" x14ac:dyDescent="0.25">
      <c r="AN274" s="125"/>
    </row>
    <row r="275" spans="40:40" x14ac:dyDescent="0.25">
      <c r="AN275" s="125"/>
    </row>
    <row r="276" spans="40:40" x14ac:dyDescent="0.25">
      <c r="AN276" s="125"/>
    </row>
    <row r="277" spans="40:40" x14ac:dyDescent="0.25">
      <c r="AN277" s="125"/>
    </row>
    <row r="278" spans="40:40" x14ac:dyDescent="0.25">
      <c r="AN278" s="125"/>
    </row>
    <row r="279" spans="40:40" x14ac:dyDescent="0.25">
      <c r="AN279" s="125"/>
    </row>
    <row r="280" spans="40:40" x14ac:dyDescent="0.25">
      <c r="AN280" s="125"/>
    </row>
    <row r="281" spans="40:40" x14ac:dyDescent="0.25">
      <c r="AN281" s="125"/>
    </row>
    <row r="282" spans="40:40" x14ac:dyDescent="0.25">
      <c r="AN282" s="125"/>
    </row>
    <row r="283" spans="40:40" x14ac:dyDescent="0.25">
      <c r="AN283" s="125"/>
    </row>
    <row r="284" spans="40:40" x14ac:dyDescent="0.25">
      <c r="AN284" s="125"/>
    </row>
    <row r="285" spans="40:40" x14ac:dyDescent="0.25">
      <c r="AN285" s="125"/>
    </row>
    <row r="286" spans="40:40" x14ac:dyDescent="0.25">
      <c r="AN286" s="125"/>
    </row>
    <row r="287" spans="40:40" x14ac:dyDescent="0.25">
      <c r="AN287" s="125"/>
    </row>
    <row r="288" spans="40:40" x14ac:dyDescent="0.25">
      <c r="AN288" s="125"/>
    </row>
    <row r="289" spans="40:40" x14ac:dyDescent="0.25">
      <c r="AN289" s="125"/>
    </row>
    <row r="290" spans="40:40" x14ac:dyDescent="0.25">
      <c r="AN290" s="125"/>
    </row>
    <row r="291" spans="40:40" x14ac:dyDescent="0.25">
      <c r="AN291" s="125"/>
    </row>
    <row r="292" spans="40:40" x14ac:dyDescent="0.25">
      <c r="AN292" s="125"/>
    </row>
    <row r="293" spans="40:40" x14ac:dyDescent="0.25">
      <c r="AN293" s="125"/>
    </row>
    <row r="294" spans="40:40" x14ac:dyDescent="0.25">
      <c r="AN294" s="125"/>
    </row>
    <row r="295" spans="40:40" x14ac:dyDescent="0.25">
      <c r="AN295" s="125"/>
    </row>
    <row r="296" spans="40:40" x14ac:dyDescent="0.25">
      <c r="AN296" s="125"/>
    </row>
    <row r="297" spans="40:40" x14ac:dyDescent="0.25">
      <c r="AN297" s="125"/>
    </row>
    <row r="298" spans="40:40" x14ac:dyDescent="0.25">
      <c r="AN298" s="125"/>
    </row>
    <row r="299" spans="40:40" x14ac:dyDescent="0.25">
      <c r="AN299" s="125"/>
    </row>
    <row r="300" spans="40:40" x14ac:dyDescent="0.25">
      <c r="AN300" s="125"/>
    </row>
    <row r="301" spans="40:40" x14ac:dyDescent="0.25">
      <c r="AN301" s="125"/>
    </row>
  </sheetData>
  <sheetProtection algorithmName="SHA-512" hashValue="bCPsEQL78QJm1Bw1Hcu7gAWOVp13HGmVV6eU+qdoRrwTk0ucZ3DXpGoQWLGAu8vtFZT5CS8/TyFFnGqdC45OZg==" saltValue="Pmdxj2JKyarFVCZrQ3Ydcg==" spinCount="100000" sheet="1" formatColumns="0" formatRows="0"/>
  <mergeCells count="24">
    <mergeCell ref="A1:F1"/>
    <mergeCell ref="AK6:AM6"/>
    <mergeCell ref="B43:H43"/>
    <mergeCell ref="B50:H50"/>
    <mergeCell ref="A2:B2"/>
    <mergeCell ref="B34:H34"/>
    <mergeCell ref="B35:H35"/>
    <mergeCell ref="Z1:AE1"/>
    <mergeCell ref="B53:H53"/>
    <mergeCell ref="B36:H36"/>
    <mergeCell ref="B44:H44"/>
    <mergeCell ref="B51:H51"/>
    <mergeCell ref="B48:H48"/>
    <mergeCell ref="B41:H41"/>
    <mergeCell ref="B37:H37"/>
    <mergeCell ref="B45:H45"/>
    <mergeCell ref="B46:H46"/>
    <mergeCell ref="B47:H47"/>
    <mergeCell ref="B38:H38"/>
    <mergeCell ref="B39:H39"/>
    <mergeCell ref="B40:H40"/>
    <mergeCell ref="B49:H49"/>
    <mergeCell ref="B42:H42"/>
    <mergeCell ref="B52:H52"/>
  </mergeCells>
  <phoneticPr fontId="22" type="noConversion"/>
  <conditionalFormatting sqref="A9:H32">
    <cfRule type="expression" dxfId="221" priority="1">
      <formula>$X9=TRUE</formula>
    </cfRule>
    <cfRule type="expression" dxfId="220" priority="3825">
      <formula>$C$3="Yes, section requirements are not included in the contract amendment"</formula>
    </cfRule>
  </conditionalFormatting>
  <dataValidations count="2">
    <dataValidation type="list" allowBlank="1" showInputMessage="1" showErrorMessage="1" sqref="C3" xr:uid="{00000000-0002-0000-0400-000000000000}">
      <formula1>$K$3</formula1>
    </dataValidation>
    <dataValidation type="list" allowBlank="1" showInputMessage="1" showErrorMessage="1" sqref="E9:E32" xr:uid="{A03B22DD-B998-46C1-A74D-3AA777EDFBED}">
      <formula1>$L$1:$L$4</formula1>
    </dataValidation>
  </dataValidations>
  <hyperlinks>
    <hyperlink ref="D11" location="'A. Completeness'!A34" display="'A. Completeness'!A34" xr:uid="{50A4E054-F57B-402A-AC54-CB1BC1DE9AF0}"/>
    <hyperlink ref="D12" location="'A. Completeness'!A35" display="2,3,5,6" xr:uid="{FC4F8C31-DC0B-48F5-AC4F-39B36E557DCB}"/>
    <hyperlink ref="D14" location="'A. Completeness'!A34" display="1,2,6,7,19" xr:uid="{04747C25-B2AE-4B9F-BC15-356615BB92E8}"/>
    <hyperlink ref="D15" location="'A. Completeness'!A41" display="8,9,10,19" xr:uid="{91FD3DE8-BDC2-46BD-871C-ED3D2E0A831D}"/>
    <hyperlink ref="D19" location="'A. Completeness'!A35" display="2,3,4,11" xr:uid="{9F742A83-BBC1-41A8-B68E-313BDC86120A}"/>
    <hyperlink ref="D20" location="'A. Completeness'!A45" display="'A. Completeness'!A45" xr:uid="{CB102EA9-0CBF-4ABB-BCEE-1D1F4BF0D9DD}"/>
    <hyperlink ref="D21" location="'A. Completeness'!A46" display="'A. Completeness'!A46" xr:uid="{3A331B77-C498-4EC1-B600-256E389BF374}"/>
    <hyperlink ref="D23" location="'A. Completeness'!A47" display="14,15,16, 17" xr:uid="{ED05953B-FF7B-406B-A2AA-A5AFAB1D143A}"/>
    <hyperlink ref="D24" location="'A. Completeness'!A51" display="'A. Completeness'!A51" xr:uid="{257B6616-CE41-47E8-BC03-05FD362CF57A}"/>
    <hyperlink ref="D30" location="'A. Completeness'!A35" display="2,3" xr:uid="{9FC7F4AE-1B24-49BD-A730-B521F4DDC4EE}"/>
    <hyperlink ref="D32" location="'A. Completeness'!A53" display="'A. Completeness'!A53" xr:uid="{226F99A5-B88C-46A1-9D7B-14F9D24FB3F7}"/>
    <hyperlink ref="A34" location="'A. Completeness'!D11" display="'A. Completeness'!D11" xr:uid="{EEC066F2-B43E-41A7-B8EF-BA6D5B9E3662}"/>
    <hyperlink ref="A35" location="'A. Completeness'!D12" display="'A. Completeness'!D12" xr:uid="{BC999FA9-5690-4D9B-92D5-BE14D8A9BD5E}"/>
    <hyperlink ref="A36" location="'A. Completeness'!D12" display="'A. Completeness'!D12" xr:uid="{DDB32EF2-B26A-4821-95AD-E8C032A67858}"/>
    <hyperlink ref="A38" location="'A. Completeness'!D12" display="'A. Completeness'!D12" xr:uid="{6C6BFD66-320F-4B58-B784-4360E20ED38D}"/>
    <hyperlink ref="A39" location="'A. Completeness'!D12" display="'A. Completeness'!D12" xr:uid="{43F8308E-6A62-4EC9-A3E5-BB6BDC5A662B}"/>
    <hyperlink ref="A40" location="'A. Completeness'!D13" display="'A. Completeness'!D13" xr:uid="{90CF4F85-16F9-45FB-9208-6FEE80B07B6A}"/>
    <hyperlink ref="A41" location="'A. Completeness'!D15" display="'A. Completeness'!D15" xr:uid="{05B811EC-9276-4DCA-AFCF-67B912E9873C}"/>
    <hyperlink ref="A42" location="'A. Completeness'!D15" display="'A. Completeness'!D15" xr:uid="{25C8E5DF-5708-41FA-B308-B7D946090159}"/>
    <hyperlink ref="A37" location="'A. Completeness'!D18" display="'A. Completeness'!D18" xr:uid="{D76001EB-65DB-42D1-A887-078B0255439F}"/>
    <hyperlink ref="A43" location="'A. Completeness'!D15" display="'A. Completeness'!D15" xr:uid="{28542944-E7A9-4BDF-AFEA-D3FAA980C684}"/>
    <hyperlink ref="A44" location="'A. Completeness'!D18" display="'A. Completeness'!D18" xr:uid="{84F73D4E-C97E-4EDE-B099-235EC4F654C3}"/>
    <hyperlink ref="A45" location="'A. Completeness'!D20" display="'A. Completeness'!D20" xr:uid="{65376BFD-1736-467E-85BE-FEA8B45FFB43}"/>
    <hyperlink ref="A46" location="'A. Completeness'!D21" display="'A. Completeness'!D21" xr:uid="{89508E7A-923A-4CCC-9F72-CE8F14E8FCB5}"/>
    <hyperlink ref="A47" location="'A. Completeness'!D22" display="'A. Completeness'!D22" xr:uid="{517EE894-4C97-4156-B1E0-B197355C9C22}"/>
    <hyperlink ref="A48" location="'A. Completeness'!D22" display="'A. Completeness'!D22" xr:uid="{0AE1ACA8-6004-43F9-A81F-76B3D9C53B45}"/>
    <hyperlink ref="A49" location="'A. Completeness'!D22" display="'A. Completeness'!D22" xr:uid="{8DCF753E-6D06-4A49-BAED-0E472CA9D536}"/>
    <hyperlink ref="A50" location="'A. Completeness'!D22" display="'A. Completeness'!D22" xr:uid="{10B20E09-A093-4AF4-B30F-C4F0826EE524}"/>
    <hyperlink ref="A51" location="'A. Completeness'!D24" display="'A. Completeness'!D24" xr:uid="{CBDE1921-CDF8-419E-919C-AC2B91515520}"/>
    <hyperlink ref="A52" location="'A. Completeness'!D13" display="'A. Completeness'!D13" xr:uid="{1D67C7C5-CCF6-4C1D-8323-CE5D9E5B0AF1}"/>
    <hyperlink ref="A53" location="'A. Completeness'!D32" display="'A. Completeness'!D32" xr:uid="{D8F02B13-CF75-49E5-87B3-503FA5D3EF21}"/>
    <hyperlink ref="D29" location="'A. Completeness'!A35" display="2,3,4,11" xr:uid="{B1710938-A7B4-44C2-8F7B-9D7880386FEB}"/>
    <hyperlink ref="D17" location="'A. Completeness'!A40" display="'A. Completeness'!A40" xr:uid="{9F4D8FD3-33DD-47DB-8488-6956941F950D}"/>
    <hyperlink ref="D13" location="'A. Completeness'!A34" display="1,2,6,7,19" xr:uid="{5CEEB299-1E79-42A4-9D82-7CAB429675DE}"/>
    <hyperlink ref="D16" location="'A. Completeness'!A40" display="'A. Completeness'!A40" xr:uid="{27A5EA68-FAAF-471C-BD8B-E08D2EE22890}"/>
    <hyperlink ref="D18" location="'A. Completeness'!A35" display="2,3,4,11" xr:uid="{7A6196D3-DB6E-484C-8E23-E1DEDB6CCA12}"/>
    <hyperlink ref="D22" location="'A. Completeness'!A47" display="14,15,16, 17" xr:uid="{D647131F-BF88-47CA-93AD-11B38FCBDC39}"/>
  </hyperlinks>
  <pageMargins left="0.25" right="0.25" top="0.75" bottom="0.75" header="0.3" footer="0.3"/>
  <pageSetup scale="78" fitToHeight="0" orientation="landscape"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AV143"/>
  <sheetViews>
    <sheetView tabSelected="1" zoomScale="70" zoomScaleNormal="70" workbookViewId="0">
      <pane ySplit="7" topLeftCell="A8" activePane="bottomLeft" state="frozen"/>
      <selection pane="bottomLeft" activeCell="F9" sqref="F9"/>
    </sheetView>
  </sheetViews>
  <sheetFormatPr defaultColWidth="9.28515625" defaultRowHeight="15" x14ac:dyDescent="0.25"/>
  <cols>
    <col min="1" max="1" width="11.28515625" customWidth="1"/>
    <col min="2" max="2" width="17.42578125" style="7" customWidth="1"/>
    <col min="3" max="3" width="71.7109375" style="152" customWidth="1"/>
    <col min="4" max="4" width="10.7109375" style="8" customWidth="1"/>
    <col min="5" max="5" width="8.7109375" style="5" customWidth="1"/>
    <col min="6" max="6" width="15.5703125" customWidth="1"/>
    <col min="7" max="7" width="26" customWidth="1"/>
    <col min="8" max="8" width="25.7109375" customWidth="1"/>
    <col min="9" max="9" width="14.28515625" style="141" hidden="1" customWidth="1"/>
    <col min="10" max="10" width="9.5703125" style="139" hidden="1" customWidth="1"/>
    <col min="11" max="12" width="6.28515625" style="139" hidden="1" customWidth="1"/>
    <col min="13" max="13" width="11.28515625" style="138" hidden="1" customWidth="1"/>
    <col min="14" max="14" width="5.7109375" style="116" hidden="1" customWidth="1"/>
    <col min="15" max="15" width="6.7109375" style="116" hidden="1" customWidth="1"/>
    <col min="16" max="16" width="12.7109375" style="116" hidden="1" customWidth="1"/>
    <col min="17" max="17" width="7.5703125" style="116" hidden="1" customWidth="1"/>
    <col min="18" max="20" width="12.42578125" style="117" hidden="1" customWidth="1"/>
    <col min="21" max="21" width="21" style="122" hidden="1" customWidth="1"/>
    <col min="22" max="22" width="23.5703125" style="116" hidden="1" customWidth="1"/>
    <col min="23" max="31" width="35" style="69" hidden="1" customWidth="1"/>
    <col min="32" max="32" width="81.28515625" style="69" hidden="1" customWidth="1"/>
    <col min="33" max="33" width="34.5703125" style="106" hidden="1" customWidth="1"/>
    <col min="34" max="34" width="16.5703125" style="69" hidden="1" customWidth="1"/>
    <col min="35" max="35" width="63.7109375" style="69" hidden="1" customWidth="1"/>
    <col min="36" max="36" width="21.42578125" style="69" hidden="1" customWidth="1"/>
    <col min="37" max="37" width="28.42578125" style="69" hidden="1" customWidth="1"/>
    <col min="38" max="38" width="15.7109375" style="69" hidden="1" customWidth="1"/>
    <col min="39" max="39" width="12.28515625" style="69" hidden="1" customWidth="1"/>
    <col min="40" max="43" width="11.28515625" style="69" hidden="1" customWidth="1"/>
    <col min="44" max="44" width="31.5703125" style="69" hidden="1" customWidth="1"/>
    <col min="45" max="45" width="27.7109375" style="69" hidden="1" customWidth="1"/>
    <col min="46" max="46" width="16" style="69" hidden="1" customWidth="1"/>
    <col min="47" max="47" width="11" hidden="1" customWidth="1"/>
    <col min="48" max="48" width="9.28515625" hidden="1" customWidth="1"/>
    <col min="49" max="60" width="9.28515625" customWidth="1"/>
  </cols>
  <sheetData>
    <row r="1" spans="1:47" ht="24.95" customHeight="1" thickBot="1" x14ac:dyDescent="0.3">
      <c r="A1" s="583" t="s">
        <v>463</v>
      </c>
      <c r="B1" s="583"/>
      <c r="C1" s="583"/>
      <c r="D1" s="583"/>
      <c r="E1" s="583"/>
      <c r="F1" s="583"/>
      <c r="G1" s="548"/>
      <c r="H1" s="280"/>
      <c r="I1" s="25"/>
      <c r="J1" s="26" t="s">
        <v>311</v>
      </c>
      <c r="K1" s="27"/>
      <c r="L1" s="51"/>
      <c r="M1" s="52" t="b">
        <f>IF($C$2="Base contract","Blist",IF($C$2="Contract Amendment","Alist"))</f>
        <v>0</v>
      </c>
      <c r="N1" s="53"/>
      <c r="O1" s="29"/>
      <c r="P1" s="53"/>
      <c r="Q1" s="53"/>
      <c r="R1" s="53"/>
      <c r="S1" s="53"/>
      <c r="T1" s="53"/>
      <c r="U1" s="38"/>
      <c r="V1" s="112"/>
      <c r="W1" s="546"/>
      <c r="X1" s="545"/>
      <c r="Y1" s="545"/>
      <c r="Z1" s="581" t="s">
        <v>313</v>
      </c>
      <c r="AA1" s="582"/>
      <c r="AB1" s="582"/>
      <c r="AC1" s="582"/>
      <c r="AD1" s="582"/>
      <c r="AE1" s="582"/>
      <c r="AF1" s="57"/>
      <c r="AG1" s="46" t="s">
        <v>318</v>
      </c>
      <c r="AH1" s="56"/>
      <c r="AI1" s="56"/>
      <c r="AJ1" s="56"/>
      <c r="AK1" s="56"/>
      <c r="AL1" s="69" t="s">
        <v>319</v>
      </c>
    </row>
    <row r="2" spans="1:47" x14ac:dyDescent="0.25">
      <c r="A2" s="584" t="s">
        <v>320</v>
      </c>
      <c r="B2" s="585"/>
      <c r="C2" s="549">
        <f>'Cover Sheet'!B6</f>
        <v>0</v>
      </c>
      <c r="D2" s="218"/>
      <c r="E2" s="281"/>
      <c r="F2" s="282"/>
      <c r="G2" s="283" t="s">
        <v>464</v>
      </c>
      <c r="H2" s="284" t="str">
        <f>I2</f>
        <v>Not Started</v>
      </c>
      <c r="I2" s="25" t="str">
        <f>IF(OR($C$3="Yes, section requirements are not applicable",$C$3="Yes, all requirements on the sheet are crosshatched",AND(E8="N/A",E12="N/A",E15="N/A",E17="N/A",E19="N/A",E32="N/A",E37="N/A")),"Section Review N/A",IF((COUNTA(A8:A39)+COUNTBLANK(A8:A39)=COUNTBLANK(E8:E39)),"Not Started",IF((COUNTA(A8:A39)&gt;SUM(U8:U39)),"In Progress","Section Review Complete")))</f>
        <v>Not Started</v>
      </c>
      <c r="J2" s="25" t="s">
        <v>322</v>
      </c>
      <c r="K2" s="27" t="s">
        <v>323</v>
      </c>
      <c r="L2" s="27"/>
      <c r="M2" s="28"/>
      <c r="N2" s="53"/>
      <c r="O2" s="29"/>
      <c r="P2" s="53"/>
      <c r="Q2" s="53"/>
      <c r="R2" s="53"/>
      <c r="S2" s="53"/>
      <c r="T2" s="53"/>
      <c r="U2" s="38"/>
      <c r="V2" s="59"/>
      <c r="W2" s="29"/>
      <c r="X2" s="59"/>
      <c r="Y2" s="59"/>
      <c r="Z2" s="54" t="str">
        <f>IF('Cover Sheet'!$B$13="Yes","MCO","--")</f>
        <v>MCO</v>
      </c>
      <c r="AA2" s="54" t="str">
        <f>IF('Cover Sheet'!$B$14="Yes","HIO","--")</f>
        <v>--</v>
      </c>
      <c r="AB2" s="54" t="str">
        <f>IF('Cover Sheet'!$B$16="Yes","PIHP","--")</f>
        <v>--</v>
      </c>
      <c r="AC2" s="54" t="str">
        <f>IF('Cover Sheet'!$B$16="Yes","PAHP","--")</f>
        <v>--</v>
      </c>
      <c r="AD2" s="54" t="str">
        <f>IF('Cover Sheet'!$B$17="Yes","NEMT PAHP","--")</f>
        <v>--</v>
      </c>
      <c r="AE2" s="54" t="str">
        <f>IF('Cover Sheet'!$B$18="Yes","PCCME","--")</f>
        <v>--</v>
      </c>
      <c r="AF2" s="57"/>
      <c r="AG2" s="61">
        <f>IF('Cover Sheet'!$B$4="BOTH",1,0)</f>
        <v>1</v>
      </c>
      <c r="AH2" s="56"/>
      <c r="AI2" s="56" t="s">
        <v>224</v>
      </c>
      <c r="AJ2" s="56"/>
      <c r="AK2" s="56"/>
    </row>
    <row r="3" spans="1:47" ht="15.75" thickBot="1" x14ac:dyDescent="0.3">
      <c r="A3" s="223" t="s">
        <v>324</v>
      </c>
      <c r="B3" s="224"/>
      <c r="C3" s="225" t="s">
        <v>325</v>
      </c>
      <c r="D3" s="226"/>
      <c r="E3" s="285"/>
      <c r="F3" s="286"/>
      <c r="G3" s="287" t="s">
        <v>465</v>
      </c>
      <c r="H3" s="288" t="str">
        <f>I3</f>
        <v>Not Started</v>
      </c>
      <c r="I3" s="25" t="str">
        <f>IF(OR($C$3="Yes, section requirements are not applicable",$C$3="Yes, all requirements on the sheet are crosshatched",AND(E8="N/A",E12="N/A",E15="N/A",E17="N/A",E19="N/A",E32="N/A",E37="N/A")),"Section Review N/A",IF((COUNTA(A8:A39)+COUNTBLANK(A8:A39))=COUNTBLANK(E8:E39),"Not Started",IF(OR(COUNTA(A8:A39)+COUNTBLANK(A8:A39)&lt;&gt;COUNTIF(E8:E39,"Yes")+COUNTIF(E8:E39,"Met")+COUNTIF(E8:E39,"N/A")+COUNTBLANK(E8:E39),COUNTA(A8:A39)&lt;&gt;SUM(U8:U39)),"Revisions Needed","Approved")))</f>
        <v>Not Started</v>
      </c>
      <c r="J3" s="25" t="s">
        <v>327</v>
      </c>
      <c r="K3" s="27" t="s">
        <v>325</v>
      </c>
      <c r="L3" s="27"/>
      <c r="M3" s="28"/>
      <c r="N3" s="53"/>
      <c r="O3" s="29"/>
      <c r="P3" s="53"/>
      <c r="Q3" s="53"/>
      <c r="R3" s="53"/>
      <c r="S3" s="53"/>
      <c r="T3" s="53"/>
      <c r="U3" s="38"/>
      <c r="V3" s="54"/>
      <c r="W3" s="56"/>
      <c r="X3" s="421" t="s">
        <v>351</v>
      </c>
      <c r="Y3" s="421" t="s">
        <v>352</v>
      </c>
      <c r="Z3" s="56"/>
      <c r="AA3" s="56"/>
      <c r="AB3" s="56"/>
      <c r="AC3" s="56"/>
      <c r="AD3" s="56"/>
      <c r="AE3" s="56"/>
      <c r="AF3" s="57"/>
      <c r="AG3" s="54"/>
      <c r="AH3" s="56"/>
      <c r="AI3" s="56"/>
      <c r="AJ3" s="56"/>
      <c r="AK3" s="56"/>
    </row>
    <row r="4" spans="1:47" hidden="1" x14ac:dyDescent="0.25">
      <c r="A4" s="231"/>
      <c r="B4" s="232"/>
      <c r="C4" s="289"/>
      <c r="D4" s="234"/>
      <c r="E4" s="231"/>
      <c r="F4" s="290"/>
      <c r="G4" s="290"/>
      <c r="H4" s="290"/>
      <c r="I4" s="62"/>
      <c r="J4" s="25" t="s">
        <v>319</v>
      </c>
      <c r="K4" s="27"/>
      <c r="L4" s="27"/>
      <c r="M4" s="28"/>
      <c r="N4" s="53"/>
      <c r="O4" s="29"/>
      <c r="P4" s="53"/>
      <c r="Q4" s="53"/>
      <c r="R4" s="53"/>
      <c r="S4" s="53"/>
      <c r="T4" s="53"/>
      <c r="U4" s="38"/>
      <c r="V4" s="54"/>
      <c r="W4" s="56"/>
      <c r="X4" s="56"/>
      <c r="Y4" s="56"/>
      <c r="Z4" s="56"/>
      <c r="AA4" s="56"/>
      <c r="AB4" s="56"/>
      <c r="AC4" s="56"/>
      <c r="AD4" s="56"/>
      <c r="AE4" s="56"/>
      <c r="AF4" s="57"/>
      <c r="AG4" s="54"/>
      <c r="AH4" s="56"/>
      <c r="AI4" s="56"/>
      <c r="AJ4" s="56"/>
      <c r="AK4" s="56"/>
    </row>
    <row r="5" spans="1:47" hidden="1" x14ac:dyDescent="0.25">
      <c r="A5" s="237"/>
      <c r="B5" s="238"/>
      <c r="C5" s="291"/>
      <c r="D5" s="239"/>
      <c r="E5" s="237"/>
      <c r="F5" s="292"/>
      <c r="G5" s="292"/>
      <c r="H5" s="292"/>
      <c r="I5" s="62"/>
      <c r="J5" s="25"/>
      <c r="K5" s="27"/>
      <c r="L5" s="27"/>
      <c r="M5" s="28"/>
      <c r="N5" s="53"/>
      <c r="O5" s="29"/>
      <c r="P5" s="53"/>
      <c r="Q5" s="53"/>
      <c r="R5" s="53" t="s">
        <v>330</v>
      </c>
      <c r="S5" s="53"/>
      <c r="T5" s="53"/>
      <c r="U5" s="38"/>
      <c r="V5" s="54"/>
      <c r="W5" s="56"/>
      <c r="X5" s="56"/>
      <c r="Y5" s="56"/>
      <c r="Z5" s="56"/>
      <c r="AA5" s="56"/>
      <c r="AB5" s="56"/>
      <c r="AC5" s="56"/>
      <c r="AD5" s="56"/>
      <c r="AE5" s="56"/>
      <c r="AF5" s="57"/>
      <c r="AG5" s="54"/>
      <c r="AH5" s="56"/>
      <c r="AI5" s="56"/>
      <c r="AJ5" s="56"/>
      <c r="AK5" s="56"/>
      <c r="AM5" s="69" t="s">
        <v>331</v>
      </c>
    </row>
    <row r="6" spans="1:47" ht="19.5" hidden="1" customHeight="1" thickBot="1" x14ac:dyDescent="0.3">
      <c r="A6" s="242"/>
      <c r="B6" s="243"/>
      <c r="C6" s="244"/>
      <c r="D6" s="245"/>
      <c r="E6" s="246"/>
      <c r="F6" s="247"/>
      <c r="G6" s="247"/>
      <c r="H6" s="247"/>
      <c r="I6" s="26" t="s">
        <v>466</v>
      </c>
      <c r="J6" s="25"/>
      <c r="K6" s="32"/>
      <c r="L6" s="25"/>
      <c r="M6" s="53"/>
      <c r="N6" s="53"/>
      <c r="O6" s="53"/>
      <c r="P6" s="33" t="s">
        <v>332</v>
      </c>
      <c r="Q6" s="33" t="s">
        <v>333</v>
      </c>
      <c r="R6" s="63"/>
      <c r="S6" s="63"/>
      <c r="T6" s="63"/>
      <c r="U6" s="38"/>
      <c r="V6" s="54"/>
      <c r="W6" s="56"/>
      <c r="X6" s="101" t="s">
        <v>351</v>
      </c>
      <c r="Y6" s="101" t="s">
        <v>352</v>
      </c>
      <c r="Z6" s="101"/>
      <c r="AA6" s="101"/>
      <c r="AB6" s="101"/>
      <c r="AC6" s="101"/>
      <c r="AD6" s="101"/>
      <c r="AE6" s="101"/>
      <c r="AF6" s="57"/>
      <c r="AG6" s="54"/>
      <c r="AH6" s="56"/>
      <c r="AI6" s="56"/>
      <c r="AJ6" s="56"/>
      <c r="AK6" s="56"/>
    </row>
    <row r="7" spans="1:47" ht="39" customHeight="1" thickBot="1" x14ac:dyDescent="0.3">
      <c r="A7" s="249" t="s">
        <v>337</v>
      </c>
      <c r="B7" s="250" t="s">
        <v>338</v>
      </c>
      <c r="C7" s="251" t="s">
        <v>339</v>
      </c>
      <c r="D7" s="440" t="s">
        <v>340</v>
      </c>
      <c r="E7" s="440" t="s">
        <v>341</v>
      </c>
      <c r="F7" s="440" t="s">
        <v>342</v>
      </c>
      <c r="G7" s="440" t="s">
        <v>343</v>
      </c>
      <c r="H7" s="441" t="s">
        <v>344</v>
      </c>
      <c r="I7" s="34" t="s">
        <v>168</v>
      </c>
      <c r="J7" s="34" t="s">
        <v>178</v>
      </c>
      <c r="K7" s="34" t="s">
        <v>185</v>
      </c>
      <c r="L7" s="35" t="s">
        <v>190</v>
      </c>
      <c r="M7" s="36" t="s">
        <v>195</v>
      </c>
      <c r="N7" s="37" t="s">
        <v>345</v>
      </c>
      <c r="O7" s="37" t="s">
        <v>200</v>
      </c>
      <c r="P7" s="38"/>
      <c r="Q7" s="38"/>
      <c r="R7" s="39" t="s">
        <v>346</v>
      </c>
      <c r="S7" s="39"/>
      <c r="T7" s="39"/>
      <c r="U7" s="50" t="s">
        <v>467</v>
      </c>
      <c r="V7" s="101" t="s">
        <v>353</v>
      </c>
      <c r="W7" s="70" t="s">
        <v>361</v>
      </c>
      <c r="X7" s="158"/>
      <c r="Y7" s="158"/>
      <c r="Z7" s="158" t="s">
        <v>168</v>
      </c>
      <c r="AA7" s="158" t="s">
        <v>178</v>
      </c>
      <c r="AB7" s="158" t="s">
        <v>185</v>
      </c>
      <c r="AC7" s="158" t="s">
        <v>190</v>
      </c>
      <c r="AD7" s="158" t="s">
        <v>195</v>
      </c>
      <c r="AE7" s="158" t="s">
        <v>200</v>
      </c>
      <c r="AF7" s="70" t="s">
        <v>362</v>
      </c>
      <c r="AG7" s="104" t="s">
        <v>468</v>
      </c>
      <c r="AH7" s="70" t="s">
        <v>364</v>
      </c>
      <c r="AI7" s="70" t="s">
        <v>365</v>
      </c>
      <c r="AJ7" s="56" t="s">
        <v>366</v>
      </c>
      <c r="AK7" s="56" t="s">
        <v>367</v>
      </c>
      <c r="AL7" s="69" t="s">
        <v>368</v>
      </c>
      <c r="AM7" s="69" t="s">
        <v>331</v>
      </c>
      <c r="AN7" s="80" t="s">
        <v>369</v>
      </c>
      <c r="AO7" s="80" t="s">
        <v>370</v>
      </c>
      <c r="AP7" s="80" t="s">
        <v>371</v>
      </c>
      <c r="AQ7" s="80" t="s">
        <v>372</v>
      </c>
      <c r="AR7" s="81" t="s">
        <v>373</v>
      </c>
      <c r="AS7" s="82" t="s">
        <v>374</v>
      </c>
      <c r="AT7" s="83" t="s">
        <v>375</v>
      </c>
      <c r="AU7" s="5" t="s">
        <v>376</v>
      </c>
    </row>
    <row r="8" spans="1:47" ht="15.75" thickBot="1" x14ac:dyDescent="0.3">
      <c r="A8" s="450"/>
      <c r="B8" s="451"/>
      <c r="C8" s="452" t="s">
        <v>6</v>
      </c>
      <c r="D8" s="442"/>
      <c r="E8" s="443"/>
      <c r="F8" s="444"/>
      <c r="G8" s="444"/>
      <c r="H8" s="445"/>
      <c r="I8" s="74"/>
      <c r="J8" s="74"/>
      <c r="K8" s="74"/>
      <c r="L8" s="87"/>
      <c r="M8" s="87"/>
      <c r="W8" s="68"/>
      <c r="X8" s="68"/>
      <c r="Y8" s="68"/>
      <c r="Z8" s="68"/>
      <c r="AA8" s="68"/>
      <c r="AB8" s="68"/>
      <c r="AC8" s="68"/>
      <c r="AD8" s="68"/>
      <c r="AE8" s="68"/>
      <c r="AF8" s="89"/>
      <c r="AG8" s="89"/>
      <c r="AH8" s="89"/>
      <c r="AI8" s="89"/>
      <c r="AJ8" s="68"/>
      <c r="AK8" s="68"/>
      <c r="AU8" s="5"/>
    </row>
    <row r="9" spans="1:47" ht="38.25" x14ac:dyDescent="0.25">
      <c r="A9" s="294" t="s">
        <v>469</v>
      </c>
      <c r="B9" s="295" t="s">
        <v>470</v>
      </c>
      <c r="C9" s="295" t="s">
        <v>471</v>
      </c>
      <c r="D9" s="446" t="s">
        <v>224</v>
      </c>
      <c r="E9" s="297"/>
      <c r="F9" s="297"/>
      <c r="G9" s="297"/>
      <c r="H9" s="214"/>
      <c r="I9" s="92" t="s">
        <v>168</v>
      </c>
      <c r="J9" s="92" t="s">
        <v>178</v>
      </c>
      <c r="K9" s="92" t="s">
        <v>185</v>
      </c>
      <c r="L9" s="71" t="s">
        <v>190</v>
      </c>
      <c r="M9" s="71" t="s">
        <v>195</v>
      </c>
      <c r="N9" s="71"/>
      <c r="O9" s="166" t="s">
        <v>200</v>
      </c>
      <c r="P9" s="71" t="s">
        <v>380</v>
      </c>
      <c r="Q9" s="71" t="e">
        <f>IF(OR(AND($C$2="Base contract",$C$3="No, section requirements must be reviewed",#REF!= FALSE,#REF!=FALSE),AND($C$2="Contract amendment",$C$3="No, section requirements must be reviewed",#REF!=FALSE,#REF!=FALSE)),"MUNN")</f>
        <v>#REF!</v>
      </c>
      <c r="R9" s="64"/>
      <c r="S9" s="64"/>
      <c r="T9" s="64"/>
      <c r="U9" s="97">
        <f>IF(OR($E$8="N/A",AND(AU9=0,'Cover Sheet'!$B$29="Streamlined Review"),AND(E9="Met",F9&lt;&gt;""),AND(E9="Not met",G9&lt;&gt;""),AND(E9="Unsure",G9&lt;&gt;""),AND(E9="N/A",H9&lt;&gt;""),AND(Y9=TRUE)),1,0)</f>
        <v>0</v>
      </c>
      <c r="W9" s="56" t="b">
        <f>IF(OR(AND($H$6="Medicaid",MID($A9,1,FIND(".",$A9,1)-1)="II"),AND($H$6="CHIP",MID($A9,1,FIND(".",$A9,1)-1)="I")),TRUE,FALSE)</f>
        <v>0</v>
      </c>
      <c r="X9" s="126" t="b">
        <f>IF(OR(Y9=TRUE),TRUE,FALSE)</f>
        <v>0</v>
      </c>
      <c r="Y9" s="126" t="b">
        <f>IF(SUM(Z9:AE9)&lt;1,TRUE,FALSE)</f>
        <v>0</v>
      </c>
      <c r="Z9" s="126">
        <f t="shared" ref="Z9:Z39" si="0">IF($Z$2=I9,1,0)</f>
        <v>1</v>
      </c>
      <c r="AA9" s="126">
        <f t="shared" ref="AA9:AA39" si="1">IF($AA$2=J9,1,0)</f>
        <v>0</v>
      </c>
      <c r="AB9" s="126">
        <f t="shared" ref="AB9:AB39" si="2">IF($AB$2=K9,1,0)</f>
        <v>0</v>
      </c>
      <c r="AC9" s="126">
        <f>IF($AC$2=$L$9,1,0)</f>
        <v>0</v>
      </c>
      <c r="AD9" s="126">
        <f t="shared" ref="AD9:AD39" si="3">IF($AD$2=M9,1,0)</f>
        <v>0</v>
      </c>
      <c r="AE9" s="126">
        <f t="shared" ref="AE9:AE39" si="4">IF($AE$2=O9,1,0)</f>
        <v>0</v>
      </c>
      <c r="AM9" s="69" t="str">
        <f>IF(AL9=1,1,"")</f>
        <v/>
      </c>
      <c r="AU9" s="5">
        <v>0</v>
      </c>
    </row>
    <row r="10" spans="1:47" ht="42.95" customHeight="1" x14ac:dyDescent="0.25">
      <c r="A10" s="294" t="s">
        <v>472</v>
      </c>
      <c r="B10" s="295" t="s">
        <v>473</v>
      </c>
      <c r="C10" s="295" t="s">
        <v>474</v>
      </c>
      <c r="D10" s="446"/>
      <c r="E10" s="297"/>
      <c r="F10" s="297"/>
      <c r="G10" s="297"/>
      <c r="H10" s="214"/>
      <c r="I10" s="92" t="s">
        <v>168</v>
      </c>
      <c r="J10" s="92" t="s">
        <v>178</v>
      </c>
      <c r="K10" s="92" t="s">
        <v>185</v>
      </c>
      <c r="L10" s="71" t="s">
        <v>190</v>
      </c>
      <c r="M10" s="71" t="s">
        <v>195</v>
      </c>
      <c r="N10" s="71"/>
      <c r="O10" s="166" t="s">
        <v>200</v>
      </c>
      <c r="P10" s="71" t="s">
        <v>380</v>
      </c>
      <c r="Q10" s="71" t="e">
        <f>IF(OR(AND($C$2="Base contract",$C$3="No, section requirements must be reviewed",#REF!= FALSE,#REF!=FALSE),AND($C$2="Contract amendment",$C$3="No, section requirements must be reviewed",#REF!=FALSE,#REF!=FALSE)),"MUNN")</f>
        <v>#REF!</v>
      </c>
      <c r="R10" s="64"/>
      <c r="S10" s="64"/>
      <c r="T10" s="64"/>
      <c r="U10" s="97">
        <f>IF(OR($E$8="N/A",AND(AU10=0,'Cover Sheet'!$B$29="Streamlined Review"),AND(E10="Met",F10&lt;&gt;""),AND(E10="Not met",G10&lt;&gt;""),AND(E10="Unsure",G10&lt;&gt;""),AND(E10="N/A",H10&lt;&gt;""),AND(Y10=TRUE)),1,0)</f>
        <v>0</v>
      </c>
      <c r="W10" s="56" t="b">
        <f>IF(OR(AND($H$6="Medicaid",MID($A10,1,FIND(".",$A10,1)-1)="II"),AND($H$6="CHIP",MID($A10,1,FIND(".",$A10,1)-1)="I")),TRUE,FALSE)</f>
        <v>0</v>
      </c>
      <c r="X10" s="126" t="b">
        <f>IF(OR(Y10=TRUE),TRUE,FALSE)</f>
        <v>0</v>
      </c>
      <c r="Y10" s="126" t="b">
        <f>IF(SUM(Z10:AE10)&lt;1,TRUE,FALSE)</f>
        <v>0</v>
      </c>
      <c r="Z10" s="126">
        <f t="shared" si="0"/>
        <v>1</v>
      </c>
      <c r="AA10" s="126">
        <f t="shared" si="1"/>
        <v>0</v>
      </c>
      <c r="AB10" s="126">
        <f t="shared" si="2"/>
        <v>0</v>
      </c>
      <c r="AC10" s="126">
        <f t="shared" ref="AC10:AC39" si="5">IF($AC$2=L10,1,0)</f>
        <v>0</v>
      </c>
      <c r="AD10" s="126">
        <f t="shared" si="3"/>
        <v>0</v>
      </c>
      <c r="AE10" s="126">
        <f t="shared" si="4"/>
        <v>0</v>
      </c>
      <c r="AM10" s="69" t="str">
        <f>IF(AL10=1,1,"")</f>
        <v/>
      </c>
      <c r="AU10" s="5">
        <v>1</v>
      </c>
    </row>
    <row r="11" spans="1:47" ht="39" thickBot="1" x14ac:dyDescent="0.3">
      <c r="A11" s="294" t="s">
        <v>475</v>
      </c>
      <c r="B11" s="295" t="s">
        <v>476</v>
      </c>
      <c r="C11" s="295" t="s">
        <v>477</v>
      </c>
      <c r="D11" s="446"/>
      <c r="E11" s="297"/>
      <c r="F11" s="297"/>
      <c r="G11" s="297"/>
      <c r="H11" s="214"/>
      <c r="I11" s="92" t="s">
        <v>168</v>
      </c>
      <c r="J11" s="92" t="s">
        <v>178</v>
      </c>
      <c r="K11" s="92" t="s">
        <v>185</v>
      </c>
      <c r="L11" s="71" t="s">
        <v>190</v>
      </c>
      <c r="M11" s="71" t="s">
        <v>195</v>
      </c>
      <c r="N11" s="71"/>
      <c r="O11" s="71" t="s">
        <v>200</v>
      </c>
      <c r="P11" s="71" t="s">
        <v>380</v>
      </c>
      <c r="Q11" s="71" t="e">
        <f>IF(OR(AND($C$2="Base contract",$C$3="No, section requirements must be reviewed",#REF!= FALSE,#REF!=FALSE),AND($C$2="Contract amendment",$C$3="No, section requirements must be reviewed",#REF!=FALSE,#REF!=FALSE)),"MUNN")</f>
        <v>#REF!</v>
      </c>
      <c r="R11" s="64">
        <v>42556</v>
      </c>
      <c r="S11" s="64"/>
      <c r="T11" s="64"/>
      <c r="U11" s="97">
        <f>IF(OR($E$8="N/A",AND(AU11=0,'Cover Sheet'!$B$29="Streamlined Review"),AND(E11="Met",F11&lt;&gt;""),AND(E11="Not met",G11&lt;&gt;""),AND(E11="Unsure",G11&lt;&gt;""),AND(E11="N/A",H11&lt;&gt;""),AND(Y11=TRUE)),1,0)</f>
        <v>0</v>
      </c>
      <c r="W11" s="56" t="b">
        <f>IF(OR(AND($H$6="Medicaid",MID($A11,1,FIND(".",$A11,1)-1)="II"),AND($H$6="CHIP",MID($A11,1,FIND(".",$A11,1)-1)="I")),TRUE,FALSE)</f>
        <v>0</v>
      </c>
      <c r="X11" s="126" t="b">
        <f>IF(OR(Y11=TRUE),TRUE,FALSE)</f>
        <v>0</v>
      </c>
      <c r="Y11" s="126" t="b">
        <f>IF(SUM(Z11:AE11)&lt;1,TRUE,FALSE)</f>
        <v>0</v>
      </c>
      <c r="Z11" s="126">
        <f t="shared" si="0"/>
        <v>1</v>
      </c>
      <c r="AA11" s="126">
        <f t="shared" si="1"/>
        <v>0</v>
      </c>
      <c r="AB11" s="126">
        <f t="shared" si="2"/>
        <v>0</v>
      </c>
      <c r="AC11" s="126">
        <f t="shared" si="5"/>
        <v>0</v>
      </c>
      <c r="AD11" s="126">
        <f t="shared" si="3"/>
        <v>0</v>
      </c>
      <c r="AE11" s="126">
        <f t="shared" si="4"/>
        <v>0</v>
      </c>
      <c r="AM11" s="69" t="str">
        <f>IF(AL11=1,1,"")</f>
        <v/>
      </c>
      <c r="AU11" s="5">
        <v>1</v>
      </c>
    </row>
    <row r="12" spans="1:47" ht="15.75" thickBot="1" x14ac:dyDescent="0.3">
      <c r="A12" s="450"/>
      <c r="B12" s="451"/>
      <c r="C12" s="452" t="s">
        <v>7</v>
      </c>
      <c r="D12" s="442"/>
      <c r="E12" s="443"/>
      <c r="F12" s="444"/>
      <c r="G12" s="444"/>
      <c r="H12" s="445"/>
      <c r="I12" s="74"/>
      <c r="J12" s="74"/>
      <c r="K12" s="74"/>
      <c r="L12" s="87"/>
      <c r="M12" s="87"/>
      <c r="U12" s="126"/>
      <c r="W12" s="68"/>
      <c r="X12" s="68"/>
      <c r="Y12" s="68"/>
      <c r="Z12" s="126">
        <f t="shared" si="0"/>
        <v>0</v>
      </c>
      <c r="AA12" s="126">
        <f t="shared" si="1"/>
        <v>0</v>
      </c>
      <c r="AB12" s="126">
        <f t="shared" si="2"/>
        <v>0</v>
      </c>
      <c r="AC12" s="126">
        <f t="shared" si="5"/>
        <v>0</v>
      </c>
      <c r="AD12" s="126">
        <f t="shared" si="3"/>
        <v>0</v>
      </c>
      <c r="AE12" s="126">
        <f t="shared" si="4"/>
        <v>0</v>
      </c>
      <c r="AU12" s="5"/>
    </row>
    <row r="13" spans="1:47" ht="63.75" x14ac:dyDescent="0.25">
      <c r="A13" s="294" t="s">
        <v>478</v>
      </c>
      <c r="B13" s="295" t="s">
        <v>479</v>
      </c>
      <c r="C13" s="295" t="s">
        <v>480</v>
      </c>
      <c r="D13" s="447">
        <v>1</v>
      </c>
      <c r="E13" s="297"/>
      <c r="F13" s="297"/>
      <c r="G13" s="297"/>
      <c r="H13" s="214"/>
      <c r="I13" s="92" t="s">
        <v>168</v>
      </c>
      <c r="J13" s="92" t="s">
        <v>178</v>
      </c>
      <c r="K13" s="92" t="s">
        <v>185</v>
      </c>
      <c r="L13" s="71" t="s">
        <v>190</v>
      </c>
      <c r="M13" s="71"/>
      <c r="N13" s="71"/>
      <c r="O13" s="71"/>
      <c r="P13" s="71" t="s">
        <v>380</v>
      </c>
      <c r="Q13" s="71" t="e">
        <f>IF(OR(AND($C$2="Base contract",$C$3="No, section requirements must be reviewed",#REF!= FALSE,#REF!=FALSE),AND($C$2="Contract amendment",$C$3="No, section requirements must be reviewed",#REF!=FALSE,#REF!=FALSE)),"MUNN")</f>
        <v>#REF!</v>
      </c>
      <c r="R13" s="64"/>
      <c r="S13" s="64"/>
      <c r="T13" s="64"/>
      <c r="U13" s="97">
        <f>IF(OR($E$12="N/A",AND(AU13=0,'Cover Sheet'!$B$29="Streamlined Review"),AND(E13="Met",F13&lt;&gt;""),AND(E13="Not met",G13&lt;&gt;""),AND(E13="Unsure",G13&lt;&gt;""),AND(E13="N/A",H13&lt;&gt;""),AND(Y13=TRUE)),1,0)</f>
        <v>0</v>
      </c>
      <c r="W13" s="56" t="b">
        <f>IF(OR(AND($H$6="Medicaid",MID($A13,1,FIND(".",$A13,1)-1)="II"),AND($H$6="CHIP",MID($A13,1,FIND(".",$A13,1)-1)="I")),TRUE,FALSE)</f>
        <v>0</v>
      </c>
      <c r="X13" s="126" t="b">
        <f>IF(OR(Y13=TRUE),TRUE,FALSE)</f>
        <v>0</v>
      </c>
      <c r="Y13" s="126" t="b">
        <f>IF(SUM(Z13:AE13)&lt;1,TRUE,FALSE)</f>
        <v>0</v>
      </c>
      <c r="Z13" s="126">
        <f t="shared" si="0"/>
        <v>1</v>
      </c>
      <c r="AA13" s="126">
        <f t="shared" si="1"/>
        <v>0</v>
      </c>
      <c r="AB13" s="126">
        <f t="shared" si="2"/>
        <v>0</v>
      </c>
      <c r="AC13" s="126">
        <f t="shared" si="5"/>
        <v>0</v>
      </c>
      <c r="AD13" s="126">
        <f t="shared" si="3"/>
        <v>0</v>
      </c>
      <c r="AE13" s="126">
        <f t="shared" si="4"/>
        <v>0</v>
      </c>
      <c r="AL13" s="69">
        <v>1</v>
      </c>
      <c r="AM13" s="69">
        <f>IF(AL13=1,1,"")</f>
        <v>1</v>
      </c>
      <c r="AU13" s="5">
        <v>0</v>
      </c>
    </row>
    <row r="14" spans="1:47" ht="26.25" thickBot="1" x14ac:dyDescent="0.3">
      <c r="A14" s="294" t="s">
        <v>481</v>
      </c>
      <c r="B14" s="295" t="s">
        <v>482</v>
      </c>
      <c r="C14" s="295" t="s">
        <v>483</v>
      </c>
      <c r="D14" s="446"/>
      <c r="E14" s="297"/>
      <c r="F14" s="297"/>
      <c r="G14" s="297"/>
      <c r="H14" s="214"/>
      <c r="I14" s="92" t="s">
        <v>168</v>
      </c>
      <c r="J14" s="92" t="s">
        <v>178</v>
      </c>
      <c r="K14" s="92" t="s">
        <v>185</v>
      </c>
      <c r="L14" s="71" t="s">
        <v>190</v>
      </c>
      <c r="M14" s="71" t="s">
        <v>195</v>
      </c>
      <c r="N14" s="71"/>
      <c r="O14" s="71"/>
      <c r="P14" s="71" t="s">
        <v>380</v>
      </c>
      <c r="Q14" s="71" t="e">
        <f>IF(OR(AND($C$2="Base contract",$C$3="No, section requirements must be reviewed",#REF!= FALSE,#REF!=FALSE),AND($C$2="Contract amendment",$C$3="No, section requirements must be reviewed",#REF!=FALSE,#REF!=FALSE)),"MUNN")</f>
        <v>#REF!</v>
      </c>
      <c r="R14" s="64"/>
      <c r="S14" s="64"/>
      <c r="T14" s="64"/>
      <c r="U14" s="97">
        <f>IF(OR($E$12="N/A",AND(AU14=0,'Cover Sheet'!$B$29="Streamlined Review"),AND(E14="Met",F14&lt;&gt;""),AND(E14="Not met",G14&lt;&gt;""),AND(E14="Unsure",G14&lt;&gt;""),AND(E14="N/A",H14&lt;&gt;""),AND(Y14=TRUE)),1,0)</f>
        <v>0</v>
      </c>
      <c r="W14" s="56" t="b">
        <f>IF(OR(AND($H$6="Medicaid",MID($A14,1,FIND(".",$A14,1)-1)="II"),AND($H$6="CHIP",MID($A14,1,FIND(".",$A14,1)-1)="I")),TRUE,FALSE)</f>
        <v>0</v>
      </c>
      <c r="X14" s="126" t="b">
        <f>IF(OR(Y14=TRUE),TRUE,FALSE)</f>
        <v>0</v>
      </c>
      <c r="Y14" s="126" t="b">
        <f>IF(SUM(Z14:AE14)&lt;1,TRUE,FALSE)</f>
        <v>0</v>
      </c>
      <c r="Z14" s="126">
        <f t="shared" si="0"/>
        <v>1</v>
      </c>
      <c r="AA14" s="126">
        <f t="shared" si="1"/>
        <v>0</v>
      </c>
      <c r="AB14" s="126">
        <f t="shared" si="2"/>
        <v>0</v>
      </c>
      <c r="AC14" s="126">
        <f t="shared" si="5"/>
        <v>0</v>
      </c>
      <c r="AD14" s="126">
        <f t="shared" si="3"/>
        <v>0</v>
      </c>
      <c r="AE14" s="126">
        <f t="shared" si="4"/>
        <v>0</v>
      </c>
      <c r="AM14" s="69" t="str">
        <f>IF(AL14=1,1,"")</f>
        <v/>
      </c>
      <c r="AU14" s="5">
        <v>0</v>
      </c>
    </row>
    <row r="15" spans="1:47" ht="15.75" thickBot="1" x14ac:dyDescent="0.3">
      <c r="A15" s="450"/>
      <c r="B15" s="451"/>
      <c r="C15" s="452" t="s">
        <v>8</v>
      </c>
      <c r="D15" s="442"/>
      <c r="E15" s="443"/>
      <c r="F15" s="444"/>
      <c r="G15" s="444"/>
      <c r="H15" s="445"/>
      <c r="I15" s="74"/>
      <c r="J15" s="74"/>
      <c r="K15" s="74"/>
      <c r="L15" s="87"/>
      <c r="M15" s="87"/>
      <c r="U15" s="126"/>
      <c r="W15" s="68"/>
      <c r="X15" s="68"/>
      <c r="Y15" s="68"/>
      <c r="Z15" s="126">
        <f t="shared" si="0"/>
        <v>0</v>
      </c>
      <c r="AA15" s="126">
        <f t="shared" si="1"/>
        <v>0</v>
      </c>
      <c r="AB15" s="126">
        <f t="shared" si="2"/>
        <v>0</v>
      </c>
      <c r="AC15" s="126">
        <f t="shared" si="5"/>
        <v>0</v>
      </c>
      <c r="AD15" s="126">
        <f t="shared" si="3"/>
        <v>0</v>
      </c>
      <c r="AE15" s="126">
        <f t="shared" si="4"/>
        <v>0</v>
      </c>
      <c r="AU15" s="5"/>
    </row>
    <row r="16" spans="1:47" ht="26.25" thickBot="1" x14ac:dyDescent="0.3">
      <c r="A16" s="294" t="s">
        <v>484</v>
      </c>
      <c r="B16" s="295" t="s">
        <v>485</v>
      </c>
      <c r="C16" s="295" t="s">
        <v>486</v>
      </c>
      <c r="D16" s="446"/>
      <c r="E16" s="297"/>
      <c r="F16" s="297"/>
      <c r="G16" s="297"/>
      <c r="H16" s="214"/>
      <c r="I16" s="92" t="s">
        <v>168</v>
      </c>
      <c r="J16" s="92" t="s">
        <v>178</v>
      </c>
      <c r="K16" s="92" t="s">
        <v>185</v>
      </c>
      <c r="L16" s="71" t="s">
        <v>190</v>
      </c>
      <c r="M16" s="71" t="s">
        <v>195</v>
      </c>
      <c r="N16" s="71"/>
      <c r="O16" s="71"/>
      <c r="P16" s="71" t="s">
        <v>380</v>
      </c>
      <c r="Q16" s="71" t="e">
        <f>IF(OR(AND($C$2="Base contract",$C$3="No, section requirements must be reviewed",#REF!= FALSE,#REF!=FALSE),AND($C$2="Contract amendment",$C$3="No, section requirements must be reviewed",#REF!=FALSE,#REF!=FALSE)),"MUNN")</f>
        <v>#REF!</v>
      </c>
      <c r="R16" s="64"/>
      <c r="S16" s="64"/>
      <c r="T16" s="64"/>
      <c r="U16" s="97">
        <f>IF(OR($E$15="N/A",AND(AU16=0,'Cover Sheet'!$B$29="Streamlined Review"),AND(E16="Met",F16&lt;&gt;""),AND(E16="Not met",G16&lt;&gt;""),AND(E16="Unsure",G16&lt;&gt;""),AND(E16="N/A",H16&lt;&gt;""),AND(Y16=TRUE)),1,0)</f>
        <v>0</v>
      </c>
      <c r="W16" s="56" t="b">
        <f>IF(OR(AND($H$6="Medicaid",MID($A16,1,FIND(".",$A16,1)-1)="II"),AND($H$6="CHIP",MID($A16,1,FIND(".",$A16,1)-1)="I")),TRUE,FALSE)</f>
        <v>0</v>
      </c>
      <c r="X16" s="126" t="b">
        <f>IF(OR(Y16=TRUE),TRUE,FALSE)</f>
        <v>0</v>
      </c>
      <c r="Y16" s="126" t="b">
        <f>IF(SUM(Z16:AE16)&lt;1,TRUE,FALSE)</f>
        <v>0</v>
      </c>
      <c r="Z16" s="126">
        <f t="shared" si="0"/>
        <v>1</v>
      </c>
      <c r="AA16" s="126">
        <f t="shared" si="1"/>
        <v>0</v>
      </c>
      <c r="AB16" s="126">
        <f t="shared" si="2"/>
        <v>0</v>
      </c>
      <c r="AC16" s="126">
        <f t="shared" si="5"/>
        <v>0</v>
      </c>
      <c r="AD16" s="126">
        <f t="shared" si="3"/>
        <v>0</v>
      </c>
      <c r="AE16" s="126">
        <f t="shared" si="4"/>
        <v>0</v>
      </c>
      <c r="AL16" s="69">
        <v>1</v>
      </c>
      <c r="AM16" s="69">
        <f>IF(AL16=1,1,"")</f>
        <v>1</v>
      </c>
      <c r="AU16" s="5">
        <v>0</v>
      </c>
    </row>
    <row r="17" spans="1:47" ht="15.75" thickBot="1" x14ac:dyDescent="0.3">
      <c r="A17" s="450"/>
      <c r="B17" s="451"/>
      <c r="C17" s="452" t="s">
        <v>9</v>
      </c>
      <c r="D17" s="442"/>
      <c r="E17" s="443"/>
      <c r="F17" s="444"/>
      <c r="G17" s="444"/>
      <c r="H17" s="445"/>
      <c r="I17" s="74"/>
      <c r="J17" s="74"/>
      <c r="K17" s="74"/>
      <c r="L17" s="87"/>
      <c r="M17" s="87"/>
      <c r="U17" s="126"/>
      <c r="W17" s="68"/>
      <c r="X17" s="68"/>
      <c r="Y17" s="68"/>
      <c r="Z17" s="126">
        <f t="shared" si="0"/>
        <v>0</v>
      </c>
      <c r="AA17" s="126">
        <f t="shared" si="1"/>
        <v>0</v>
      </c>
      <c r="AB17" s="126">
        <f t="shared" si="2"/>
        <v>0</v>
      </c>
      <c r="AC17" s="126">
        <f t="shared" si="5"/>
        <v>0</v>
      </c>
      <c r="AD17" s="126">
        <f t="shared" si="3"/>
        <v>0</v>
      </c>
      <c r="AE17" s="126">
        <f t="shared" si="4"/>
        <v>0</v>
      </c>
      <c r="AU17" s="5"/>
    </row>
    <row r="18" spans="1:47" ht="39" thickBot="1" x14ac:dyDescent="0.3">
      <c r="A18" s="294" t="s">
        <v>487</v>
      </c>
      <c r="B18" s="295" t="s">
        <v>488</v>
      </c>
      <c r="C18" s="295" t="s">
        <v>489</v>
      </c>
      <c r="D18" s="446"/>
      <c r="E18" s="297"/>
      <c r="F18" s="297"/>
      <c r="G18" s="297"/>
      <c r="H18" s="214"/>
      <c r="I18" s="92" t="s">
        <v>168</v>
      </c>
      <c r="J18" s="92" t="s">
        <v>178</v>
      </c>
      <c r="K18" s="92" t="s">
        <v>185</v>
      </c>
      <c r="L18" s="71" t="s">
        <v>190</v>
      </c>
      <c r="M18" s="71" t="s">
        <v>195</v>
      </c>
      <c r="N18" s="71"/>
      <c r="O18" s="71"/>
      <c r="P18" s="71" t="s">
        <v>380</v>
      </c>
      <c r="Q18" s="71" t="e">
        <f>IF(OR(AND($C$2="Base contract",$C$3="No, section requirements must be reviewed",#REF!= FALSE,#REF!=FALSE),AND($C$2="Contract amendment",$C$3="No, section requirements must be reviewed",#REF!=FALSE,#REF!=FALSE)),"MUNN")</f>
        <v>#REF!</v>
      </c>
      <c r="R18" s="64"/>
      <c r="S18" s="64"/>
      <c r="T18" s="64"/>
      <c r="U18" s="97">
        <f>IF(OR($E$17="N/A",AND(AU18=0,'Cover Sheet'!$B$29="Streamlined Review"),AND(E18="Met",F18&lt;&gt;""),AND(E18="Not met",G18&lt;&gt;""),AND(E18="Unsure",G18&lt;&gt;""),AND(E18="N/A",H18&lt;&gt;""),AND(Y18=TRUE)),1,0)</f>
        <v>0</v>
      </c>
      <c r="W18" s="56" t="b">
        <f>IF(OR(AND($H$6="Medicaid",MID($A18,1,FIND(".",$A18,1)-1)="II"),AND($H$6="CHIP",MID($A18,1,FIND(".",$A18,1)-1)="I")),TRUE,FALSE)</f>
        <v>0</v>
      </c>
      <c r="X18" s="126" t="b">
        <f>IF(OR(Y18=TRUE),TRUE,FALSE)</f>
        <v>0</v>
      </c>
      <c r="Y18" s="126" t="b">
        <f>IF(SUM(Z18:AE18)&lt;1,TRUE,FALSE)</f>
        <v>0</v>
      </c>
      <c r="Z18" s="126">
        <f t="shared" si="0"/>
        <v>1</v>
      </c>
      <c r="AA18" s="126">
        <f t="shared" si="1"/>
        <v>0</v>
      </c>
      <c r="AB18" s="126">
        <f t="shared" si="2"/>
        <v>0</v>
      </c>
      <c r="AC18" s="126">
        <f t="shared" si="5"/>
        <v>0</v>
      </c>
      <c r="AD18" s="126">
        <f t="shared" si="3"/>
        <v>0</v>
      </c>
      <c r="AE18" s="126">
        <f t="shared" si="4"/>
        <v>0</v>
      </c>
      <c r="AM18" s="69" t="str">
        <f>IF(AL18=1,1,"")</f>
        <v/>
      </c>
      <c r="AU18" s="5">
        <v>0</v>
      </c>
    </row>
    <row r="19" spans="1:47" ht="15.75" thickBot="1" x14ac:dyDescent="0.3">
      <c r="A19" s="450"/>
      <c r="B19" s="451"/>
      <c r="C19" s="452" t="s">
        <v>10</v>
      </c>
      <c r="D19" s="442"/>
      <c r="E19" s="443"/>
      <c r="F19" s="444"/>
      <c r="G19" s="444"/>
      <c r="H19" s="445"/>
      <c r="I19" s="74"/>
      <c r="J19" s="74"/>
      <c r="K19" s="74"/>
      <c r="L19" s="87"/>
      <c r="M19" s="87"/>
      <c r="U19" s="126"/>
      <c r="W19" s="68"/>
      <c r="X19" s="68"/>
      <c r="Y19" s="68"/>
      <c r="Z19" s="126">
        <f t="shared" si="0"/>
        <v>0</v>
      </c>
      <c r="AA19" s="126">
        <f t="shared" si="1"/>
        <v>0</v>
      </c>
      <c r="AB19" s="126">
        <f t="shared" si="2"/>
        <v>0</v>
      </c>
      <c r="AC19" s="126">
        <f t="shared" si="5"/>
        <v>0</v>
      </c>
      <c r="AD19" s="126">
        <f t="shared" si="3"/>
        <v>0</v>
      </c>
      <c r="AE19" s="126">
        <f t="shared" si="4"/>
        <v>0</v>
      </c>
      <c r="AU19" s="5"/>
    </row>
    <row r="20" spans="1:47" ht="63.75" x14ac:dyDescent="0.25">
      <c r="A20" s="294" t="s">
        <v>490</v>
      </c>
      <c r="B20" s="295" t="s">
        <v>491</v>
      </c>
      <c r="C20" s="295" t="s">
        <v>492</v>
      </c>
      <c r="D20" s="446"/>
      <c r="E20" s="297"/>
      <c r="F20" s="297"/>
      <c r="G20" s="297"/>
      <c r="H20" s="214"/>
      <c r="I20" s="92" t="s">
        <v>168</v>
      </c>
      <c r="J20" s="92" t="s">
        <v>178</v>
      </c>
      <c r="K20" s="92" t="s">
        <v>185</v>
      </c>
      <c r="L20" s="71" t="s">
        <v>190</v>
      </c>
      <c r="M20" s="71" t="s">
        <v>195</v>
      </c>
      <c r="N20" s="71"/>
      <c r="O20" s="71"/>
      <c r="P20" s="71" t="s">
        <v>380</v>
      </c>
      <c r="Q20" s="71" t="e">
        <f>IF(OR(AND($C$2="Base contract",$C$3="No, section requirements must be reviewed",#REF!= FALSE,#REF!=FALSE),AND($C$2="Contract amendment",$C$3="No, section requirements must be reviewed",#REF!=FALSE,#REF!=FALSE)),"MUNN")</f>
        <v>#REF!</v>
      </c>
      <c r="R20" s="64"/>
      <c r="S20" s="64"/>
      <c r="T20" s="64"/>
      <c r="U20" s="97">
        <f>IF(OR($E$19="N/A",AND(AU20=0,'Cover Sheet'!$B$29="Streamlined Review"),AND(E20="Met",F20&lt;&gt;""),AND(E20="Not met",G20&lt;&gt;""),AND(E20="Unsure",G20&lt;&gt;""),AND(E20="N/A",H20&lt;&gt;""),AND(Y20=TRUE)),1,0)</f>
        <v>0</v>
      </c>
      <c r="W20" s="56" t="b">
        <f t="shared" ref="W20:W31" si="6">IF(OR(AND($H$6="Medicaid",MID($A20,1,FIND(".",$A20,1)-1)="II"),AND($H$6="CHIP",MID($A20,1,FIND(".",$A20,1)-1)="I")),TRUE,FALSE)</f>
        <v>0</v>
      </c>
      <c r="X20" s="126" t="b">
        <f t="shared" ref="X20:X31" si="7">IF(OR(Y20=TRUE),TRUE,FALSE)</f>
        <v>0</v>
      </c>
      <c r="Y20" s="126" t="b">
        <f>IF(SUM(Z20:AE20)&lt;1,TRUE,FALSE)</f>
        <v>0</v>
      </c>
      <c r="Z20" s="126">
        <f t="shared" si="0"/>
        <v>1</v>
      </c>
      <c r="AA20" s="126">
        <f t="shared" si="1"/>
        <v>0</v>
      </c>
      <c r="AB20" s="126">
        <f t="shared" si="2"/>
        <v>0</v>
      </c>
      <c r="AC20" s="126">
        <f t="shared" si="5"/>
        <v>0</v>
      </c>
      <c r="AD20" s="126">
        <f t="shared" si="3"/>
        <v>0</v>
      </c>
      <c r="AE20" s="126">
        <f t="shared" si="4"/>
        <v>0</v>
      </c>
      <c r="AM20" s="69" t="str">
        <f t="shared" ref="AM20:AM31" si="8">IF(AL20=1,1,"")</f>
        <v/>
      </c>
      <c r="AU20" s="5">
        <v>1</v>
      </c>
    </row>
    <row r="21" spans="1:47" ht="38.25" x14ac:dyDescent="0.25">
      <c r="A21" s="294" t="s">
        <v>493</v>
      </c>
      <c r="B21" s="295" t="s">
        <v>494</v>
      </c>
      <c r="C21" s="295" t="s">
        <v>495</v>
      </c>
      <c r="D21" s="446"/>
      <c r="E21" s="297"/>
      <c r="F21" s="297"/>
      <c r="G21" s="297"/>
      <c r="H21" s="214"/>
      <c r="I21" s="92" t="s">
        <v>168</v>
      </c>
      <c r="J21" s="92" t="s">
        <v>178</v>
      </c>
      <c r="K21" s="92" t="s">
        <v>185</v>
      </c>
      <c r="L21" s="71" t="s">
        <v>190</v>
      </c>
      <c r="M21" s="71" t="s">
        <v>195</v>
      </c>
      <c r="N21" s="71"/>
      <c r="O21" s="71"/>
      <c r="P21" s="71" t="s">
        <v>380</v>
      </c>
      <c r="Q21" s="71" t="e">
        <f>IF(OR(AND($C$2="Base contract",$C$3="No, section requirements must be reviewed",#REF!= FALSE,#REF!=FALSE),AND($C$2="Contract amendment",$C$3="No, section requirements must be reviewed",#REF!=FALSE,#REF!=FALSE)),"MUNN")</f>
        <v>#REF!</v>
      </c>
      <c r="R21" s="64"/>
      <c r="S21" s="64"/>
      <c r="T21" s="64"/>
      <c r="U21" s="97">
        <f>IF(OR($E$19="N/A",AND(AU21=0,'Cover Sheet'!$B$29="Streamlined Review"),AND(E21="Met",F21&lt;&gt;""),AND(E21="Not met",G21&lt;&gt;""),AND(E21="Unsure",G21&lt;&gt;""),AND(E21="N/A",H21&lt;&gt;""),AND(Y21=TRUE)),1,0)</f>
        <v>0</v>
      </c>
      <c r="W21" s="56" t="b">
        <f t="shared" si="6"/>
        <v>0</v>
      </c>
      <c r="X21" s="126" t="b">
        <f t="shared" si="7"/>
        <v>0</v>
      </c>
      <c r="Y21" s="126" t="b">
        <f>IF(SUM(Z21:AE21)&lt;1,TRUE,FALSE)</f>
        <v>0</v>
      </c>
      <c r="Z21" s="126">
        <f t="shared" si="0"/>
        <v>1</v>
      </c>
      <c r="AA21" s="126">
        <f t="shared" si="1"/>
        <v>0</v>
      </c>
      <c r="AB21" s="126">
        <f t="shared" si="2"/>
        <v>0</v>
      </c>
      <c r="AC21" s="126">
        <f t="shared" si="5"/>
        <v>0</v>
      </c>
      <c r="AD21" s="126">
        <f t="shared" si="3"/>
        <v>0</v>
      </c>
      <c r="AE21" s="126">
        <f t="shared" si="4"/>
        <v>0</v>
      </c>
      <c r="AM21" s="69" t="str">
        <f t="shared" si="8"/>
        <v/>
      </c>
      <c r="AU21" s="5">
        <v>0</v>
      </c>
    </row>
    <row r="22" spans="1:47" ht="51" x14ac:dyDescent="0.25">
      <c r="A22" s="294" t="s">
        <v>496</v>
      </c>
      <c r="B22" s="295" t="s">
        <v>497</v>
      </c>
      <c r="C22" s="295" t="s">
        <v>498</v>
      </c>
      <c r="D22" s="446"/>
      <c r="E22" s="297"/>
      <c r="F22" s="297"/>
      <c r="G22" s="297"/>
      <c r="H22" s="214"/>
      <c r="I22" s="92" t="s">
        <v>168</v>
      </c>
      <c r="J22" s="92" t="s">
        <v>178</v>
      </c>
      <c r="K22" s="92" t="s">
        <v>185</v>
      </c>
      <c r="L22" s="71" t="s">
        <v>190</v>
      </c>
      <c r="M22" s="71" t="s">
        <v>195</v>
      </c>
      <c r="N22" s="71"/>
      <c r="O22" s="71" t="s">
        <v>200</v>
      </c>
      <c r="P22" s="71" t="s">
        <v>380</v>
      </c>
      <c r="Q22" s="71" t="e">
        <f>IF(OR(AND($C$2="Base contract",$C$3="No, section requirements must be reviewed",#REF!= FALSE,#REF!=FALSE),AND($C$2="Contract amendment",$C$3="No, section requirements must be reviewed",#REF!=FALSE,#REF!=FALSE)),"MUNN")</f>
        <v>#REF!</v>
      </c>
      <c r="R22" s="64"/>
      <c r="S22" s="64"/>
      <c r="T22" s="64"/>
      <c r="U22" s="97">
        <f>IF(OR($E$19="N/A",AND(AU22=0,'Cover Sheet'!$B$29="Streamlined Review"),AND(E22="Met",F22&lt;&gt;""),AND(E22="Not met",G22&lt;&gt;""),AND(E22="Unsure",G22&lt;&gt;""),AND(E22="N/A",H22&lt;&gt;""),AND(Y22=TRUE)),1,0)</f>
        <v>0</v>
      </c>
      <c r="W22" s="56" t="b">
        <f t="shared" si="6"/>
        <v>0</v>
      </c>
      <c r="X22" s="126" t="b">
        <f t="shared" si="7"/>
        <v>0</v>
      </c>
      <c r="Y22" s="126" t="b">
        <f>IF(SUM(Z22:AE22)&lt;1,TRUE,FALSE)</f>
        <v>0</v>
      </c>
      <c r="Z22" s="126">
        <f t="shared" si="0"/>
        <v>1</v>
      </c>
      <c r="AA22" s="126">
        <f t="shared" si="1"/>
        <v>0</v>
      </c>
      <c r="AB22" s="126">
        <f t="shared" si="2"/>
        <v>0</v>
      </c>
      <c r="AC22" s="126">
        <f t="shared" si="5"/>
        <v>0</v>
      </c>
      <c r="AD22" s="126">
        <f t="shared" si="3"/>
        <v>0</v>
      </c>
      <c r="AE22" s="126">
        <f t="shared" si="4"/>
        <v>0</v>
      </c>
      <c r="AM22" s="69" t="str">
        <f t="shared" si="8"/>
        <v/>
      </c>
      <c r="AU22" s="5">
        <v>0</v>
      </c>
    </row>
    <row r="23" spans="1:47" ht="51" x14ac:dyDescent="0.25">
      <c r="A23" s="294" t="s">
        <v>499</v>
      </c>
      <c r="B23" s="295" t="s">
        <v>500</v>
      </c>
      <c r="C23" s="295" t="s">
        <v>501</v>
      </c>
      <c r="D23" s="446"/>
      <c r="E23" s="297"/>
      <c r="F23" s="297"/>
      <c r="G23" s="297"/>
      <c r="H23" s="214"/>
      <c r="I23" s="92" t="s">
        <v>168</v>
      </c>
      <c r="J23" s="92" t="s">
        <v>178</v>
      </c>
      <c r="K23" s="92" t="s">
        <v>185</v>
      </c>
      <c r="L23" s="71" t="s">
        <v>190</v>
      </c>
      <c r="M23" s="71" t="s">
        <v>195</v>
      </c>
      <c r="N23" s="71"/>
      <c r="O23" s="71" t="s">
        <v>200</v>
      </c>
      <c r="P23" s="71" t="s">
        <v>380</v>
      </c>
      <c r="Q23" s="71" t="e">
        <f>IF(OR(AND($C$2="Base contract",$C$3="No, section requirements must be reviewed",#REF!= FALSE,#REF!=FALSE),AND($C$2="Contract amendment",$C$3="No, section requirements must be reviewed",#REF!=FALSE,#REF!=FALSE)),"MUNN")</f>
        <v>#REF!</v>
      </c>
      <c r="R23" s="64"/>
      <c r="S23" s="64"/>
      <c r="T23" s="64"/>
      <c r="U23" s="97">
        <f>IF(OR($E$19="N/A",AND(AU23=0,'Cover Sheet'!$B$29="Streamlined Review"),AND(E23="Met",F23&lt;&gt;""),AND(E23="Not met",G23&lt;&gt;""),AND(E23="Unsure",G23&lt;&gt;""),AND(E23="N/A",H23&lt;&gt;""),AND(Y23=TRUE)),1,0)</f>
        <v>0</v>
      </c>
      <c r="W23" s="56" t="b">
        <f t="shared" si="6"/>
        <v>0</v>
      </c>
      <c r="X23" s="126" t="b">
        <f t="shared" si="7"/>
        <v>0</v>
      </c>
      <c r="Y23" s="126" t="b">
        <f t="shared" ref="Y23:Y31" si="9">IF(SUM(Z23:AE23)&lt;1,TRUE,FALSE)</f>
        <v>0</v>
      </c>
      <c r="Z23" s="126">
        <f t="shared" si="0"/>
        <v>1</v>
      </c>
      <c r="AA23" s="126">
        <f t="shared" si="1"/>
        <v>0</v>
      </c>
      <c r="AB23" s="126">
        <f t="shared" si="2"/>
        <v>0</v>
      </c>
      <c r="AC23" s="126">
        <f t="shared" si="5"/>
        <v>0</v>
      </c>
      <c r="AD23" s="126">
        <f t="shared" si="3"/>
        <v>0</v>
      </c>
      <c r="AE23" s="126">
        <f t="shared" si="4"/>
        <v>0</v>
      </c>
      <c r="AM23" s="69" t="str">
        <f t="shared" si="8"/>
        <v/>
      </c>
      <c r="AU23" s="5">
        <v>0</v>
      </c>
    </row>
    <row r="24" spans="1:47" ht="51" x14ac:dyDescent="0.25">
      <c r="A24" s="294" t="s">
        <v>502</v>
      </c>
      <c r="B24" s="295" t="s">
        <v>503</v>
      </c>
      <c r="C24" s="295" t="s">
        <v>504</v>
      </c>
      <c r="D24" s="446"/>
      <c r="E24" s="297"/>
      <c r="F24" s="297"/>
      <c r="G24" s="297"/>
      <c r="H24" s="214"/>
      <c r="I24" s="92" t="s">
        <v>168</v>
      </c>
      <c r="J24" s="92" t="s">
        <v>178</v>
      </c>
      <c r="K24" s="92" t="s">
        <v>185</v>
      </c>
      <c r="L24" s="71" t="s">
        <v>190</v>
      </c>
      <c r="M24" s="71" t="s">
        <v>195</v>
      </c>
      <c r="N24" s="71"/>
      <c r="O24" s="71" t="s">
        <v>200</v>
      </c>
      <c r="P24" s="71" t="s">
        <v>380</v>
      </c>
      <c r="Q24" s="71" t="e">
        <f>IF(OR(AND($C$2="Base contract",$C$3="No, section requirements must be reviewed",#REF!= FALSE,#REF!=FALSE),AND($C$2="Contract amendment",$C$3="No, section requirements must be reviewed",#REF!=FALSE,#REF!=FALSE)),"MUNN")</f>
        <v>#REF!</v>
      </c>
      <c r="R24" s="64"/>
      <c r="S24" s="64"/>
      <c r="T24" s="64"/>
      <c r="U24" s="97">
        <f>IF(OR($E$19="N/A",AND(AU24=0,'Cover Sheet'!$B$29="Streamlined Review"),AND(E24="Met",F24&lt;&gt;""),AND(E24="Not met",G24&lt;&gt;""),AND(E24="Unsure",G24&lt;&gt;""),AND(E24="N/A",H24&lt;&gt;""),AND(Y24=TRUE)),1,0)</f>
        <v>0</v>
      </c>
      <c r="W24" s="56" t="b">
        <f t="shared" si="6"/>
        <v>0</v>
      </c>
      <c r="X24" s="126" t="b">
        <f t="shared" si="7"/>
        <v>0</v>
      </c>
      <c r="Y24" s="126" t="b">
        <f t="shared" si="9"/>
        <v>0</v>
      </c>
      <c r="Z24" s="126">
        <f t="shared" si="0"/>
        <v>1</v>
      </c>
      <c r="AA24" s="126">
        <f t="shared" si="1"/>
        <v>0</v>
      </c>
      <c r="AB24" s="126">
        <f t="shared" si="2"/>
        <v>0</v>
      </c>
      <c r="AC24" s="126">
        <f t="shared" si="5"/>
        <v>0</v>
      </c>
      <c r="AD24" s="126">
        <f t="shared" si="3"/>
        <v>0</v>
      </c>
      <c r="AE24" s="126">
        <f t="shared" si="4"/>
        <v>0</v>
      </c>
      <c r="AM24" s="69" t="str">
        <f t="shared" si="8"/>
        <v/>
      </c>
      <c r="AU24" s="5">
        <v>0</v>
      </c>
    </row>
    <row r="25" spans="1:47" ht="63.75" x14ac:dyDescent="0.25">
      <c r="A25" s="294" t="s">
        <v>505</v>
      </c>
      <c r="B25" s="295" t="s">
        <v>506</v>
      </c>
      <c r="C25" s="295" t="s">
        <v>507</v>
      </c>
      <c r="D25" s="446"/>
      <c r="E25" s="297"/>
      <c r="F25" s="297"/>
      <c r="G25" s="297"/>
      <c r="H25" s="214"/>
      <c r="I25" s="92" t="s">
        <v>168</v>
      </c>
      <c r="J25" s="92" t="s">
        <v>178</v>
      </c>
      <c r="K25" s="92" t="s">
        <v>185</v>
      </c>
      <c r="L25" s="71" t="s">
        <v>190</v>
      </c>
      <c r="M25" s="71" t="s">
        <v>195</v>
      </c>
      <c r="N25" s="71"/>
      <c r="O25" s="71" t="s">
        <v>200</v>
      </c>
      <c r="P25" s="71" t="s">
        <v>380</v>
      </c>
      <c r="Q25" s="71" t="e">
        <f>IF(OR(AND($C$2="Base contract",$C$3="No, section requirements must be reviewed",#REF!= FALSE,#REF!=FALSE),AND($C$2="Contract amendment",$C$3="No, section requirements must be reviewed",#REF!=FALSE,#REF!=FALSE)),"MUNN")</f>
        <v>#REF!</v>
      </c>
      <c r="R25" s="64"/>
      <c r="S25" s="64"/>
      <c r="T25" s="64"/>
      <c r="U25" s="97">
        <f>IF(OR($E$19="N/A",AND(AU25=0,'Cover Sheet'!$B$29="Streamlined Review"),AND(E25="Met",F25&lt;&gt;""),AND(E25="Not met",G25&lt;&gt;""),AND(E25="Unsure",G25&lt;&gt;""),AND(E25="N/A",H25&lt;&gt;""),AND(Y25=TRUE)),1,0)</f>
        <v>0</v>
      </c>
      <c r="W25" s="56" t="b">
        <f t="shared" si="6"/>
        <v>0</v>
      </c>
      <c r="X25" s="126" t="b">
        <f t="shared" si="7"/>
        <v>0</v>
      </c>
      <c r="Y25" s="126" t="b">
        <f t="shared" si="9"/>
        <v>0</v>
      </c>
      <c r="Z25" s="126">
        <f t="shared" si="0"/>
        <v>1</v>
      </c>
      <c r="AA25" s="126">
        <f t="shared" si="1"/>
        <v>0</v>
      </c>
      <c r="AB25" s="126">
        <f t="shared" si="2"/>
        <v>0</v>
      </c>
      <c r="AC25" s="126">
        <f t="shared" si="5"/>
        <v>0</v>
      </c>
      <c r="AD25" s="126">
        <f t="shared" si="3"/>
        <v>0</v>
      </c>
      <c r="AE25" s="126">
        <f t="shared" si="4"/>
        <v>0</v>
      </c>
      <c r="AM25" s="69" t="str">
        <f t="shared" si="8"/>
        <v/>
      </c>
      <c r="AU25" s="5">
        <v>0</v>
      </c>
    </row>
    <row r="26" spans="1:47" ht="63.75" x14ac:dyDescent="0.25">
      <c r="A26" s="294" t="s">
        <v>508</v>
      </c>
      <c r="B26" s="295" t="s">
        <v>509</v>
      </c>
      <c r="C26" s="295" t="s">
        <v>510</v>
      </c>
      <c r="D26" s="447">
        <v>2</v>
      </c>
      <c r="E26" s="297"/>
      <c r="F26" s="297"/>
      <c r="G26" s="297"/>
      <c r="H26" s="214"/>
      <c r="I26" s="92" t="s">
        <v>168</v>
      </c>
      <c r="J26" s="92" t="s">
        <v>178</v>
      </c>
      <c r="K26" s="92"/>
      <c r="L26" s="71"/>
      <c r="M26" s="71"/>
      <c r="N26" s="71"/>
      <c r="O26" s="71" t="s">
        <v>200</v>
      </c>
      <c r="P26" s="71" t="s">
        <v>380</v>
      </c>
      <c r="Q26" s="71" t="e">
        <f>IF(OR(AND($C$2="Base contract",$C$3="No, section requirements must be reviewed",#REF!= FALSE,#REF!=FALSE),AND($C$2="Contract amendment",$C$3="No, section requirements must be reviewed",#REF!=FALSE,#REF!=FALSE)),"MUNN")</f>
        <v>#REF!</v>
      </c>
      <c r="R26" s="64"/>
      <c r="S26" s="64"/>
      <c r="T26" s="64"/>
      <c r="U26" s="97">
        <f>IF(OR($E$19="N/A",AND(AU26=0,'Cover Sheet'!$B$29="Streamlined Review"),AND(E26="Met",F26&lt;&gt;""),AND(E26="Not met",G26&lt;&gt;""),AND(E26="Unsure",G26&lt;&gt;""),AND(E26="N/A",H26&lt;&gt;""),AND(Y26=TRUE)),1,0)</f>
        <v>0</v>
      </c>
      <c r="W26" s="56" t="b">
        <f t="shared" si="6"/>
        <v>0</v>
      </c>
      <c r="X26" s="126" t="b">
        <f t="shared" si="7"/>
        <v>0</v>
      </c>
      <c r="Y26" s="126" t="b">
        <f t="shared" si="9"/>
        <v>0</v>
      </c>
      <c r="Z26" s="126">
        <f t="shared" si="0"/>
        <v>1</v>
      </c>
      <c r="AA26" s="126">
        <f t="shared" si="1"/>
        <v>0</v>
      </c>
      <c r="AB26" s="126">
        <f t="shared" si="2"/>
        <v>0</v>
      </c>
      <c r="AC26" s="126">
        <f t="shared" si="5"/>
        <v>0</v>
      </c>
      <c r="AD26" s="126">
        <f t="shared" si="3"/>
        <v>0</v>
      </c>
      <c r="AE26" s="126">
        <f t="shared" si="4"/>
        <v>0</v>
      </c>
      <c r="AM26" s="69" t="str">
        <f t="shared" si="8"/>
        <v/>
      </c>
      <c r="AU26" s="5">
        <v>0</v>
      </c>
    </row>
    <row r="27" spans="1:47" ht="25.5" x14ac:dyDescent="0.25">
      <c r="A27" s="294" t="s">
        <v>511</v>
      </c>
      <c r="B27" s="295" t="s">
        <v>512</v>
      </c>
      <c r="C27" s="295" t="s">
        <v>513</v>
      </c>
      <c r="D27" s="446"/>
      <c r="E27" s="297"/>
      <c r="F27" s="297"/>
      <c r="G27" s="297"/>
      <c r="H27" s="214"/>
      <c r="I27" s="92" t="s">
        <v>168</v>
      </c>
      <c r="J27" s="92" t="s">
        <v>178</v>
      </c>
      <c r="K27" s="92" t="s">
        <v>185</v>
      </c>
      <c r="L27" s="71" t="s">
        <v>190</v>
      </c>
      <c r="M27" s="71" t="s">
        <v>195</v>
      </c>
      <c r="N27" s="71"/>
      <c r="O27" s="71"/>
      <c r="P27" s="71" t="s">
        <v>380</v>
      </c>
      <c r="Q27" s="71" t="e">
        <f>IF(OR(AND($C$2="Base contract",$C$3="No, section requirements must be reviewed",#REF!= FALSE,#REF!=FALSE),AND($C$2="Contract amendment",$C$3="No, section requirements must be reviewed",#REF!=FALSE,#REF!=FALSE)),"MUNN")</f>
        <v>#REF!</v>
      </c>
      <c r="R27" s="64"/>
      <c r="S27" s="64"/>
      <c r="T27" s="64"/>
      <c r="U27" s="97">
        <f>IF(OR($E$19="N/A",AND(AU27=0,'Cover Sheet'!$B$29="Streamlined Review"),AND(E27="Met",F27&lt;&gt;""),AND(E27="Not met",G27&lt;&gt;""),AND(E27="Unsure",G27&lt;&gt;""),AND(E27="N/A",H27&lt;&gt;""),AND(Y27=TRUE)),1,0)</f>
        <v>0</v>
      </c>
      <c r="W27" s="56" t="b">
        <f t="shared" si="6"/>
        <v>0</v>
      </c>
      <c r="X27" s="126" t="b">
        <f t="shared" si="7"/>
        <v>0</v>
      </c>
      <c r="Y27" s="126" t="b">
        <f t="shared" si="9"/>
        <v>0</v>
      </c>
      <c r="Z27" s="126">
        <f t="shared" si="0"/>
        <v>1</v>
      </c>
      <c r="AA27" s="126">
        <f t="shared" si="1"/>
        <v>0</v>
      </c>
      <c r="AB27" s="126">
        <f t="shared" si="2"/>
        <v>0</v>
      </c>
      <c r="AC27" s="126">
        <f t="shared" si="5"/>
        <v>0</v>
      </c>
      <c r="AD27" s="126">
        <f t="shared" si="3"/>
        <v>0</v>
      </c>
      <c r="AE27" s="126">
        <f t="shared" si="4"/>
        <v>0</v>
      </c>
      <c r="AM27" s="69" t="str">
        <f t="shared" si="8"/>
        <v/>
      </c>
      <c r="AU27" s="5">
        <v>0</v>
      </c>
    </row>
    <row r="28" spans="1:47" ht="25.5" x14ac:dyDescent="0.25">
      <c r="A28" s="294" t="s">
        <v>514</v>
      </c>
      <c r="B28" s="295" t="s">
        <v>515</v>
      </c>
      <c r="C28" s="295" t="s">
        <v>516</v>
      </c>
      <c r="D28" s="446"/>
      <c r="E28" s="297"/>
      <c r="F28" s="297"/>
      <c r="G28" s="297"/>
      <c r="H28" s="214"/>
      <c r="I28" s="92" t="s">
        <v>168</v>
      </c>
      <c r="J28" s="92" t="s">
        <v>178</v>
      </c>
      <c r="K28" s="92" t="s">
        <v>185</v>
      </c>
      <c r="L28" s="71" t="s">
        <v>190</v>
      </c>
      <c r="M28" s="71" t="s">
        <v>195</v>
      </c>
      <c r="N28" s="71"/>
      <c r="O28" s="71"/>
      <c r="P28" s="71" t="s">
        <v>380</v>
      </c>
      <c r="Q28" s="71" t="e">
        <f>IF(OR(AND($C$2="Base contract",$C$3="No, section requirements must be reviewed",#REF!= FALSE,#REF!=FALSE),AND($C$2="Contract amendment",$C$3="No, section requirements must be reviewed",#REF!=FALSE,#REF!=FALSE)),"MUNN")</f>
        <v>#REF!</v>
      </c>
      <c r="R28" s="64"/>
      <c r="S28" s="64"/>
      <c r="T28" s="64"/>
      <c r="U28" s="97">
        <f>IF(OR($E$19="N/A",AND(AU28=0,'Cover Sheet'!$B$29="Streamlined Review"),AND(E28="Met",F28&lt;&gt;""),AND(E28="Not met",G28&lt;&gt;""),AND(E28="Unsure",G28&lt;&gt;""),AND(E28="N/A",H28&lt;&gt;""),AND(Y28=TRUE)),1,0)</f>
        <v>0</v>
      </c>
      <c r="W28" s="56" t="b">
        <f t="shared" si="6"/>
        <v>0</v>
      </c>
      <c r="X28" s="126" t="b">
        <f t="shared" si="7"/>
        <v>0</v>
      </c>
      <c r="Y28" s="126" t="b">
        <f t="shared" si="9"/>
        <v>0</v>
      </c>
      <c r="Z28" s="126">
        <f t="shared" si="0"/>
        <v>1</v>
      </c>
      <c r="AA28" s="126">
        <f t="shared" si="1"/>
        <v>0</v>
      </c>
      <c r="AB28" s="126">
        <f t="shared" si="2"/>
        <v>0</v>
      </c>
      <c r="AC28" s="126">
        <f t="shared" si="5"/>
        <v>0</v>
      </c>
      <c r="AD28" s="126">
        <f t="shared" si="3"/>
        <v>0</v>
      </c>
      <c r="AE28" s="126">
        <f t="shared" si="4"/>
        <v>0</v>
      </c>
      <c r="AM28" s="69" t="str">
        <f t="shared" si="8"/>
        <v/>
      </c>
      <c r="AU28" s="5">
        <v>0</v>
      </c>
    </row>
    <row r="29" spans="1:47" ht="63.75" x14ac:dyDescent="0.25">
      <c r="A29" s="294" t="s">
        <v>517</v>
      </c>
      <c r="B29" s="295" t="s">
        <v>518</v>
      </c>
      <c r="C29" s="295" t="s">
        <v>519</v>
      </c>
      <c r="D29" s="447">
        <v>3</v>
      </c>
      <c r="E29" s="297"/>
      <c r="F29" s="297"/>
      <c r="G29" s="297"/>
      <c r="H29" s="214"/>
      <c r="I29" s="92" t="s">
        <v>168</v>
      </c>
      <c r="J29" s="92" t="s">
        <v>178</v>
      </c>
      <c r="K29" s="92" t="s">
        <v>185</v>
      </c>
      <c r="L29" s="71" t="s">
        <v>190</v>
      </c>
      <c r="M29" s="71"/>
      <c r="N29" s="71"/>
      <c r="O29" s="71"/>
      <c r="P29" s="71" t="s">
        <v>380</v>
      </c>
      <c r="Q29" s="71" t="e">
        <f>IF(OR(AND($C$2="Base contract",$C$3="No, section requirements must be reviewed",#REF!= FALSE,#REF!=FALSE),AND($C$2="Contract amendment",$C$3="No, section requirements must be reviewed",#REF!=FALSE,#REF!=FALSE)),"MUNN")</f>
        <v>#REF!</v>
      </c>
      <c r="R29" s="64"/>
      <c r="S29" s="64"/>
      <c r="T29" s="64"/>
      <c r="U29" s="97">
        <f>IF(OR($E$19="N/A",AND(AU29=0,'Cover Sheet'!$B$29="Streamlined Review"),AND(E29="Met",F29&lt;&gt;""),AND(E29="Not met",G29&lt;&gt;""),AND(E29="Unsure",G29&lt;&gt;""),AND(E29="N/A",H29&lt;&gt;""),AND(Y29=TRUE)),1,0)</f>
        <v>0</v>
      </c>
      <c r="W29" s="56" t="b">
        <f t="shared" si="6"/>
        <v>0</v>
      </c>
      <c r="X29" s="126" t="b">
        <f t="shared" si="7"/>
        <v>0</v>
      </c>
      <c r="Y29" s="126" t="b">
        <f t="shared" si="9"/>
        <v>0</v>
      </c>
      <c r="Z29" s="126">
        <f t="shared" si="0"/>
        <v>1</v>
      </c>
      <c r="AA29" s="126">
        <f t="shared" si="1"/>
        <v>0</v>
      </c>
      <c r="AB29" s="126">
        <f t="shared" si="2"/>
        <v>0</v>
      </c>
      <c r="AC29" s="126">
        <f t="shared" si="5"/>
        <v>0</v>
      </c>
      <c r="AD29" s="126">
        <f t="shared" si="3"/>
        <v>0</v>
      </c>
      <c r="AE29" s="126">
        <f t="shared" si="4"/>
        <v>0</v>
      </c>
      <c r="AM29" s="69" t="str">
        <f t="shared" si="8"/>
        <v/>
      </c>
      <c r="AU29" s="5">
        <v>0</v>
      </c>
    </row>
    <row r="30" spans="1:47" ht="76.5" x14ac:dyDescent="0.25">
      <c r="A30" s="294" t="s">
        <v>520</v>
      </c>
      <c r="B30" s="295" t="s">
        <v>521</v>
      </c>
      <c r="C30" s="295" t="s">
        <v>522</v>
      </c>
      <c r="D30" s="446"/>
      <c r="E30" s="297"/>
      <c r="F30" s="297"/>
      <c r="G30" s="297"/>
      <c r="H30" s="214"/>
      <c r="I30" s="92" t="s">
        <v>168</v>
      </c>
      <c r="J30" s="92" t="s">
        <v>178</v>
      </c>
      <c r="K30" s="92" t="s">
        <v>185</v>
      </c>
      <c r="L30" s="71" t="s">
        <v>190</v>
      </c>
      <c r="M30" s="71"/>
      <c r="N30" s="71"/>
      <c r="O30" s="71"/>
      <c r="P30" s="71" t="s">
        <v>380</v>
      </c>
      <c r="Q30" s="71" t="e">
        <f>IF(OR(AND($C$2="Base contract",$C$3="No, section requirements must be reviewed",#REF!= FALSE,#REF!=FALSE),AND($C$2="Contract amendment",$C$3="No, section requirements must be reviewed",#REF!=FALSE,#REF!=FALSE)),"MUNN")</f>
        <v>#REF!</v>
      </c>
      <c r="R30" s="64">
        <v>42917</v>
      </c>
      <c r="S30" s="64"/>
      <c r="T30" s="64"/>
      <c r="U30" s="97">
        <f>IF(OR($E$19="N/A",AND(AU30=0,'Cover Sheet'!$B$29="Streamlined Review"),AND(E30="Met",F30&lt;&gt;""),AND(E30="Not met",G30&lt;&gt;""),AND(E30="Unsure",G30&lt;&gt;""),AND(E30="N/A",H30&lt;&gt;""),AND(Y30=TRUE)),1,0)</f>
        <v>0</v>
      </c>
      <c r="W30" s="56" t="b">
        <f t="shared" si="6"/>
        <v>0</v>
      </c>
      <c r="X30" s="126" t="b">
        <f t="shared" si="7"/>
        <v>0</v>
      </c>
      <c r="Y30" s="126" t="b">
        <f t="shared" si="9"/>
        <v>0</v>
      </c>
      <c r="Z30" s="126">
        <f t="shared" si="0"/>
        <v>1</v>
      </c>
      <c r="AA30" s="126">
        <f t="shared" si="1"/>
        <v>0</v>
      </c>
      <c r="AB30" s="126">
        <f t="shared" si="2"/>
        <v>0</v>
      </c>
      <c r="AC30" s="126">
        <f t="shared" si="5"/>
        <v>0</v>
      </c>
      <c r="AD30" s="126">
        <f t="shared" si="3"/>
        <v>0</v>
      </c>
      <c r="AE30" s="126">
        <f t="shared" si="4"/>
        <v>0</v>
      </c>
      <c r="AM30" s="69" t="str">
        <f t="shared" si="8"/>
        <v/>
      </c>
      <c r="AU30" s="5">
        <v>0</v>
      </c>
    </row>
    <row r="31" spans="1:47" ht="39" thickBot="1" x14ac:dyDescent="0.3">
      <c r="A31" s="294" t="s">
        <v>523</v>
      </c>
      <c r="B31" s="295" t="s">
        <v>524</v>
      </c>
      <c r="C31" s="295" t="s">
        <v>525</v>
      </c>
      <c r="D31" s="446"/>
      <c r="E31" s="297"/>
      <c r="F31" s="297"/>
      <c r="G31" s="297"/>
      <c r="H31" s="214"/>
      <c r="I31" s="92" t="s">
        <v>168</v>
      </c>
      <c r="J31" s="92" t="s">
        <v>178</v>
      </c>
      <c r="K31" s="92" t="s">
        <v>185</v>
      </c>
      <c r="L31" s="71" t="s">
        <v>190</v>
      </c>
      <c r="M31" s="71" t="s">
        <v>195</v>
      </c>
      <c r="N31" s="71"/>
      <c r="O31" s="71"/>
      <c r="P31" s="71" t="s">
        <v>380</v>
      </c>
      <c r="Q31" s="71" t="e">
        <f>IF(OR(AND($C$2="Base contract",$C$3="No, section requirements must be reviewed",#REF!= FALSE,#REF!=FALSE),AND($C$2="Contract amendment",$C$3="No, section requirements must be reviewed",#REF!=FALSE,#REF!=FALSE)),"MUNN")</f>
        <v>#REF!</v>
      </c>
      <c r="R31" s="64"/>
      <c r="S31" s="64"/>
      <c r="T31" s="64"/>
      <c r="U31" s="97">
        <f>IF(OR($E$19="N/A",AND(AU31=0,'Cover Sheet'!$B$29="Streamlined Review"),AND(E31="Met",F31&lt;&gt;""),AND(E31="Not met",G31&lt;&gt;""),AND(E31="Unsure",G31&lt;&gt;""),AND(E31="N/A",H31&lt;&gt;""),AND(Y31=TRUE)),1,0)</f>
        <v>0</v>
      </c>
      <c r="W31" s="56" t="b">
        <f t="shared" si="6"/>
        <v>0</v>
      </c>
      <c r="X31" s="126" t="b">
        <f t="shared" si="7"/>
        <v>0</v>
      </c>
      <c r="Y31" s="126" t="b">
        <f t="shared" si="9"/>
        <v>0</v>
      </c>
      <c r="Z31" s="126">
        <f t="shared" si="0"/>
        <v>1</v>
      </c>
      <c r="AA31" s="126">
        <f t="shared" si="1"/>
        <v>0</v>
      </c>
      <c r="AB31" s="126">
        <f t="shared" si="2"/>
        <v>0</v>
      </c>
      <c r="AC31" s="126">
        <f t="shared" si="5"/>
        <v>0</v>
      </c>
      <c r="AD31" s="126">
        <f t="shared" si="3"/>
        <v>0</v>
      </c>
      <c r="AE31" s="126">
        <f t="shared" si="4"/>
        <v>0</v>
      </c>
      <c r="AM31" s="69" t="str">
        <f t="shared" si="8"/>
        <v/>
      </c>
      <c r="AU31" s="5">
        <v>0</v>
      </c>
    </row>
    <row r="32" spans="1:47" ht="15.75" thickBot="1" x14ac:dyDescent="0.3">
      <c r="A32" s="450"/>
      <c r="B32" s="451"/>
      <c r="C32" s="452" t="s">
        <v>11</v>
      </c>
      <c r="D32" s="442"/>
      <c r="E32" s="443"/>
      <c r="F32" s="444"/>
      <c r="G32" s="444"/>
      <c r="H32" s="445"/>
      <c r="I32" s="74"/>
      <c r="J32" s="74"/>
      <c r="K32" s="74"/>
      <c r="L32" s="87"/>
      <c r="M32" s="87"/>
      <c r="U32" s="126"/>
      <c r="W32" s="68"/>
      <c r="X32" s="68"/>
      <c r="Y32" s="68"/>
      <c r="Z32" s="126">
        <f t="shared" si="0"/>
        <v>0</v>
      </c>
      <c r="AA32" s="126">
        <f t="shared" si="1"/>
        <v>0</v>
      </c>
      <c r="AB32" s="126">
        <f t="shared" si="2"/>
        <v>0</v>
      </c>
      <c r="AC32" s="126">
        <f t="shared" si="5"/>
        <v>0</v>
      </c>
      <c r="AD32" s="126">
        <f t="shared" si="3"/>
        <v>0</v>
      </c>
      <c r="AE32" s="126">
        <f t="shared" si="4"/>
        <v>0</v>
      </c>
      <c r="AU32" s="5"/>
    </row>
    <row r="33" spans="1:47" ht="51" x14ac:dyDescent="0.25">
      <c r="A33" s="294" t="s">
        <v>526</v>
      </c>
      <c r="B33" s="295" t="s">
        <v>527</v>
      </c>
      <c r="C33" s="295" t="s">
        <v>528</v>
      </c>
      <c r="D33" s="446"/>
      <c r="E33" s="297"/>
      <c r="F33" s="297"/>
      <c r="G33" s="297"/>
      <c r="H33" s="214"/>
      <c r="I33" s="92" t="s">
        <v>168</v>
      </c>
      <c r="J33" s="92" t="s">
        <v>178</v>
      </c>
      <c r="K33" s="92" t="s">
        <v>185</v>
      </c>
      <c r="L33" s="71" t="s">
        <v>190</v>
      </c>
      <c r="M33" s="71" t="s">
        <v>195</v>
      </c>
      <c r="N33" s="71"/>
      <c r="O33" s="71"/>
      <c r="P33" s="71" t="s">
        <v>380</v>
      </c>
      <c r="Q33" s="71" t="e">
        <f>IF(OR(AND($C$2="Base contract",$C$3="No, section requirements must be reviewed",#REF!= FALSE,#REF!=FALSE),AND($C$2="Contract amendment",$C$3="No, section requirements must be reviewed",#REF!=FALSE,#REF!=FALSE)),"MUNN")</f>
        <v>#REF!</v>
      </c>
      <c r="R33" s="64"/>
      <c r="S33" s="64"/>
      <c r="T33" s="64"/>
      <c r="U33" s="97">
        <f>IF(OR($E$32="N/A",AND(AU33=0,'Cover Sheet'!$B$29="Streamlined Review"),AND(E33="Met",F33&lt;&gt;""),AND(E33="Not met",G33&lt;&gt;""),AND(E33="Unsure",G33&lt;&gt;""),AND(E33="N/A",H33&lt;&gt;""),AND(Y33=TRUE)),1,0)</f>
        <v>0</v>
      </c>
      <c r="W33" s="56" t="b">
        <f>IF(OR(AND($H$6="Medicaid",MID($A33,1,FIND(".",$A33,1)-1)="II"),AND($H$6="CHIP",MID($A33,1,FIND(".",$A33,1)-1)="I")),TRUE,FALSE)</f>
        <v>0</v>
      </c>
      <c r="X33" s="126" t="b">
        <f>IF(OR(Y33=TRUE),TRUE,FALSE)</f>
        <v>0</v>
      </c>
      <c r="Y33" s="126" t="b">
        <f>IF(SUM(Z33:AE33)&lt;1,TRUE,FALSE)</f>
        <v>0</v>
      </c>
      <c r="Z33" s="126">
        <f t="shared" si="0"/>
        <v>1</v>
      </c>
      <c r="AA33" s="126">
        <f t="shared" si="1"/>
        <v>0</v>
      </c>
      <c r="AB33" s="126">
        <f t="shared" si="2"/>
        <v>0</v>
      </c>
      <c r="AC33" s="126">
        <f t="shared" si="5"/>
        <v>0</v>
      </c>
      <c r="AD33" s="126">
        <f t="shared" si="3"/>
        <v>0</v>
      </c>
      <c r="AE33" s="126">
        <f t="shared" si="4"/>
        <v>0</v>
      </c>
      <c r="AM33" s="69" t="str">
        <f>IF(AL33=1,1,"")</f>
        <v/>
      </c>
      <c r="AU33" s="5">
        <v>0</v>
      </c>
    </row>
    <row r="34" spans="1:47" ht="38.25" x14ac:dyDescent="0.25">
      <c r="A34" s="294" t="s">
        <v>529</v>
      </c>
      <c r="B34" s="295" t="s">
        <v>530</v>
      </c>
      <c r="C34" s="295" t="s">
        <v>531</v>
      </c>
      <c r="D34" s="446"/>
      <c r="E34" s="297"/>
      <c r="F34" s="297"/>
      <c r="G34" s="297"/>
      <c r="H34" s="214"/>
      <c r="I34" s="92" t="s">
        <v>168</v>
      </c>
      <c r="J34" s="92" t="s">
        <v>178</v>
      </c>
      <c r="K34" s="92" t="s">
        <v>185</v>
      </c>
      <c r="L34" s="71" t="s">
        <v>190</v>
      </c>
      <c r="M34" s="71" t="s">
        <v>195</v>
      </c>
      <c r="N34" s="71"/>
      <c r="O34" s="71"/>
      <c r="P34" s="71" t="s">
        <v>380</v>
      </c>
      <c r="Q34" s="71" t="e">
        <f>IF(OR(AND($C$2="Base contract",$C$3="No, section requirements must be reviewed",#REF!= FALSE,#REF!=FALSE),AND($C$2="Contract amendment",$C$3="No, section requirements must be reviewed",#REF!=FALSE,#REF!=FALSE)),"MUNN")</f>
        <v>#REF!</v>
      </c>
      <c r="R34" s="64"/>
      <c r="S34" s="64"/>
      <c r="T34" s="64"/>
      <c r="U34" s="97">
        <f>IF(OR($E$32="N/A",AND(AU34=0,'Cover Sheet'!$B$29="Streamlined Review"),AND(E34="Met",F34&lt;&gt;""),AND(E34="Not met",G34&lt;&gt;""),AND(E34="Unsure",G34&lt;&gt;""),AND(E34="N/A",H34&lt;&gt;""),AND(Y34=TRUE)),1,0)</f>
        <v>0</v>
      </c>
      <c r="W34" s="56" t="b">
        <f>IF(OR(AND($H$6="Medicaid",MID($A34,1,FIND(".",$A34,1)-1)="II"),AND($H$6="CHIP",MID($A34,1,FIND(".",$A34,1)-1)="I")),TRUE,FALSE)</f>
        <v>0</v>
      </c>
      <c r="X34" s="126" t="b">
        <f>IF(OR(Y34=TRUE),TRUE,FALSE)</f>
        <v>0</v>
      </c>
      <c r="Y34" s="126" t="b">
        <f>IF(SUM(Z34:AE34)&lt;1,TRUE,FALSE)</f>
        <v>0</v>
      </c>
      <c r="Z34" s="126">
        <f t="shared" si="0"/>
        <v>1</v>
      </c>
      <c r="AA34" s="126">
        <f t="shared" si="1"/>
        <v>0</v>
      </c>
      <c r="AB34" s="126">
        <f t="shared" si="2"/>
        <v>0</v>
      </c>
      <c r="AC34" s="126">
        <f t="shared" si="5"/>
        <v>0</v>
      </c>
      <c r="AD34" s="126">
        <f t="shared" si="3"/>
        <v>0</v>
      </c>
      <c r="AE34" s="126">
        <f t="shared" si="4"/>
        <v>0</v>
      </c>
      <c r="AM34" s="69" t="str">
        <f>IF(AL34=1,1,"")</f>
        <v/>
      </c>
      <c r="AU34" s="5">
        <v>0</v>
      </c>
    </row>
    <row r="35" spans="1:47" ht="96" customHeight="1" x14ac:dyDescent="0.25">
      <c r="A35" s="294" t="s">
        <v>532</v>
      </c>
      <c r="B35" s="295" t="s">
        <v>533</v>
      </c>
      <c r="C35" s="295" t="s">
        <v>534</v>
      </c>
      <c r="D35" s="446"/>
      <c r="E35" s="297"/>
      <c r="F35" s="297"/>
      <c r="G35" s="297"/>
      <c r="H35" s="214"/>
      <c r="I35" s="92" t="s">
        <v>168</v>
      </c>
      <c r="J35" s="92" t="s">
        <v>178</v>
      </c>
      <c r="K35" s="92" t="s">
        <v>185</v>
      </c>
      <c r="L35" s="71" t="s">
        <v>190</v>
      </c>
      <c r="M35" s="71" t="s">
        <v>195</v>
      </c>
      <c r="N35" s="71"/>
      <c r="O35" s="71" t="s">
        <v>200</v>
      </c>
      <c r="P35" s="71" t="s">
        <v>380</v>
      </c>
      <c r="Q35" s="71" t="e">
        <f>IF(OR(AND($C$2="Base contract",$C$3="No, section requirements must be reviewed",#REF!= FALSE,#REF!=FALSE),AND($C$2="Contract amendment",$C$3="No, section requirements must be reviewed",#REF!=FALSE,#REF!=FALSE)),"MUNN")</f>
        <v>#REF!</v>
      </c>
      <c r="R35" s="64">
        <v>42556</v>
      </c>
      <c r="S35" s="64"/>
      <c r="T35" s="64"/>
      <c r="U35" s="97">
        <f>IF(OR($E$32="N/A",AND(AU35=0,'Cover Sheet'!$B$29="Streamlined Review"),AND(E35="Met",F35&lt;&gt;""),AND(E35="Not met",G35&lt;&gt;""),AND(E35="Unsure",G35&lt;&gt;""),AND(E35="N/A",H35&lt;&gt;""),AND(Y35=TRUE)),1,0)</f>
        <v>0</v>
      </c>
      <c r="W35" s="56" t="b">
        <f>IF(OR(AND($H$6="Medicaid",MID($A35,1,FIND(".",$A35,1)-1)="II"),AND($H$6="CHIP",MID($A35,1,FIND(".",$A35,1)-1)="I")),TRUE,FALSE)</f>
        <v>0</v>
      </c>
      <c r="X35" s="126" t="b">
        <f>IF(OR(Y35=TRUE),TRUE,FALSE)</f>
        <v>0</v>
      </c>
      <c r="Y35" s="126" t="b">
        <f>IF(SUM(Z35:AE35)&lt;1,TRUE,FALSE)</f>
        <v>0</v>
      </c>
      <c r="Z35" s="126">
        <f t="shared" si="0"/>
        <v>1</v>
      </c>
      <c r="AA35" s="126">
        <f t="shared" si="1"/>
        <v>0</v>
      </c>
      <c r="AB35" s="126">
        <f t="shared" si="2"/>
        <v>0</v>
      </c>
      <c r="AC35" s="126">
        <f t="shared" si="5"/>
        <v>0</v>
      </c>
      <c r="AD35" s="126">
        <f t="shared" si="3"/>
        <v>0</v>
      </c>
      <c r="AE35" s="126">
        <f t="shared" si="4"/>
        <v>0</v>
      </c>
      <c r="AM35" s="69" t="str">
        <f>IF(AL35=1,1,"")</f>
        <v/>
      </c>
      <c r="AU35" s="5">
        <v>0</v>
      </c>
    </row>
    <row r="36" spans="1:47" ht="97.5" customHeight="1" thickBot="1" x14ac:dyDescent="0.3">
      <c r="A36" s="294" t="s">
        <v>535</v>
      </c>
      <c r="B36" s="295" t="s">
        <v>533</v>
      </c>
      <c r="C36" s="295" t="s">
        <v>536</v>
      </c>
      <c r="D36" s="446"/>
      <c r="E36" s="297"/>
      <c r="F36" s="297"/>
      <c r="G36" s="297"/>
      <c r="H36" s="214"/>
      <c r="I36" s="92" t="s">
        <v>168</v>
      </c>
      <c r="J36" s="92" t="s">
        <v>178</v>
      </c>
      <c r="K36" s="92" t="s">
        <v>185</v>
      </c>
      <c r="L36" s="71" t="s">
        <v>190</v>
      </c>
      <c r="M36" s="71" t="s">
        <v>195</v>
      </c>
      <c r="N36" s="71"/>
      <c r="O36" s="71" t="s">
        <v>200</v>
      </c>
      <c r="P36" s="71" t="s">
        <v>380</v>
      </c>
      <c r="Q36" s="71" t="e">
        <f>IF(OR(AND($C$2="Base contract",$C$3="No, section requirements must be reviewed",#REF!= FALSE,#REF!=FALSE),AND($C$2="Contract amendment",$C$3="No, section requirements must be reviewed",#REF!=FALSE,#REF!=FALSE)),"MUNN")</f>
        <v>#REF!</v>
      </c>
      <c r="R36" s="64">
        <v>42556</v>
      </c>
      <c r="S36" s="64"/>
      <c r="T36" s="64"/>
      <c r="U36" s="97">
        <f>IF(OR($E$32="N/A",AND(AU36=0,'Cover Sheet'!$B$29="Streamlined Review"),AND(E36="Met",F36&lt;&gt;""),AND(E36="Not met",G36&lt;&gt;""),AND(E36="Unsure",G36&lt;&gt;""),AND(E36="N/A",H36&lt;&gt;""),AND(Y36=TRUE)),1,0)</f>
        <v>0</v>
      </c>
      <c r="W36" s="56" t="b">
        <f>IF(OR(AND($H$6="Medicaid",MID($A36,1,FIND(".",$A36,1)-1)="II"),AND($H$6="CHIP",MID($A36,1,FIND(".",$A36,1)-1)="I")),TRUE,FALSE)</f>
        <v>0</v>
      </c>
      <c r="X36" s="126" t="b">
        <f>IF(OR(Y36=TRUE),TRUE,FALSE)</f>
        <v>0</v>
      </c>
      <c r="Y36" s="126" t="b">
        <f>IF(SUM(Z36:AE36)&lt;1,TRUE,FALSE)</f>
        <v>0</v>
      </c>
      <c r="Z36" s="126">
        <f t="shared" si="0"/>
        <v>1</v>
      </c>
      <c r="AA36" s="126">
        <f t="shared" si="1"/>
        <v>0</v>
      </c>
      <c r="AB36" s="126">
        <f t="shared" si="2"/>
        <v>0</v>
      </c>
      <c r="AC36" s="126">
        <f t="shared" si="5"/>
        <v>0</v>
      </c>
      <c r="AD36" s="126">
        <f t="shared" si="3"/>
        <v>0</v>
      </c>
      <c r="AE36" s="126">
        <f t="shared" si="4"/>
        <v>0</v>
      </c>
      <c r="AM36" s="69" t="str">
        <f>IF(AL36=1,1,"")</f>
        <v/>
      </c>
      <c r="AU36" s="5">
        <v>0</v>
      </c>
    </row>
    <row r="37" spans="1:47" ht="15.75" thickBot="1" x14ac:dyDescent="0.3">
      <c r="A37" s="450"/>
      <c r="B37" s="451"/>
      <c r="C37" s="452" t="s">
        <v>12</v>
      </c>
      <c r="D37" s="442"/>
      <c r="E37" s="443"/>
      <c r="F37" s="444"/>
      <c r="G37" s="444"/>
      <c r="H37" s="445"/>
      <c r="I37" s="74"/>
      <c r="J37" s="74"/>
      <c r="K37" s="74"/>
      <c r="L37" s="87"/>
      <c r="M37" s="87"/>
      <c r="U37" s="126"/>
      <c r="W37" s="68"/>
      <c r="X37" s="68"/>
      <c r="Y37" s="68"/>
      <c r="Z37" s="126">
        <f t="shared" si="0"/>
        <v>0</v>
      </c>
      <c r="AA37" s="126">
        <f t="shared" si="1"/>
        <v>0</v>
      </c>
      <c r="AB37" s="126">
        <f t="shared" si="2"/>
        <v>0</v>
      </c>
      <c r="AC37" s="126">
        <f t="shared" si="5"/>
        <v>0</v>
      </c>
      <c r="AD37" s="126">
        <f t="shared" si="3"/>
        <v>0</v>
      </c>
      <c r="AE37" s="126">
        <f t="shared" si="4"/>
        <v>0</v>
      </c>
      <c r="AU37" s="5"/>
    </row>
    <row r="38" spans="1:47" ht="51" x14ac:dyDescent="0.25">
      <c r="A38" s="298" t="s">
        <v>537</v>
      </c>
      <c r="B38" s="299" t="s">
        <v>538</v>
      </c>
      <c r="C38" s="299" t="s">
        <v>539</v>
      </c>
      <c r="D38" s="448">
        <v>4</v>
      </c>
      <c r="E38" s="300"/>
      <c r="F38" s="300"/>
      <c r="G38" s="300"/>
      <c r="H38" s="301"/>
      <c r="I38" s="92" t="s">
        <v>168</v>
      </c>
      <c r="J38" s="92" t="s">
        <v>178</v>
      </c>
      <c r="K38" s="167" t="s">
        <v>185</v>
      </c>
      <c r="L38" s="166" t="s">
        <v>190</v>
      </c>
      <c r="M38" s="166" t="s">
        <v>195</v>
      </c>
      <c r="N38" s="71"/>
      <c r="O38" s="71"/>
      <c r="P38" s="71" t="s">
        <v>380</v>
      </c>
      <c r="Q38" s="71" t="e">
        <f>IF(OR(AND($C$2="Base contract",$C$3="No, section requirements must be reviewed",#REF!= FALSE,#REF!=FALSE),AND($C$2="Contract amendment",$C$3="No, section requirements must be reviewed",#REF!=FALSE,#REF!=FALSE)),"MUNN")</f>
        <v>#REF!</v>
      </c>
      <c r="R38" s="64"/>
      <c r="S38" s="64"/>
      <c r="T38" s="64"/>
      <c r="U38" s="97">
        <f>IF(OR($E$37="N/A",AND(AU38=0,'Cover Sheet'!$B$29="Streamlined Review"),AND(E38="Met",F38&lt;&gt;""),AND(E38="Not met",G38&lt;&gt;""),AND(E38="Unsure",G38&lt;&gt;""),AND(E38="N/A",H38&lt;&gt;""),AND(Y38=TRUE)),1,0)</f>
        <v>0</v>
      </c>
      <c r="W38" s="56" t="b">
        <f>IF(OR(AND($H$6="Medicaid",MID($A38,1,FIND(".",$A38,1)-1)="II"),AND($H$6="CHIP",MID($A38,1,FIND(".",$A38,1)-1)="I")),TRUE,FALSE)</f>
        <v>0</v>
      </c>
      <c r="X38" s="126" t="b">
        <f>IF(OR(Y38=TRUE),TRUE,FALSE)</f>
        <v>0</v>
      </c>
      <c r="Y38" s="126" t="b">
        <f>IF(SUM(Z38:AE38)&lt;1,TRUE,FALSE)</f>
        <v>0</v>
      </c>
      <c r="Z38" s="126">
        <f t="shared" si="0"/>
        <v>1</v>
      </c>
      <c r="AA38" s="126">
        <f t="shared" si="1"/>
        <v>0</v>
      </c>
      <c r="AB38" s="126">
        <f t="shared" si="2"/>
        <v>0</v>
      </c>
      <c r="AC38" s="126">
        <f t="shared" si="5"/>
        <v>0</v>
      </c>
      <c r="AD38" s="126">
        <f t="shared" si="3"/>
        <v>0</v>
      </c>
      <c r="AE38" s="126">
        <f t="shared" si="4"/>
        <v>0</v>
      </c>
      <c r="AM38" s="69" t="str">
        <f>IF(AL38=1,1,"")</f>
        <v/>
      </c>
      <c r="AU38" s="5">
        <v>0</v>
      </c>
    </row>
    <row r="39" spans="1:47" ht="90" thickBot="1" x14ac:dyDescent="0.3">
      <c r="A39" s="351" t="s">
        <v>540</v>
      </c>
      <c r="B39" s="339" t="s">
        <v>541</v>
      </c>
      <c r="C39" s="339" t="s">
        <v>542</v>
      </c>
      <c r="D39" s="449"/>
      <c r="E39" s="340"/>
      <c r="F39" s="340"/>
      <c r="G39" s="340"/>
      <c r="H39" s="215"/>
      <c r="I39" s="92" t="s">
        <v>168</v>
      </c>
      <c r="J39" s="92" t="s">
        <v>178</v>
      </c>
      <c r="K39" s="167" t="s">
        <v>185</v>
      </c>
      <c r="L39" s="166" t="s">
        <v>190</v>
      </c>
      <c r="M39" s="166" t="s">
        <v>195</v>
      </c>
      <c r="N39" s="71"/>
      <c r="O39" s="71"/>
      <c r="P39" s="71" t="s">
        <v>380</v>
      </c>
      <c r="Q39" s="71" t="e">
        <f>IF(OR(AND($C$2="Base contract",$C$3="No, section requirements must be reviewed",#REF!= FALSE,#REF!=FALSE),AND($C$2="Contract amendment",$C$3="No, section requirements must be reviewed",#REF!=FALSE,#REF!=FALSE)),"MUNN")</f>
        <v>#REF!</v>
      </c>
      <c r="R39" s="64"/>
      <c r="S39" s="64"/>
      <c r="T39" s="64"/>
      <c r="U39" s="97">
        <f>IF(OR($E$37="N/A",AND(AU39=0,'Cover Sheet'!$B$29="Streamlined Review"),AND(E39="Met",F39&lt;&gt;""),AND(E39="Not met",G39&lt;&gt;""),AND(E39="Unsure",G39&lt;&gt;""),AND(E39="N/A",H39&lt;&gt;""),AND(Y39=TRUE)),1,0)</f>
        <v>0</v>
      </c>
      <c r="W39" s="56" t="b">
        <f>IF(OR(AND($H$6="Medicaid",MID($A39,1,FIND(".",$A39,1)-1)="II"),AND($H$6="CHIP",MID($A39,1,FIND(".",$A39,1)-1)="I")),TRUE,FALSE)</f>
        <v>0</v>
      </c>
      <c r="X39" s="126" t="b">
        <f>IF(OR(Y39=TRUE),TRUE,FALSE)</f>
        <v>0</v>
      </c>
      <c r="Y39" s="126" t="b">
        <f>IF(SUM(Z39:AE39)&lt;1,TRUE,FALSE)</f>
        <v>0</v>
      </c>
      <c r="Z39" s="126">
        <f t="shared" si="0"/>
        <v>1</v>
      </c>
      <c r="AA39" s="126">
        <f t="shared" si="1"/>
        <v>0</v>
      </c>
      <c r="AB39" s="126">
        <f t="shared" si="2"/>
        <v>0</v>
      </c>
      <c r="AC39" s="126">
        <f t="shared" si="5"/>
        <v>0</v>
      </c>
      <c r="AD39" s="126">
        <f t="shared" si="3"/>
        <v>0</v>
      </c>
      <c r="AE39" s="126">
        <f t="shared" si="4"/>
        <v>0</v>
      </c>
      <c r="AM39" s="69" t="str">
        <f>IF(AL39=1,1,"")</f>
        <v/>
      </c>
      <c r="AU39" s="5">
        <v>1</v>
      </c>
    </row>
    <row r="40" spans="1:47" x14ac:dyDescent="0.25">
      <c r="A40" s="302" t="s">
        <v>442</v>
      </c>
      <c r="B40" s="303"/>
      <c r="C40" s="547"/>
      <c r="D40" s="304"/>
      <c r="E40" s="269"/>
      <c r="F40" s="270"/>
      <c r="G40" s="271"/>
      <c r="H40" s="271"/>
      <c r="W40" s="68"/>
      <c r="X40" s="68"/>
      <c r="Y40" s="68"/>
      <c r="Z40" s="68"/>
      <c r="AA40" s="68"/>
      <c r="AB40" s="68"/>
      <c r="AC40" s="68"/>
      <c r="AD40" s="68"/>
      <c r="AE40" s="68"/>
      <c r="AI40" s="84"/>
    </row>
    <row r="41" spans="1:47" x14ac:dyDescent="0.25">
      <c r="A41" s="586">
        <v>1</v>
      </c>
      <c r="B41" s="571" t="s">
        <v>543</v>
      </c>
      <c r="C41" s="571"/>
      <c r="D41" s="571"/>
      <c r="E41" s="571"/>
      <c r="F41" s="571"/>
      <c r="G41" s="571"/>
      <c r="H41" s="571"/>
      <c r="W41" s="68"/>
      <c r="X41" s="68"/>
      <c r="Y41" s="68"/>
      <c r="Z41" s="68"/>
      <c r="AA41" s="68"/>
      <c r="AB41" s="68"/>
      <c r="AC41" s="68"/>
      <c r="AD41" s="68"/>
      <c r="AE41" s="68"/>
      <c r="AI41" s="84"/>
    </row>
    <row r="42" spans="1:47" x14ac:dyDescent="0.25">
      <c r="A42" s="586"/>
      <c r="B42" s="587" t="s">
        <v>544</v>
      </c>
      <c r="C42" s="571"/>
      <c r="D42" s="571"/>
      <c r="E42" s="571"/>
      <c r="F42" s="571"/>
      <c r="G42" s="571"/>
      <c r="H42" s="571"/>
      <c r="W42" s="68"/>
      <c r="X42" s="68"/>
      <c r="Y42" s="68"/>
      <c r="Z42" s="68"/>
      <c r="AA42" s="68"/>
      <c r="AB42" s="68"/>
      <c r="AC42" s="68"/>
      <c r="AD42" s="68"/>
      <c r="AE42" s="68"/>
      <c r="AI42" s="84"/>
    </row>
    <row r="43" spans="1:47" x14ac:dyDescent="0.25">
      <c r="A43" s="550">
        <v>2</v>
      </c>
      <c r="B43" s="571" t="s">
        <v>545</v>
      </c>
      <c r="C43" s="571"/>
      <c r="D43" s="571"/>
      <c r="E43" s="571"/>
      <c r="F43" s="571"/>
      <c r="G43" s="571"/>
      <c r="H43" s="571"/>
      <c r="W43" s="68"/>
      <c r="X43" s="68"/>
      <c r="Y43" s="68"/>
      <c r="Z43" s="68"/>
      <c r="AA43" s="68"/>
      <c r="AB43" s="68"/>
      <c r="AC43" s="68"/>
      <c r="AD43" s="68"/>
      <c r="AE43" s="68"/>
      <c r="AI43" s="84"/>
    </row>
    <row r="44" spans="1:47" x14ac:dyDescent="0.25">
      <c r="A44" s="550">
        <v>3</v>
      </c>
      <c r="B44" s="571" t="s">
        <v>546</v>
      </c>
      <c r="C44" s="571"/>
      <c r="D44" s="571"/>
      <c r="E44" s="571"/>
      <c r="F44" s="571"/>
      <c r="G44" s="571"/>
      <c r="H44" s="571"/>
      <c r="W44" s="68"/>
      <c r="X44" s="68"/>
      <c r="Y44" s="68"/>
      <c r="Z44" s="68"/>
      <c r="AA44" s="68"/>
      <c r="AB44" s="68"/>
      <c r="AC44" s="68"/>
      <c r="AD44" s="68"/>
      <c r="AE44" s="68"/>
      <c r="AI44" s="84"/>
    </row>
    <row r="45" spans="1:47" x14ac:dyDescent="0.25">
      <c r="A45" s="550">
        <v>4</v>
      </c>
      <c r="B45" s="571" t="s">
        <v>547</v>
      </c>
      <c r="C45" s="571"/>
      <c r="D45" s="571"/>
      <c r="E45" s="571"/>
      <c r="F45" s="571"/>
      <c r="G45" s="571"/>
      <c r="H45" s="571"/>
      <c r="W45" s="68"/>
      <c r="X45" s="68"/>
      <c r="Y45" s="68"/>
      <c r="Z45" s="68"/>
      <c r="AA45" s="68"/>
      <c r="AB45" s="68"/>
      <c r="AC45" s="68"/>
      <c r="AD45" s="68"/>
      <c r="AE45" s="68"/>
      <c r="AI45" s="84"/>
    </row>
    <row r="46" spans="1:47" x14ac:dyDescent="0.25">
      <c r="A46" s="5"/>
      <c r="F46" s="6"/>
      <c r="W46" s="68"/>
      <c r="X46" s="68"/>
      <c r="Y46" s="68"/>
      <c r="Z46" s="68"/>
      <c r="AA46" s="68"/>
      <c r="AB46" s="68"/>
      <c r="AC46" s="68"/>
      <c r="AD46" s="68"/>
      <c r="AE46" s="68"/>
      <c r="AI46" s="84"/>
    </row>
    <row r="47" spans="1:47" x14ac:dyDescent="0.25">
      <c r="F47" s="6"/>
      <c r="W47" s="68"/>
      <c r="X47" s="68"/>
      <c r="Y47" s="68"/>
      <c r="Z47" s="68"/>
      <c r="AA47" s="68"/>
      <c r="AB47" s="68"/>
      <c r="AC47" s="68"/>
      <c r="AD47" s="68"/>
      <c r="AE47" s="68"/>
      <c r="AI47" s="84"/>
    </row>
    <row r="48" spans="1:47" x14ac:dyDescent="0.25">
      <c r="F48" s="6"/>
      <c r="W48" s="68"/>
      <c r="X48" s="68"/>
      <c r="Y48" s="68"/>
      <c r="Z48" s="68"/>
      <c r="AA48" s="68"/>
      <c r="AB48" s="68"/>
      <c r="AC48" s="68"/>
      <c r="AD48" s="68"/>
      <c r="AE48" s="68"/>
      <c r="AI48" s="84"/>
    </row>
    <row r="49" spans="6:35" x14ac:dyDescent="0.25">
      <c r="F49" s="6"/>
      <c r="W49" s="68"/>
      <c r="X49" s="68"/>
      <c r="Y49" s="68"/>
      <c r="Z49" s="68"/>
      <c r="AA49" s="68"/>
      <c r="AB49" s="68"/>
      <c r="AC49" s="68"/>
      <c r="AD49" s="68"/>
      <c r="AE49" s="68"/>
      <c r="AI49" s="84"/>
    </row>
    <row r="50" spans="6:35" x14ac:dyDescent="0.25">
      <c r="F50" s="6"/>
      <c r="W50" s="68"/>
      <c r="X50" s="68"/>
      <c r="Y50" s="68"/>
      <c r="Z50" s="68"/>
      <c r="AA50" s="68"/>
      <c r="AB50" s="68"/>
      <c r="AC50" s="68"/>
      <c r="AD50" s="68"/>
      <c r="AE50" s="68"/>
      <c r="AI50" s="84"/>
    </row>
    <row r="51" spans="6:35" x14ac:dyDescent="0.25">
      <c r="F51" s="6"/>
      <c r="W51" s="68"/>
      <c r="X51" s="68"/>
      <c r="Y51" s="68"/>
      <c r="Z51" s="68"/>
      <c r="AA51" s="68"/>
      <c r="AB51" s="68"/>
      <c r="AC51" s="68"/>
      <c r="AD51" s="68"/>
      <c r="AE51" s="68"/>
      <c r="AI51" s="84"/>
    </row>
    <row r="52" spans="6:35" x14ac:dyDescent="0.25">
      <c r="F52" s="6"/>
      <c r="W52" s="68"/>
      <c r="X52" s="68"/>
      <c r="Y52" s="68"/>
      <c r="Z52" s="68"/>
      <c r="AA52" s="68"/>
      <c r="AB52" s="68"/>
      <c r="AC52" s="68"/>
      <c r="AD52" s="68"/>
      <c r="AE52" s="68"/>
      <c r="AI52" s="84"/>
    </row>
    <row r="53" spans="6:35" x14ac:dyDescent="0.25">
      <c r="F53" s="6"/>
      <c r="W53" s="68"/>
      <c r="X53" s="68"/>
      <c r="Y53" s="68"/>
      <c r="Z53" s="68"/>
      <c r="AA53" s="68"/>
      <c r="AB53" s="68"/>
      <c r="AC53" s="68"/>
      <c r="AD53" s="68"/>
      <c r="AE53" s="68"/>
      <c r="AI53" s="84"/>
    </row>
    <row r="54" spans="6:35" x14ac:dyDescent="0.25">
      <c r="F54" s="6"/>
      <c r="W54" s="68"/>
      <c r="X54" s="68"/>
      <c r="Y54" s="68"/>
      <c r="Z54" s="68"/>
      <c r="AA54" s="68"/>
      <c r="AB54" s="68"/>
      <c r="AC54" s="68"/>
      <c r="AD54" s="68"/>
      <c r="AE54" s="68"/>
      <c r="AI54" s="84"/>
    </row>
    <row r="55" spans="6:35" x14ac:dyDescent="0.25">
      <c r="F55" s="6"/>
      <c r="W55" s="68"/>
      <c r="X55" s="68"/>
      <c r="Y55" s="68"/>
      <c r="Z55" s="68"/>
      <c r="AA55" s="68"/>
      <c r="AB55" s="68"/>
      <c r="AC55" s="68"/>
      <c r="AD55" s="68"/>
      <c r="AE55" s="68"/>
      <c r="AI55" s="84"/>
    </row>
    <row r="56" spans="6:35" x14ac:dyDescent="0.25">
      <c r="F56" s="6"/>
      <c r="W56" s="68"/>
      <c r="X56" s="68"/>
      <c r="Y56" s="68"/>
      <c r="Z56" s="68"/>
      <c r="AA56" s="68"/>
      <c r="AB56" s="68"/>
      <c r="AC56" s="68"/>
      <c r="AD56" s="68"/>
      <c r="AE56" s="68"/>
      <c r="AI56" s="84"/>
    </row>
    <row r="57" spans="6:35" x14ac:dyDescent="0.25">
      <c r="F57" s="6"/>
      <c r="W57" s="68"/>
      <c r="X57" s="68"/>
      <c r="Y57" s="68"/>
      <c r="Z57" s="68"/>
      <c r="AA57" s="68"/>
      <c r="AB57" s="68"/>
      <c r="AC57" s="68"/>
      <c r="AD57" s="68"/>
      <c r="AE57" s="68"/>
      <c r="AI57" s="84"/>
    </row>
    <row r="58" spans="6:35" x14ac:dyDescent="0.25">
      <c r="F58" s="6"/>
      <c r="W58" s="68"/>
      <c r="X58" s="68"/>
      <c r="Y58" s="68"/>
      <c r="Z58" s="68"/>
      <c r="AA58" s="68"/>
      <c r="AB58" s="68"/>
      <c r="AC58" s="68"/>
      <c r="AD58" s="68"/>
      <c r="AE58" s="68"/>
      <c r="AI58" s="84"/>
    </row>
    <row r="59" spans="6:35" x14ac:dyDescent="0.25">
      <c r="F59" s="6"/>
      <c r="W59" s="68"/>
      <c r="X59" s="68"/>
      <c r="Y59" s="68"/>
      <c r="Z59" s="68"/>
      <c r="AA59" s="68"/>
      <c r="AB59" s="68"/>
      <c r="AC59" s="68"/>
      <c r="AD59" s="68"/>
      <c r="AE59" s="68"/>
      <c r="AI59" s="84"/>
    </row>
    <row r="60" spans="6:35" x14ac:dyDescent="0.25">
      <c r="F60" s="6"/>
      <c r="W60" s="68"/>
      <c r="X60" s="68"/>
      <c r="Y60" s="68"/>
      <c r="Z60" s="68"/>
      <c r="AA60" s="68"/>
      <c r="AB60" s="68"/>
      <c r="AC60" s="68"/>
      <c r="AD60" s="68"/>
      <c r="AE60" s="68"/>
      <c r="AI60" s="84"/>
    </row>
    <row r="61" spans="6:35" x14ac:dyDescent="0.25">
      <c r="F61" s="6"/>
      <c r="W61" s="68"/>
      <c r="X61" s="68"/>
      <c r="Y61" s="68"/>
      <c r="Z61" s="68"/>
      <c r="AA61" s="68"/>
      <c r="AB61" s="68"/>
      <c r="AC61" s="68"/>
      <c r="AD61" s="68"/>
      <c r="AE61" s="68"/>
      <c r="AI61" s="84"/>
    </row>
    <row r="62" spans="6:35" x14ac:dyDescent="0.25">
      <c r="F62" s="6"/>
      <c r="W62" s="68"/>
      <c r="X62" s="68"/>
      <c r="Y62" s="68"/>
      <c r="Z62" s="68"/>
      <c r="AA62" s="68"/>
      <c r="AB62" s="68"/>
      <c r="AC62" s="68"/>
      <c r="AD62" s="68"/>
      <c r="AE62" s="68"/>
      <c r="AI62" s="84"/>
    </row>
    <row r="63" spans="6:35" x14ac:dyDescent="0.25">
      <c r="F63" s="6"/>
      <c r="W63" s="68"/>
      <c r="X63" s="68"/>
      <c r="Y63" s="68"/>
      <c r="Z63" s="68"/>
      <c r="AA63" s="68"/>
      <c r="AB63" s="68"/>
      <c r="AC63" s="68"/>
      <c r="AD63" s="68"/>
      <c r="AE63" s="68"/>
      <c r="AI63" s="84"/>
    </row>
    <row r="64" spans="6:35" x14ac:dyDescent="0.25">
      <c r="F64" s="6"/>
      <c r="W64" s="68"/>
      <c r="X64" s="68"/>
      <c r="Y64" s="68"/>
      <c r="Z64" s="68"/>
      <c r="AA64" s="68"/>
      <c r="AB64" s="68"/>
      <c r="AC64" s="68"/>
      <c r="AD64" s="68"/>
      <c r="AE64" s="68"/>
      <c r="AI64" s="84"/>
    </row>
    <row r="65" spans="6:35" x14ac:dyDescent="0.25">
      <c r="F65" s="6"/>
      <c r="W65" s="68"/>
      <c r="X65" s="68"/>
      <c r="Y65" s="68"/>
      <c r="Z65" s="68"/>
      <c r="AA65" s="68"/>
      <c r="AB65" s="68"/>
      <c r="AC65" s="68"/>
      <c r="AD65" s="68"/>
      <c r="AE65" s="68"/>
      <c r="AI65" s="84"/>
    </row>
    <row r="66" spans="6:35" x14ac:dyDescent="0.25">
      <c r="F66" s="6"/>
      <c r="W66" s="68"/>
      <c r="X66" s="68"/>
      <c r="Y66" s="68"/>
      <c r="Z66" s="68"/>
      <c r="AA66" s="68"/>
      <c r="AB66" s="68"/>
      <c r="AC66" s="68"/>
      <c r="AD66" s="68"/>
      <c r="AE66" s="68"/>
      <c r="AI66" s="84"/>
    </row>
    <row r="67" spans="6:35" x14ac:dyDescent="0.25">
      <c r="F67" s="6"/>
      <c r="W67" s="68"/>
      <c r="X67" s="68"/>
      <c r="Y67" s="68"/>
      <c r="Z67" s="68"/>
      <c r="AA67" s="68"/>
      <c r="AB67" s="68"/>
      <c r="AC67" s="68"/>
      <c r="AD67" s="68"/>
      <c r="AE67" s="68"/>
      <c r="AI67" s="84"/>
    </row>
    <row r="68" spans="6:35" x14ac:dyDescent="0.25">
      <c r="F68" s="6"/>
      <c r="W68" s="68"/>
      <c r="X68" s="68"/>
      <c r="Y68" s="68"/>
      <c r="Z68" s="68"/>
      <c r="AA68" s="68"/>
      <c r="AB68" s="68"/>
      <c r="AC68" s="68"/>
      <c r="AD68" s="68"/>
      <c r="AE68" s="68"/>
      <c r="AI68" s="84"/>
    </row>
    <row r="69" spans="6:35" x14ac:dyDescent="0.25">
      <c r="F69" s="6"/>
      <c r="W69" s="68"/>
      <c r="X69" s="68"/>
      <c r="Y69" s="68"/>
      <c r="Z69" s="68"/>
      <c r="AA69" s="68"/>
      <c r="AB69" s="68"/>
      <c r="AC69" s="68"/>
      <c r="AD69" s="68"/>
      <c r="AE69" s="68"/>
      <c r="AI69" s="84"/>
    </row>
    <row r="70" spans="6:35" x14ac:dyDescent="0.25">
      <c r="F70" s="6"/>
      <c r="W70" s="68"/>
      <c r="X70" s="68"/>
      <c r="Y70" s="68"/>
      <c r="Z70" s="68"/>
      <c r="AA70" s="68"/>
      <c r="AB70" s="68"/>
      <c r="AC70" s="68"/>
      <c r="AD70" s="68"/>
      <c r="AE70" s="68"/>
      <c r="AI70" s="84"/>
    </row>
    <row r="71" spans="6:35" x14ac:dyDescent="0.25">
      <c r="F71" s="6"/>
      <c r="W71" s="68"/>
      <c r="X71" s="68"/>
      <c r="Y71" s="68"/>
      <c r="Z71" s="68"/>
      <c r="AA71" s="68"/>
      <c r="AB71" s="68"/>
      <c r="AC71" s="68"/>
      <c r="AD71" s="68"/>
      <c r="AE71" s="68"/>
      <c r="AI71" s="84"/>
    </row>
    <row r="72" spans="6:35" x14ac:dyDescent="0.25">
      <c r="F72" s="6"/>
      <c r="W72" s="68"/>
      <c r="X72" s="68"/>
      <c r="Y72" s="68"/>
      <c r="Z72" s="68"/>
      <c r="AA72" s="68"/>
      <c r="AB72" s="68"/>
      <c r="AC72" s="68"/>
      <c r="AD72" s="68"/>
      <c r="AE72" s="68"/>
      <c r="AI72" s="84"/>
    </row>
    <row r="73" spans="6:35" x14ac:dyDescent="0.25">
      <c r="F73" s="6"/>
      <c r="W73" s="68"/>
      <c r="X73" s="68"/>
      <c r="Y73" s="68"/>
      <c r="Z73" s="68"/>
      <c r="AA73" s="68"/>
      <c r="AB73" s="68"/>
      <c r="AC73" s="68"/>
      <c r="AD73" s="68"/>
      <c r="AE73" s="68"/>
      <c r="AI73" s="84"/>
    </row>
    <row r="74" spans="6:35" x14ac:dyDescent="0.25">
      <c r="F74" s="6"/>
      <c r="W74" s="68"/>
      <c r="X74" s="68"/>
      <c r="Y74" s="68"/>
      <c r="Z74" s="68"/>
      <c r="AA74" s="68"/>
      <c r="AB74" s="68"/>
      <c r="AC74" s="68"/>
      <c r="AD74" s="68"/>
      <c r="AE74" s="68"/>
      <c r="AI74" s="84"/>
    </row>
    <row r="75" spans="6:35" x14ac:dyDescent="0.25">
      <c r="F75" s="6"/>
      <c r="W75" s="68"/>
      <c r="X75" s="68"/>
      <c r="Y75" s="68"/>
      <c r="Z75" s="68"/>
      <c r="AA75" s="68"/>
      <c r="AB75" s="68"/>
      <c r="AC75" s="68"/>
      <c r="AD75" s="68"/>
      <c r="AE75" s="68"/>
      <c r="AI75" s="84"/>
    </row>
    <row r="76" spans="6:35" x14ac:dyDescent="0.25">
      <c r="F76" s="6"/>
      <c r="W76" s="68"/>
      <c r="X76" s="68"/>
      <c r="Y76" s="68"/>
      <c r="Z76" s="68"/>
      <c r="AA76" s="68"/>
      <c r="AB76" s="68"/>
      <c r="AC76" s="68"/>
      <c r="AD76" s="68"/>
      <c r="AE76" s="68"/>
      <c r="AI76" s="84"/>
    </row>
    <row r="77" spans="6:35" x14ac:dyDescent="0.25">
      <c r="F77" s="6"/>
      <c r="W77" s="68"/>
      <c r="X77" s="68"/>
      <c r="Y77" s="68"/>
      <c r="Z77" s="68"/>
      <c r="AA77" s="68"/>
      <c r="AB77" s="68"/>
      <c r="AC77" s="68"/>
      <c r="AD77" s="68"/>
      <c r="AE77" s="68"/>
      <c r="AI77" s="84"/>
    </row>
    <row r="78" spans="6:35" x14ac:dyDescent="0.25">
      <c r="F78" s="6"/>
      <c r="W78" s="68"/>
      <c r="X78" s="68"/>
      <c r="Y78" s="68"/>
      <c r="Z78" s="68"/>
      <c r="AA78" s="68"/>
      <c r="AB78" s="68"/>
      <c r="AC78" s="68"/>
      <c r="AD78" s="68"/>
      <c r="AE78" s="68"/>
      <c r="AI78" s="84"/>
    </row>
    <row r="79" spans="6:35" x14ac:dyDescent="0.25">
      <c r="F79" s="6"/>
      <c r="W79" s="68"/>
      <c r="X79" s="68"/>
      <c r="Y79" s="68"/>
      <c r="Z79" s="68"/>
      <c r="AA79" s="68"/>
      <c r="AB79" s="68"/>
      <c r="AC79" s="68"/>
      <c r="AD79" s="68"/>
      <c r="AE79" s="68"/>
      <c r="AI79" s="84"/>
    </row>
    <row r="80" spans="6:35" x14ac:dyDescent="0.25">
      <c r="F80" s="6"/>
      <c r="W80" s="68"/>
      <c r="X80" s="68"/>
      <c r="Y80" s="68"/>
      <c r="Z80" s="68"/>
      <c r="AA80" s="68"/>
      <c r="AB80" s="68"/>
      <c r="AC80" s="68"/>
      <c r="AD80" s="68"/>
      <c r="AE80" s="68"/>
      <c r="AI80" s="84"/>
    </row>
    <row r="81" spans="6:35" x14ac:dyDescent="0.25">
      <c r="F81" s="6"/>
      <c r="W81" s="68"/>
      <c r="X81" s="68"/>
      <c r="Y81" s="68"/>
      <c r="Z81" s="68"/>
      <c r="AA81" s="68"/>
      <c r="AB81" s="68"/>
      <c r="AC81" s="68"/>
      <c r="AD81" s="68"/>
      <c r="AE81" s="68"/>
      <c r="AI81" s="84"/>
    </row>
    <row r="82" spans="6:35" x14ac:dyDescent="0.25">
      <c r="F82" s="6"/>
      <c r="W82" s="68"/>
      <c r="X82" s="68"/>
      <c r="Y82" s="68"/>
      <c r="Z82" s="68"/>
      <c r="AA82" s="68"/>
      <c r="AB82" s="68"/>
      <c r="AC82" s="68"/>
      <c r="AD82" s="68"/>
      <c r="AE82" s="68"/>
      <c r="AI82" s="84"/>
    </row>
    <row r="83" spans="6:35" x14ac:dyDescent="0.25">
      <c r="F83" s="6"/>
      <c r="W83" s="68"/>
      <c r="X83" s="68"/>
      <c r="Y83" s="68"/>
      <c r="Z83" s="68"/>
      <c r="AA83" s="68"/>
      <c r="AB83" s="68"/>
      <c r="AC83" s="68"/>
      <c r="AD83" s="68"/>
      <c r="AE83" s="68"/>
      <c r="AI83" s="84"/>
    </row>
    <row r="84" spans="6:35" x14ac:dyDescent="0.25">
      <c r="F84" s="6"/>
      <c r="W84" s="68"/>
      <c r="X84" s="68"/>
      <c r="Y84" s="68"/>
      <c r="Z84" s="68"/>
      <c r="AA84" s="68"/>
      <c r="AB84" s="68"/>
      <c r="AC84" s="68"/>
      <c r="AD84" s="68"/>
      <c r="AE84" s="68"/>
      <c r="AI84" s="84"/>
    </row>
    <row r="85" spans="6:35" x14ac:dyDescent="0.25">
      <c r="F85" s="6"/>
      <c r="W85" s="68"/>
      <c r="X85" s="68"/>
      <c r="Y85" s="68"/>
      <c r="Z85" s="68"/>
      <c r="AA85" s="68"/>
      <c r="AB85" s="68"/>
      <c r="AC85" s="68"/>
      <c r="AD85" s="68"/>
      <c r="AE85" s="68"/>
      <c r="AI85" s="84"/>
    </row>
    <row r="86" spans="6:35" x14ac:dyDescent="0.25">
      <c r="F86" s="6"/>
      <c r="W86" s="68"/>
      <c r="X86" s="68"/>
      <c r="Y86" s="68"/>
      <c r="Z86" s="68"/>
      <c r="AA86" s="68"/>
      <c r="AB86" s="68"/>
      <c r="AC86" s="68"/>
      <c r="AD86" s="68"/>
      <c r="AE86" s="68"/>
      <c r="AI86" s="84"/>
    </row>
    <row r="87" spans="6:35" x14ac:dyDescent="0.25">
      <c r="F87" s="6"/>
      <c r="W87" s="68"/>
      <c r="X87" s="68"/>
      <c r="Y87" s="68"/>
      <c r="Z87" s="68"/>
      <c r="AA87" s="68"/>
      <c r="AB87" s="68"/>
      <c r="AC87" s="68"/>
      <c r="AD87" s="68"/>
      <c r="AE87" s="68"/>
      <c r="AI87" s="84"/>
    </row>
    <row r="88" spans="6:35" x14ac:dyDescent="0.25">
      <c r="F88" s="6"/>
      <c r="W88" s="68"/>
      <c r="X88" s="68"/>
      <c r="Y88" s="68"/>
      <c r="Z88" s="68"/>
      <c r="AA88" s="68"/>
      <c r="AB88" s="68"/>
      <c r="AC88" s="68"/>
      <c r="AD88" s="68"/>
      <c r="AE88" s="68"/>
      <c r="AI88" s="84"/>
    </row>
    <row r="89" spans="6:35" x14ac:dyDescent="0.25">
      <c r="F89" s="6"/>
      <c r="W89" s="68"/>
      <c r="X89" s="68"/>
      <c r="Y89" s="68"/>
      <c r="Z89" s="68"/>
      <c r="AA89" s="68"/>
      <c r="AB89" s="68"/>
      <c r="AC89" s="68"/>
      <c r="AD89" s="68"/>
      <c r="AE89" s="68"/>
      <c r="AI89" s="84"/>
    </row>
    <row r="90" spans="6:35" x14ac:dyDescent="0.25">
      <c r="F90" s="6"/>
      <c r="W90" s="68"/>
      <c r="X90" s="68"/>
      <c r="Y90" s="68"/>
      <c r="Z90" s="68"/>
      <c r="AA90" s="68"/>
      <c r="AB90" s="68"/>
      <c r="AC90" s="68"/>
      <c r="AD90" s="68"/>
      <c r="AE90" s="68"/>
      <c r="AI90" s="84"/>
    </row>
    <row r="91" spans="6:35" x14ac:dyDescent="0.25">
      <c r="F91" s="6"/>
      <c r="W91" s="68"/>
      <c r="X91" s="68"/>
      <c r="Y91" s="68"/>
      <c r="Z91" s="68"/>
      <c r="AA91" s="68"/>
      <c r="AB91" s="68"/>
      <c r="AC91" s="68"/>
      <c r="AD91" s="68"/>
      <c r="AE91" s="68"/>
      <c r="AI91" s="84"/>
    </row>
    <row r="92" spans="6:35" x14ac:dyDescent="0.25">
      <c r="F92" s="6"/>
      <c r="W92" s="68"/>
      <c r="X92" s="68"/>
      <c r="Y92" s="68"/>
      <c r="Z92" s="68"/>
      <c r="AA92" s="68"/>
      <c r="AB92" s="68"/>
      <c r="AC92" s="68"/>
      <c r="AD92" s="68"/>
      <c r="AE92" s="68"/>
      <c r="AI92" s="84"/>
    </row>
    <row r="93" spans="6:35" x14ac:dyDescent="0.25">
      <c r="F93" s="6"/>
      <c r="W93" s="68"/>
      <c r="X93" s="68"/>
      <c r="Y93" s="68"/>
      <c r="Z93" s="68"/>
      <c r="AA93" s="68"/>
      <c r="AB93" s="68"/>
      <c r="AC93" s="68"/>
      <c r="AD93" s="68"/>
      <c r="AE93" s="68"/>
      <c r="AI93" s="84"/>
    </row>
    <row r="94" spans="6:35" x14ac:dyDescent="0.25">
      <c r="F94" s="6"/>
      <c r="W94" s="68"/>
      <c r="X94" s="68"/>
      <c r="Y94" s="68"/>
      <c r="Z94" s="68"/>
      <c r="AA94" s="68"/>
      <c r="AB94" s="68"/>
      <c r="AC94" s="68"/>
      <c r="AD94" s="68"/>
      <c r="AE94" s="68"/>
      <c r="AI94" s="84"/>
    </row>
    <row r="95" spans="6:35" x14ac:dyDescent="0.25">
      <c r="F95" s="6"/>
      <c r="W95" s="68"/>
      <c r="X95" s="68"/>
      <c r="Y95" s="68"/>
      <c r="Z95" s="68"/>
      <c r="AA95" s="68"/>
      <c r="AB95" s="68"/>
      <c r="AC95" s="68"/>
      <c r="AD95" s="68"/>
      <c r="AE95" s="68"/>
      <c r="AI95" s="84"/>
    </row>
    <row r="96" spans="6:35" x14ac:dyDescent="0.25">
      <c r="F96" s="6"/>
      <c r="W96" s="68"/>
      <c r="X96" s="68"/>
      <c r="Y96" s="68"/>
      <c r="Z96" s="68"/>
      <c r="AA96" s="68"/>
      <c r="AB96" s="68"/>
      <c r="AC96" s="68"/>
      <c r="AD96" s="68"/>
      <c r="AE96" s="68"/>
      <c r="AI96" s="84"/>
    </row>
    <row r="97" spans="6:35" x14ac:dyDescent="0.25">
      <c r="F97" s="6"/>
      <c r="W97" s="68"/>
      <c r="X97" s="68"/>
      <c r="Y97" s="68"/>
      <c r="Z97" s="68"/>
      <c r="AA97" s="68"/>
      <c r="AB97" s="68"/>
      <c r="AC97" s="68"/>
      <c r="AD97" s="68"/>
      <c r="AE97" s="68"/>
      <c r="AI97" s="84"/>
    </row>
    <row r="98" spans="6:35" x14ac:dyDescent="0.25">
      <c r="F98" s="6"/>
      <c r="W98" s="68"/>
      <c r="X98" s="68"/>
      <c r="Y98" s="68"/>
      <c r="Z98" s="68"/>
      <c r="AA98" s="68"/>
      <c r="AB98" s="68"/>
      <c r="AC98" s="68"/>
      <c r="AD98" s="68"/>
      <c r="AE98" s="68"/>
      <c r="AI98" s="84"/>
    </row>
    <row r="99" spans="6:35" x14ac:dyDescent="0.25">
      <c r="F99" s="6"/>
      <c r="W99" s="68"/>
      <c r="X99" s="68"/>
      <c r="Y99" s="68"/>
      <c r="Z99" s="68"/>
      <c r="AA99" s="68"/>
      <c r="AB99" s="68"/>
      <c r="AC99" s="68"/>
      <c r="AD99" s="68"/>
      <c r="AE99" s="68"/>
      <c r="AI99" s="84"/>
    </row>
    <row r="100" spans="6:35" x14ac:dyDescent="0.25">
      <c r="F100" s="6"/>
      <c r="W100" s="68"/>
      <c r="X100" s="68"/>
      <c r="Y100" s="68"/>
      <c r="Z100" s="68"/>
      <c r="AA100" s="68"/>
      <c r="AB100" s="68"/>
      <c r="AC100" s="68"/>
      <c r="AD100" s="68"/>
      <c r="AE100" s="68"/>
      <c r="AI100" s="84"/>
    </row>
    <row r="101" spans="6:35" x14ac:dyDescent="0.25">
      <c r="F101" s="6"/>
      <c r="W101" s="68"/>
      <c r="X101" s="68"/>
      <c r="Y101" s="68"/>
      <c r="Z101" s="68"/>
      <c r="AA101" s="68"/>
      <c r="AB101" s="68"/>
      <c r="AC101" s="68"/>
      <c r="AD101" s="68"/>
      <c r="AE101" s="68"/>
      <c r="AI101" s="84"/>
    </row>
    <row r="102" spans="6:35" x14ac:dyDescent="0.25">
      <c r="F102" s="6"/>
      <c r="W102" s="68"/>
      <c r="X102" s="68"/>
      <c r="Y102" s="68"/>
      <c r="Z102" s="68"/>
      <c r="AA102" s="68"/>
      <c r="AB102" s="68"/>
      <c r="AC102" s="68"/>
      <c r="AD102" s="68"/>
      <c r="AE102" s="68"/>
      <c r="AI102" s="84"/>
    </row>
    <row r="103" spans="6:35" x14ac:dyDescent="0.25">
      <c r="F103" s="6"/>
      <c r="W103" s="68"/>
      <c r="X103" s="68"/>
      <c r="Y103" s="68"/>
      <c r="Z103" s="68"/>
      <c r="AA103" s="68"/>
      <c r="AB103" s="68"/>
      <c r="AC103" s="68"/>
      <c r="AD103" s="68"/>
      <c r="AE103" s="68"/>
      <c r="AI103" s="84"/>
    </row>
    <row r="104" spans="6:35" x14ac:dyDescent="0.25">
      <c r="F104" s="6"/>
      <c r="W104" s="68"/>
      <c r="X104" s="68"/>
      <c r="Y104" s="68"/>
      <c r="Z104" s="68"/>
      <c r="AA104" s="68"/>
      <c r="AB104" s="68"/>
      <c r="AC104" s="68"/>
      <c r="AD104" s="68"/>
      <c r="AE104" s="68"/>
      <c r="AI104" s="84"/>
    </row>
    <row r="105" spans="6:35" x14ac:dyDescent="0.25">
      <c r="F105" s="6"/>
      <c r="W105" s="68"/>
      <c r="X105" s="68"/>
      <c r="Y105" s="68"/>
      <c r="Z105" s="68"/>
      <c r="AA105" s="68"/>
      <c r="AB105" s="68"/>
      <c r="AC105" s="68"/>
      <c r="AD105" s="68"/>
      <c r="AE105" s="68"/>
      <c r="AI105" s="84"/>
    </row>
    <row r="106" spans="6:35" x14ac:dyDescent="0.25">
      <c r="F106" s="6"/>
      <c r="W106" s="68"/>
      <c r="X106" s="68"/>
      <c r="Y106" s="68"/>
      <c r="Z106" s="68"/>
      <c r="AA106" s="68"/>
      <c r="AB106" s="68"/>
      <c r="AC106" s="68"/>
      <c r="AD106" s="68"/>
      <c r="AE106" s="68"/>
      <c r="AI106" s="84"/>
    </row>
    <row r="107" spans="6:35" x14ac:dyDescent="0.25">
      <c r="F107" s="6"/>
      <c r="W107" s="68"/>
      <c r="X107" s="68"/>
      <c r="Y107" s="68"/>
      <c r="Z107" s="68"/>
      <c r="AA107" s="68"/>
      <c r="AB107" s="68"/>
      <c r="AC107" s="68"/>
      <c r="AD107" s="68"/>
      <c r="AE107" s="68"/>
      <c r="AI107" s="84"/>
    </row>
    <row r="108" spans="6:35" x14ac:dyDescent="0.25">
      <c r="F108" s="6"/>
      <c r="W108" s="68"/>
      <c r="X108" s="68"/>
      <c r="Y108" s="68"/>
      <c r="Z108" s="68"/>
      <c r="AA108" s="68"/>
      <c r="AB108" s="68"/>
      <c r="AC108" s="68"/>
      <c r="AD108" s="68"/>
      <c r="AE108" s="68"/>
      <c r="AI108" s="84"/>
    </row>
    <row r="109" spans="6:35" x14ac:dyDescent="0.25">
      <c r="F109" s="6"/>
      <c r="W109" s="68"/>
      <c r="X109" s="68"/>
      <c r="Y109" s="68"/>
      <c r="Z109" s="68"/>
      <c r="AA109" s="68"/>
      <c r="AB109" s="68"/>
      <c r="AC109" s="68"/>
      <c r="AD109" s="68"/>
      <c r="AE109" s="68"/>
      <c r="AI109" s="84"/>
    </row>
    <row r="110" spans="6:35" x14ac:dyDescent="0.25">
      <c r="F110" s="6"/>
      <c r="W110" s="68"/>
      <c r="X110" s="68"/>
      <c r="Y110" s="68"/>
      <c r="Z110" s="68"/>
      <c r="AA110" s="68"/>
      <c r="AB110" s="68"/>
      <c r="AC110" s="68"/>
      <c r="AD110" s="68"/>
      <c r="AE110" s="68"/>
      <c r="AI110" s="84"/>
    </row>
    <row r="111" spans="6:35" x14ac:dyDescent="0.25">
      <c r="F111" s="6"/>
      <c r="W111" s="68"/>
      <c r="X111" s="68"/>
      <c r="Y111" s="68"/>
      <c r="Z111" s="68"/>
      <c r="AA111" s="68"/>
      <c r="AB111" s="68"/>
      <c r="AC111" s="68"/>
      <c r="AD111" s="68"/>
      <c r="AE111" s="68"/>
      <c r="AI111" s="84"/>
    </row>
    <row r="112" spans="6:35" x14ac:dyDescent="0.25">
      <c r="F112" s="6"/>
      <c r="W112" s="68"/>
      <c r="X112" s="68"/>
      <c r="Y112" s="68"/>
      <c r="Z112" s="68"/>
      <c r="AA112" s="68"/>
      <c r="AB112" s="68"/>
      <c r="AC112" s="68"/>
      <c r="AD112" s="68"/>
      <c r="AE112" s="68"/>
      <c r="AI112" s="84"/>
    </row>
    <row r="113" spans="6:35" x14ac:dyDescent="0.25">
      <c r="F113" s="6"/>
      <c r="W113" s="68"/>
      <c r="X113" s="68"/>
      <c r="Y113" s="68"/>
      <c r="Z113" s="68"/>
      <c r="AA113" s="68"/>
      <c r="AB113" s="68"/>
      <c r="AC113" s="68"/>
      <c r="AD113" s="68"/>
      <c r="AE113" s="68"/>
      <c r="AI113" s="84"/>
    </row>
    <row r="114" spans="6:35" x14ac:dyDescent="0.25">
      <c r="F114" s="6"/>
      <c r="W114" s="68"/>
      <c r="X114" s="68"/>
      <c r="Y114" s="68"/>
      <c r="Z114" s="68"/>
      <c r="AA114" s="68"/>
      <c r="AB114" s="68"/>
      <c r="AC114" s="68"/>
      <c r="AD114" s="68"/>
      <c r="AE114" s="68"/>
      <c r="AI114" s="84"/>
    </row>
    <row r="115" spans="6:35" x14ac:dyDescent="0.25">
      <c r="F115" s="6"/>
      <c r="W115" s="68"/>
      <c r="X115" s="68"/>
      <c r="Y115" s="68"/>
      <c r="Z115" s="68"/>
      <c r="AA115" s="68"/>
      <c r="AB115" s="68"/>
      <c r="AC115" s="68"/>
      <c r="AD115" s="68"/>
      <c r="AE115" s="68"/>
      <c r="AI115" s="84"/>
    </row>
    <row r="116" spans="6:35" x14ac:dyDescent="0.25">
      <c r="F116" s="6"/>
      <c r="W116" s="68"/>
      <c r="X116" s="68"/>
      <c r="Y116" s="68"/>
      <c r="Z116" s="68"/>
      <c r="AA116" s="68"/>
      <c r="AB116" s="68"/>
      <c r="AC116" s="68"/>
      <c r="AD116" s="68"/>
      <c r="AE116" s="68"/>
      <c r="AI116" s="84"/>
    </row>
    <row r="117" spans="6:35" x14ac:dyDescent="0.25">
      <c r="F117" s="6"/>
      <c r="W117" s="68"/>
      <c r="X117" s="68"/>
      <c r="Y117" s="68"/>
      <c r="Z117" s="68"/>
      <c r="AA117" s="68"/>
      <c r="AB117" s="68"/>
      <c r="AC117" s="68"/>
      <c r="AD117" s="68"/>
      <c r="AE117" s="68"/>
      <c r="AI117" s="84"/>
    </row>
    <row r="118" spans="6:35" x14ac:dyDescent="0.25">
      <c r="F118" s="6"/>
      <c r="W118" s="68"/>
      <c r="X118" s="68"/>
      <c r="Y118" s="68"/>
      <c r="Z118" s="68"/>
      <c r="AA118" s="68"/>
      <c r="AB118" s="68"/>
      <c r="AC118" s="68"/>
      <c r="AD118" s="68"/>
      <c r="AE118" s="68"/>
      <c r="AI118" s="84"/>
    </row>
    <row r="119" spans="6:35" x14ac:dyDescent="0.25">
      <c r="F119" s="6"/>
      <c r="W119" s="68"/>
      <c r="X119" s="68"/>
      <c r="Y119" s="68"/>
      <c r="Z119" s="68"/>
      <c r="AA119" s="68"/>
      <c r="AB119" s="68"/>
      <c r="AC119" s="68"/>
      <c r="AD119" s="68"/>
      <c r="AE119" s="68"/>
      <c r="AI119" s="84"/>
    </row>
    <row r="120" spans="6:35" x14ac:dyDescent="0.25">
      <c r="F120" s="6"/>
      <c r="W120" s="68"/>
      <c r="X120" s="68"/>
      <c r="Y120" s="68"/>
      <c r="Z120" s="68"/>
      <c r="AA120" s="68"/>
      <c r="AB120" s="68"/>
      <c r="AC120" s="68"/>
      <c r="AD120" s="68"/>
      <c r="AE120" s="68"/>
      <c r="AI120" s="84"/>
    </row>
    <row r="121" spans="6:35" x14ac:dyDescent="0.25">
      <c r="F121" s="6"/>
      <c r="W121" s="68"/>
      <c r="X121" s="68"/>
      <c r="Y121" s="68"/>
      <c r="Z121" s="68"/>
      <c r="AA121" s="68"/>
      <c r="AB121" s="68"/>
      <c r="AC121" s="68"/>
      <c r="AD121" s="68"/>
      <c r="AE121" s="68"/>
      <c r="AI121" s="84"/>
    </row>
    <row r="122" spans="6:35" x14ac:dyDescent="0.25">
      <c r="F122" s="6"/>
      <c r="W122" s="68"/>
      <c r="X122" s="68"/>
      <c r="Y122" s="68"/>
      <c r="Z122" s="68"/>
      <c r="AA122" s="68"/>
      <c r="AB122" s="68"/>
      <c r="AC122" s="68"/>
      <c r="AD122" s="68"/>
      <c r="AE122" s="68"/>
      <c r="AI122" s="84"/>
    </row>
    <row r="123" spans="6:35" x14ac:dyDescent="0.25">
      <c r="F123" s="6"/>
      <c r="W123" s="68"/>
      <c r="X123" s="68"/>
      <c r="Y123" s="68"/>
      <c r="Z123" s="68"/>
      <c r="AA123" s="68"/>
      <c r="AB123" s="68"/>
      <c r="AC123" s="68"/>
      <c r="AD123" s="68"/>
      <c r="AE123" s="68"/>
    </row>
    <row r="124" spans="6:35" x14ac:dyDescent="0.25">
      <c r="F124" s="6"/>
      <c r="W124" s="68"/>
      <c r="X124" s="68"/>
      <c r="Y124" s="68"/>
      <c r="Z124" s="68"/>
      <c r="AA124" s="68"/>
      <c r="AB124" s="68"/>
      <c r="AC124" s="68"/>
      <c r="AD124" s="68"/>
      <c r="AE124" s="68"/>
    </row>
    <row r="125" spans="6:35" x14ac:dyDescent="0.25">
      <c r="F125" s="6"/>
      <c r="W125" s="68"/>
      <c r="X125" s="68"/>
      <c r="Y125" s="68"/>
      <c r="Z125" s="68"/>
      <c r="AA125" s="68"/>
      <c r="AB125" s="68"/>
      <c r="AC125" s="68"/>
      <c r="AD125" s="68"/>
      <c r="AE125" s="68"/>
    </row>
    <row r="126" spans="6:35" x14ac:dyDescent="0.25">
      <c r="F126" s="6"/>
      <c r="W126" s="68"/>
      <c r="X126" s="68"/>
      <c r="Y126" s="68"/>
      <c r="Z126" s="68"/>
      <c r="AA126" s="68"/>
      <c r="AB126" s="68"/>
      <c r="AC126" s="68"/>
      <c r="AD126" s="68"/>
      <c r="AE126" s="68"/>
    </row>
    <row r="127" spans="6:35" x14ac:dyDescent="0.25">
      <c r="F127" s="6"/>
      <c r="W127" s="68"/>
      <c r="X127" s="68"/>
      <c r="Y127" s="68"/>
      <c r="Z127" s="68"/>
      <c r="AA127" s="68"/>
      <c r="AB127" s="68"/>
      <c r="AC127" s="68"/>
      <c r="AD127" s="68"/>
      <c r="AE127" s="68"/>
    </row>
    <row r="128" spans="6:35" x14ac:dyDescent="0.25">
      <c r="F128" s="6"/>
      <c r="W128" s="68"/>
      <c r="X128" s="68"/>
      <c r="Y128" s="68"/>
      <c r="Z128" s="68"/>
      <c r="AA128" s="68"/>
      <c r="AB128" s="68"/>
      <c r="AC128" s="68"/>
      <c r="AD128" s="68"/>
      <c r="AE128" s="68"/>
    </row>
    <row r="129" spans="6:31" x14ac:dyDescent="0.25">
      <c r="F129" s="6"/>
      <c r="W129" s="68"/>
      <c r="X129" s="68"/>
      <c r="Y129" s="68"/>
      <c r="Z129" s="68"/>
      <c r="AA129" s="68"/>
      <c r="AB129" s="68"/>
      <c r="AC129" s="68"/>
      <c r="AD129" s="68"/>
      <c r="AE129" s="68"/>
    </row>
    <row r="130" spans="6:31" x14ac:dyDescent="0.25">
      <c r="F130" s="6"/>
      <c r="W130" s="68"/>
      <c r="X130" s="68"/>
      <c r="Y130" s="68"/>
      <c r="Z130" s="68"/>
      <c r="AA130" s="68"/>
      <c r="AB130" s="68"/>
      <c r="AC130" s="68"/>
      <c r="AD130" s="68"/>
      <c r="AE130" s="68"/>
    </row>
    <row r="131" spans="6:31" x14ac:dyDescent="0.25">
      <c r="F131" s="6"/>
      <c r="W131" s="68"/>
      <c r="X131" s="68"/>
      <c r="Y131" s="68"/>
      <c r="Z131" s="68"/>
      <c r="AA131" s="68"/>
      <c r="AB131" s="68"/>
      <c r="AC131" s="68"/>
      <c r="AD131" s="68"/>
      <c r="AE131" s="68"/>
    </row>
    <row r="132" spans="6:31" x14ac:dyDescent="0.25">
      <c r="F132" s="6"/>
      <c r="W132" s="68"/>
      <c r="X132" s="68"/>
      <c r="Y132" s="68"/>
      <c r="Z132" s="68"/>
      <c r="AA132" s="68"/>
      <c r="AB132" s="68"/>
      <c r="AC132" s="68"/>
      <c r="AD132" s="68"/>
      <c r="AE132" s="68"/>
    </row>
    <row r="133" spans="6:31" x14ac:dyDescent="0.25">
      <c r="F133" s="6"/>
      <c r="W133" s="68"/>
      <c r="X133" s="68"/>
      <c r="Y133" s="68"/>
      <c r="Z133" s="68"/>
      <c r="AA133" s="68"/>
      <c r="AB133" s="68"/>
      <c r="AC133" s="68"/>
      <c r="AD133" s="68"/>
      <c r="AE133" s="68"/>
    </row>
    <row r="134" spans="6:31" x14ac:dyDescent="0.25">
      <c r="F134" s="6"/>
      <c r="W134" s="68"/>
      <c r="X134" s="68"/>
      <c r="Y134" s="68"/>
      <c r="Z134" s="68"/>
      <c r="AA134" s="68"/>
      <c r="AB134" s="68"/>
      <c r="AC134" s="68"/>
      <c r="AD134" s="68"/>
      <c r="AE134" s="68"/>
    </row>
    <row r="135" spans="6:31" x14ac:dyDescent="0.25">
      <c r="F135" s="6"/>
      <c r="W135" s="68"/>
      <c r="X135" s="68"/>
      <c r="Y135" s="68"/>
      <c r="Z135" s="68"/>
      <c r="AA135" s="68"/>
      <c r="AB135" s="68"/>
      <c r="AC135" s="68"/>
      <c r="AD135" s="68"/>
      <c r="AE135" s="68"/>
    </row>
    <row r="136" spans="6:31" x14ac:dyDescent="0.25">
      <c r="F136" s="6"/>
      <c r="W136" s="68"/>
      <c r="X136" s="68"/>
      <c r="Y136" s="68"/>
      <c r="Z136" s="68"/>
      <c r="AA136" s="68"/>
      <c r="AB136" s="68"/>
      <c r="AC136" s="68"/>
      <c r="AD136" s="68"/>
      <c r="AE136" s="68"/>
    </row>
    <row r="137" spans="6:31" x14ac:dyDescent="0.25">
      <c r="F137" s="6"/>
      <c r="W137" s="68"/>
      <c r="X137" s="68"/>
      <c r="Y137" s="68"/>
      <c r="Z137" s="68"/>
      <c r="AA137" s="68"/>
      <c r="AB137" s="68"/>
      <c r="AC137" s="68"/>
      <c r="AD137" s="68"/>
      <c r="AE137" s="68"/>
    </row>
    <row r="138" spans="6:31" x14ac:dyDescent="0.25">
      <c r="F138" s="6"/>
    </row>
    <row r="139" spans="6:31" x14ac:dyDescent="0.25">
      <c r="F139" s="6"/>
    </row>
    <row r="140" spans="6:31" x14ac:dyDescent="0.25">
      <c r="F140" s="6"/>
    </row>
    <row r="141" spans="6:31" x14ac:dyDescent="0.25">
      <c r="F141" s="6"/>
    </row>
    <row r="142" spans="6:31" x14ac:dyDescent="0.25">
      <c r="F142" s="6"/>
    </row>
    <row r="143" spans="6:31" x14ac:dyDescent="0.25">
      <c r="F143" s="6"/>
    </row>
  </sheetData>
  <sheetProtection algorithmName="SHA-512" hashValue="9jIzmHeHDvMiMqz0ZcWEAOadpfyDv2BnB/y9qE7Dxcgvweg1oS48GB/jZM82lhMMd8WopLSmTjcfGQEiESa3Jg==" saltValue="FXwa6IzlKdYQZVqKKnWQ+Q==" spinCount="100000" sheet="1" formatCells="0" formatColumns="0" formatRows="0"/>
  <mergeCells count="9">
    <mergeCell ref="Z1:AE1"/>
    <mergeCell ref="A1:F1"/>
    <mergeCell ref="B43:H43"/>
    <mergeCell ref="B44:H44"/>
    <mergeCell ref="B45:H45"/>
    <mergeCell ref="A2:B2"/>
    <mergeCell ref="B41:H41"/>
    <mergeCell ref="A41:A42"/>
    <mergeCell ref="B42:H42"/>
  </mergeCells>
  <conditionalFormatting sqref="A8:H39">
    <cfRule type="expression" dxfId="219" priority="3786">
      <formula>$C$3="Yes, section requirements are not applicable"</formula>
    </cfRule>
  </conditionalFormatting>
  <conditionalFormatting sqref="A9:H11">
    <cfRule type="expression" dxfId="218" priority="9">
      <formula>$E$8="N/A"</formula>
    </cfRule>
  </conditionalFormatting>
  <conditionalFormatting sqref="A13:H14">
    <cfRule type="expression" dxfId="217" priority="8">
      <formula>$E$12="N/A"</formula>
    </cfRule>
  </conditionalFormatting>
  <conditionalFormatting sqref="A16:H16">
    <cfRule type="expression" dxfId="216" priority="7">
      <formula>$E$15="N/A"</formula>
    </cfRule>
  </conditionalFormatting>
  <conditionalFormatting sqref="A18:H18">
    <cfRule type="expression" dxfId="215" priority="6">
      <formula>$E$17="N/A"</formula>
    </cfRule>
  </conditionalFormatting>
  <conditionalFormatting sqref="A20:H31">
    <cfRule type="expression" dxfId="214" priority="5">
      <formula>$E$19="N/A"</formula>
    </cfRule>
  </conditionalFormatting>
  <conditionalFormatting sqref="A33:H36">
    <cfRule type="expression" dxfId="213" priority="3">
      <formula>$E$32="N/A"</formula>
    </cfRule>
  </conditionalFormatting>
  <conditionalFormatting sqref="A38:H39">
    <cfRule type="expression" dxfId="212" priority="2">
      <formula>$E$37="N/A"</formula>
    </cfRule>
  </conditionalFormatting>
  <conditionalFormatting sqref="A9:H39">
    <cfRule type="expression" dxfId="211" priority="1">
      <formula>$X9=TRUE</formula>
    </cfRule>
  </conditionalFormatting>
  <dataValidations count="3">
    <dataValidation type="list" allowBlank="1" showInputMessage="1" showErrorMessage="1" sqref="C3" xr:uid="{00000000-0002-0000-0500-000000000000}">
      <formula1>$K$2:$K$3</formula1>
    </dataValidation>
    <dataValidation type="list" allowBlank="1" showInputMessage="1" showErrorMessage="1" sqref="E13:E14 E16 E18 E20:E31 E33:E36 E9:E11 E38:E39" xr:uid="{CE1DA42A-5109-4A29-88C9-94B79388DF04}">
      <formula1>$J$1:$J$4</formula1>
    </dataValidation>
    <dataValidation type="list" allowBlank="1" showInputMessage="1" showErrorMessage="1" sqref="E8 E12 E15 E17 E19 E32 E37" xr:uid="{2514ADF0-BFC5-46DC-9DB9-4E220CAFA00C}">
      <formula1>$AL$1</formula1>
    </dataValidation>
  </dataValidations>
  <hyperlinks>
    <hyperlink ref="B42" r:id="rId1" xr:uid="{00000000-0004-0000-0500-000000000000}"/>
    <hyperlink ref="D13" location="'B. Enrollment &amp; Disenrollment'!A41" display="'B. Enrollment &amp; Disenrollment'!A41" xr:uid="{5C7A65D2-391F-44A1-87CD-5C3197713EF1}"/>
    <hyperlink ref="D26" location="'B. Enrollment &amp; Disenrollment'!A43" display="'B. Enrollment &amp; Disenrollment'!A43" xr:uid="{E9E61A97-2E33-4E41-8896-F42E93F8F592}"/>
    <hyperlink ref="D29" location="'B. Enrollment &amp; Disenrollment'!A44" display="'B. Enrollment &amp; Disenrollment'!A44" xr:uid="{69FF6973-24E4-4CEA-A02B-1928B120F114}"/>
    <hyperlink ref="D38" location="'B. Enrollment &amp; Disenrollment'!A45" display="'B. Enrollment &amp; Disenrollment'!A45" xr:uid="{E3BDF6FC-9A2C-4676-85D7-1DD076D6F6CD}"/>
    <hyperlink ref="A41:A42" location="'B. Enrollment &amp; Disenrollment'!D13" display="'B. Enrollment &amp; Disenrollment'!D13" xr:uid="{4184C8D8-CB7F-420D-91CD-2D99EA6800F8}"/>
    <hyperlink ref="A43" location="'B. Enrollment &amp; Disenrollment'!D26" display="'B. Enrollment &amp; Disenrollment'!D26" xr:uid="{E28E4FE7-C2DC-41DD-95BB-A0C8F2C4355D}"/>
    <hyperlink ref="A44" location="'B. Enrollment &amp; Disenrollment'!D29" display="'B. Enrollment &amp; Disenrollment'!D29" xr:uid="{42C85FAC-23BE-4D4F-8713-DDFCFB9CF7DB}"/>
    <hyperlink ref="A45" location="'B. Enrollment &amp; Disenrollment'!D38" display="'B. Enrollment &amp; Disenrollment'!D38" xr:uid="{98D2B159-8987-43FB-996F-860DEA922B6B}"/>
  </hyperlinks>
  <pageMargins left="0.25" right="0.25" top="0.75" bottom="0.75" header="0.3" footer="0.3"/>
  <pageSetup scale="78" fitToHeight="0" orientation="landscape" horizontalDpi="4294967293" verticalDpi="4294967293" r:id="rId2"/>
  <extLst>
    <ext xmlns:x14="http://schemas.microsoft.com/office/spreadsheetml/2009/9/main" uri="{78C0D931-6437-407d-A8EE-F0AAD7539E65}">
      <x14:conditionalFormattings>
        <x14:conditionalFormatting xmlns:xm="http://schemas.microsoft.com/office/excel/2006/main">
          <x14:cfRule type="expression" priority="10" id="{D6F5E1FB-0003-406C-859D-434A93495EBF}">
            <xm:f>AND('Cover Sheet'!$B$29="Streamlined Review")</xm:f>
            <x14:dxf>
              <fill>
                <patternFill patternType="lightUp"/>
              </fill>
            </x14:dxf>
          </x14:cfRule>
          <xm:sqref>A38:H38 A33:H36 A21:H31 A18:H18 A16:H16 A13:H14 A9:H9</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AV148"/>
  <sheetViews>
    <sheetView zoomScale="85" zoomScaleNormal="85" workbookViewId="0">
      <pane ySplit="7" topLeftCell="A67" activePane="bottomLeft" state="frozen"/>
      <selection pane="bottomLeft" sqref="A1:F1"/>
    </sheetView>
  </sheetViews>
  <sheetFormatPr defaultColWidth="9.28515625" defaultRowHeight="15" x14ac:dyDescent="0.25"/>
  <cols>
    <col min="1" max="1" width="11" customWidth="1"/>
    <col min="2" max="2" width="20.140625" style="7" customWidth="1"/>
    <col min="3" max="3" width="72" style="152" customWidth="1"/>
    <col min="4" max="4" width="7.5703125" style="8" customWidth="1"/>
    <col min="5" max="5" width="8.7109375" style="5" customWidth="1"/>
    <col min="6" max="6" width="8.7109375" customWidth="1"/>
    <col min="7" max="7" width="24.28515625" customWidth="1"/>
    <col min="8" max="8" width="26.42578125" customWidth="1"/>
    <col min="9" max="9" width="9" style="141" hidden="1" customWidth="1"/>
    <col min="10" max="12" width="9" style="139" hidden="1" customWidth="1"/>
    <col min="13" max="13" width="9" style="138" hidden="1" customWidth="1"/>
    <col min="14" max="16" width="9" style="116" hidden="1" customWidth="1"/>
    <col min="17" max="17" width="8.28515625" style="116" hidden="1" customWidth="1"/>
    <col min="18" max="20" width="12.7109375" style="117" hidden="1" customWidth="1"/>
    <col min="21" max="21" width="21" style="122" hidden="1" customWidth="1"/>
    <col min="22" max="22" width="23.5703125" style="116" hidden="1" customWidth="1"/>
    <col min="23" max="24" width="35.7109375" style="68" hidden="1" customWidth="1"/>
    <col min="25" max="25" width="15.140625" style="68" hidden="1" customWidth="1"/>
    <col min="26" max="26" width="5.5703125" style="68" hidden="1" customWidth="1"/>
    <col min="27" max="27" width="3.85546875" style="68" hidden="1" customWidth="1"/>
    <col min="28" max="28" width="4.5703125" style="68" hidden="1" customWidth="1"/>
    <col min="29" max="29" width="5.42578125" style="68" hidden="1" customWidth="1"/>
    <col min="30" max="30" width="10.85546875" style="68" hidden="1" customWidth="1"/>
    <col min="31" max="31" width="7.85546875" style="68" hidden="1" customWidth="1"/>
    <col min="32" max="32" width="15.5703125" style="69" hidden="1" customWidth="1"/>
    <col min="33" max="33" width="35.85546875" style="106" hidden="1" customWidth="1"/>
    <col min="34" max="34" width="19.42578125" style="69" hidden="1" customWidth="1"/>
    <col min="35" max="35" width="30.5703125" style="84" hidden="1" customWidth="1"/>
    <col min="36" max="36" width="23" style="69" hidden="1" customWidth="1"/>
    <col min="37" max="37" width="11.5703125" style="69" hidden="1" customWidth="1"/>
    <col min="38" max="38" width="15.42578125" style="69" hidden="1" customWidth="1"/>
    <col min="39" max="39" width="13.7109375" style="69" hidden="1" customWidth="1"/>
    <col min="40" max="40" width="32.7109375" style="69" hidden="1" customWidth="1"/>
    <col min="41" max="41" width="39.140625" style="69" hidden="1" customWidth="1"/>
    <col min="42" max="42" width="43.85546875" style="69" hidden="1" customWidth="1"/>
    <col min="43" max="43" width="32" style="69" hidden="1" customWidth="1"/>
    <col min="44" max="44" width="18.85546875" style="69" hidden="1" customWidth="1"/>
    <col min="45" max="45" width="16.140625" style="69" hidden="1" customWidth="1"/>
    <col min="46" max="46" width="39.28515625" style="69" hidden="1" customWidth="1"/>
    <col min="47" max="47" width="11.7109375" hidden="1" customWidth="1"/>
    <col min="48" max="48" width="9.28515625" hidden="1" customWidth="1"/>
    <col min="49" max="63" width="9.28515625" customWidth="1"/>
  </cols>
  <sheetData>
    <row r="1" spans="1:47" ht="24.6" customHeight="1" thickBot="1" x14ac:dyDescent="0.3">
      <c r="A1" s="573" t="s">
        <v>548</v>
      </c>
      <c r="B1" s="574"/>
      <c r="C1" s="574"/>
      <c r="D1" s="574"/>
      <c r="E1" s="574"/>
      <c r="F1" s="574"/>
      <c r="G1" s="548"/>
      <c r="H1" s="280"/>
      <c r="I1" s="25"/>
      <c r="J1" s="26" t="s">
        <v>311</v>
      </c>
      <c r="K1" s="27"/>
      <c r="L1" s="51"/>
      <c r="M1" s="52" t="b">
        <f>IF($C$2="Base contract","Blist",IF($C$2="Contract Amendment","Alist"))</f>
        <v>0</v>
      </c>
      <c r="N1" s="53"/>
      <c r="O1" s="29"/>
      <c r="P1" s="53"/>
      <c r="Q1" s="53"/>
      <c r="R1" s="53"/>
      <c r="S1" s="53"/>
      <c r="T1" s="53"/>
      <c r="U1" s="38"/>
      <c r="V1" s="112"/>
      <c r="W1" s="56"/>
      <c r="X1" s="545"/>
      <c r="Y1" s="545"/>
      <c r="Z1" s="581" t="s">
        <v>313</v>
      </c>
      <c r="AA1" s="582"/>
      <c r="AB1" s="582"/>
      <c r="AC1" s="582"/>
      <c r="AD1" s="582"/>
      <c r="AE1" s="582"/>
      <c r="AF1" s="57"/>
      <c r="AG1" s="46" t="s">
        <v>318</v>
      </c>
      <c r="AH1" s="56"/>
      <c r="AI1" s="56"/>
      <c r="AJ1" s="56"/>
      <c r="AK1" s="56"/>
    </row>
    <row r="2" spans="1:47" ht="16.5" customHeight="1" x14ac:dyDescent="0.25">
      <c r="A2" s="588" t="s">
        <v>320</v>
      </c>
      <c r="B2" s="589"/>
      <c r="C2" s="551">
        <f>'Cover Sheet'!B6</f>
        <v>0</v>
      </c>
      <c r="D2" s="218"/>
      <c r="E2" s="281"/>
      <c r="F2" s="282"/>
      <c r="G2" s="283" t="s">
        <v>321</v>
      </c>
      <c r="H2" s="284" t="str">
        <f>I2</f>
        <v>Not Started</v>
      </c>
      <c r="I2" s="25" t="str">
        <f>IF(OR($C$3="Yes, section requirements are not applicable",$C$3="Yes, all requirements on the sheet are crosshatched",AND(E8="N/A",E25="N/A",E66="N/A",E68="N/A",E74="N/A",E78="N/A",E81="N/A",E89="N/A",E134="N/A")),"Section Review N/A",IF((COUNTA(A8:A135)+COUNTBLANK(A8:A135)=COUNTBLANK(E8:E135)),"Not Started",IF((COUNTA(A8:A135)&gt;SUM(U8:U135)),"In Progress","Section Review Complete")))</f>
        <v>Not Started</v>
      </c>
      <c r="J2" s="25" t="s">
        <v>322</v>
      </c>
      <c r="K2" s="27" t="s">
        <v>323</v>
      </c>
      <c r="L2" s="27"/>
      <c r="M2" s="28"/>
      <c r="N2" s="53"/>
      <c r="O2" s="29"/>
      <c r="P2" s="53"/>
      <c r="Q2" s="53"/>
      <c r="R2" s="53"/>
      <c r="S2" s="53"/>
      <c r="T2" s="53"/>
      <c r="U2" s="38"/>
      <c r="V2" s="59"/>
      <c r="W2" s="56"/>
      <c r="X2" s="59"/>
      <c r="Y2" s="59"/>
      <c r="Z2" s="54" t="str">
        <f>IF('Cover Sheet'!$B$13="Yes","MCO","--")</f>
        <v>MCO</v>
      </c>
      <c r="AA2" s="54" t="str">
        <f>IF('Cover Sheet'!$B$14="Yes","HIO","--")</f>
        <v>--</v>
      </c>
      <c r="AB2" s="54" t="str">
        <f>IF('Cover Sheet'!$B$15="Yes","PIHP","--")</f>
        <v>--</v>
      </c>
      <c r="AC2" s="54" t="str">
        <f>IF('Cover Sheet'!$B$16="Yes","PAHP","--")</f>
        <v>--</v>
      </c>
      <c r="AD2" s="54" t="str">
        <f>IF('Cover Sheet'!$B$17="Yes","NEMT PAHP","--")</f>
        <v>--</v>
      </c>
      <c r="AE2" s="54" t="str">
        <f>IF('Cover Sheet'!$B$18="Yes","PCCME","--")</f>
        <v>--</v>
      </c>
      <c r="AF2" s="57"/>
      <c r="AG2" s="61">
        <f>IF('Cover Sheet'!$B$4="BOTH",1,0)</f>
        <v>1</v>
      </c>
      <c r="AH2" s="56"/>
      <c r="AI2" s="56" t="s">
        <v>224</v>
      </c>
      <c r="AJ2" s="56"/>
      <c r="AK2" s="56"/>
      <c r="AM2" s="69" t="s">
        <v>319</v>
      </c>
    </row>
    <row r="3" spans="1:47" ht="16.5" customHeight="1" thickBot="1" x14ac:dyDescent="0.3">
      <c r="A3" s="305" t="s">
        <v>324</v>
      </c>
      <c r="B3" s="306"/>
      <c r="C3" s="307" t="s">
        <v>325</v>
      </c>
      <c r="D3" s="226"/>
      <c r="E3" s="285"/>
      <c r="F3" s="286"/>
      <c r="G3" s="287" t="s">
        <v>326</v>
      </c>
      <c r="H3" s="288" t="str">
        <f>I3</f>
        <v>Not Started</v>
      </c>
      <c r="I3" s="25" t="str">
        <f>IF(OR($C$3="Yes, section requirements are not applicable",$C$3="Yes, all requirements on the sheet are crosshatched",AND(E8="N/A",E25="N/A",E66="N/A",E68="N/A",E74="N/A",E78="N/A",E81="N/A",E89="N/A",E134="N/A")),"Section Review N/A",IF((COUNTA(A8:A135)+COUNTBLANK(A8:A135))=COUNTBLANK(E8:E135),"Not Started",IF(OR(COUNTA(A9:A135)+COUNTBLANK(A8:A135)&lt;&gt;COUNTIF(E8:E135,"Yes")+COUNTIF(E8:E135,"Met")+COUNTIF(E8:E135,"N/A")+COUNTBLANK(E8:E135),COUNTA(A8:A135)&lt;&gt;SUM(U8:U135)),"Revisions Needed","Approved")))</f>
        <v>Not Started</v>
      </c>
      <c r="J3" s="25" t="s">
        <v>327</v>
      </c>
      <c r="K3" s="27" t="s">
        <v>325</v>
      </c>
      <c r="L3" s="27"/>
      <c r="M3" s="28"/>
      <c r="N3" s="53"/>
      <c r="O3" s="29"/>
      <c r="P3" s="53"/>
      <c r="Q3" s="53"/>
      <c r="R3" s="53"/>
      <c r="S3" s="53"/>
      <c r="T3" s="53"/>
      <c r="U3" s="38"/>
      <c r="V3" s="54"/>
      <c r="W3" s="56"/>
      <c r="X3" s="421" t="s">
        <v>351</v>
      </c>
      <c r="Y3" s="421" t="s">
        <v>352</v>
      </c>
      <c r="Z3" s="56"/>
      <c r="AA3" s="56"/>
      <c r="AB3" s="56"/>
      <c r="AC3" s="56"/>
      <c r="AD3" s="56"/>
      <c r="AE3" s="56"/>
      <c r="AF3" s="57"/>
      <c r="AG3" s="54"/>
      <c r="AH3" s="56"/>
      <c r="AI3" s="56"/>
      <c r="AJ3" s="56"/>
      <c r="AK3" s="56"/>
    </row>
    <row r="4" spans="1:47" ht="16.5" hidden="1" customHeight="1" x14ac:dyDescent="0.25">
      <c r="A4" s="231"/>
      <c r="B4" s="232"/>
      <c r="C4" s="289"/>
      <c r="D4" s="234"/>
      <c r="E4" s="231"/>
      <c r="F4" s="290"/>
      <c r="G4" s="290"/>
      <c r="H4" s="290"/>
      <c r="I4" s="25"/>
      <c r="J4" s="25" t="s">
        <v>319</v>
      </c>
      <c r="K4" s="27"/>
      <c r="L4" s="27"/>
      <c r="M4" s="28"/>
      <c r="N4" s="53"/>
      <c r="O4" s="29"/>
      <c r="P4" s="53"/>
      <c r="Q4" s="53"/>
      <c r="R4" s="53"/>
      <c r="S4" s="53"/>
      <c r="T4" s="53"/>
      <c r="U4" s="38"/>
      <c r="V4" s="54"/>
      <c r="W4" s="56"/>
      <c r="X4" s="56"/>
      <c r="Y4" s="56"/>
      <c r="Z4" s="56"/>
      <c r="AA4" s="56"/>
      <c r="AB4" s="56"/>
      <c r="AC4" s="56"/>
      <c r="AD4" s="56"/>
      <c r="AE4" s="56"/>
      <c r="AF4" s="57"/>
      <c r="AG4" s="54"/>
      <c r="AH4" s="56"/>
      <c r="AI4" s="56"/>
      <c r="AJ4" s="56"/>
      <c r="AK4" s="56"/>
    </row>
    <row r="5" spans="1:47" ht="16.5" hidden="1" customHeight="1" x14ac:dyDescent="0.25">
      <c r="A5" s="237"/>
      <c r="B5" s="238"/>
      <c r="C5" s="291"/>
      <c r="D5" s="239"/>
      <c r="E5" s="237"/>
      <c r="F5" s="292"/>
      <c r="G5" s="292"/>
      <c r="H5" s="292"/>
      <c r="I5" s="25"/>
      <c r="J5" s="25"/>
      <c r="K5" s="27"/>
      <c r="L5" s="27"/>
      <c r="M5" s="28"/>
      <c r="N5" s="53"/>
      <c r="O5" s="29"/>
      <c r="P5" s="53"/>
      <c r="Q5" s="53"/>
      <c r="R5" s="53" t="s">
        <v>330</v>
      </c>
      <c r="S5" s="53"/>
      <c r="T5" s="53"/>
      <c r="U5" s="38"/>
      <c r="V5" s="54"/>
      <c r="W5" s="56"/>
      <c r="X5" s="56"/>
      <c r="Y5" s="56"/>
      <c r="Z5" s="56"/>
      <c r="AA5" s="56"/>
      <c r="AB5" s="56"/>
      <c r="AC5" s="56"/>
      <c r="AD5" s="56"/>
      <c r="AE5" s="56"/>
      <c r="AF5" s="57"/>
      <c r="AG5" s="54"/>
      <c r="AH5" s="56"/>
      <c r="AI5" s="56"/>
      <c r="AJ5" s="56"/>
      <c r="AK5" s="56"/>
      <c r="AM5" s="69" t="s">
        <v>331</v>
      </c>
    </row>
    <row r="6" spans="1:47" ht="16.5" hidden="1" customHeight="1" thickBot="1" x14ac:dyDescent="0.3">
      <c r="A6" s="242"/>
      <c r="B6" s="243"/>
      <c r="C6" s="244"/>
      <c r="D6" s="245"/>
      <c r="E6" s="246"/>
      <c r="F6" s="247"/>
      <c r="G6" s="247"/>
      <c r="H6" s="247"/>
      <c r="I6" s="26" t="s">
        <v>466</v>
      </c>
      <c r="J6" s="25" t="s">
        <v>319</v>
      </c>
      <c r="K6" s="32"/>
      <c r="L6" s="25"/>
      <c r="M6" s="53"/>
      <c r="N6" s="53"/>
      <c r="O6" s="53"/>
      <c r="P6" s="33" t="s">
        <v>332</v>
      </c>
      <c r="Q6" s="33" t="s">
        <v>333</v>
      </c>
      <c r="R6" s="63"/>
      <c r="S6" s="63"/>
      <c r="T6" s="63"/>
      <c r="U6" s="38"/>
      <c r="V6" s="54"/>
      <c r="W6" s="113"/>
      <c r="X6" s="101" t="s">
        <v>351</v>
      </c>
      <c r="Y6" s="101" t="s">
        <v>352</v>
      </c>
      <c r="Z6" s="101"/>
      <c r="AA6" s="101"/>
      <c r="AB6" s="101"/>
      <c r="AC6" s="101"/>
      <c r="AD6" s="101"/>
      <c r="AE6" s="101"/>
      <c r="AF6" s="57"/>
      <c r="AG6" s="54"/>
      <c r="AH6" s="56"/>
      <c r="AI6" s="56"/>
      <c r="AJ6" s="56"/>
      <c r="AK6" s="56"/>
    </row>
    <row r="7" spans="1:47" ht="39.6" customHeight="1" thickBot="1" x14ac:dyDescent="0.3">
      <c r="A7" s="249" t="s">
        <v>337</v>
      </c>
      <c r="B7" s="250" t="s">
        <v>338</v>
      </c>
      <c r="C7" s="251" t="s">
        <v>339</v>
      </c>
      <c r="D7" s="251" t="s">
        <v>340</v>
      </c>
      <c r="E7" s="251" t="s">
        <v>341</v>
      </c>
      <c r="F7" s="251" t="s">
        <v>342</v>
      </c>
      <c r="G7" s="251" t="s">
        <v>343</v>
      </c>
      <c r="H7" s="293" t="s">
        <v>344</v>
      </c>
      <c r="I7" s="34" t="s">
        <v>168</v>
      </c>
      <c r="J7" s="34" t="s">
        <v>178</v>
      </c>
      <c r="K7" s="34" t="s">
        <v>185</v>
      </c>
      <c r="L7" s="35" t="s">
        <v>190</v>
      </c>
      <c r="M7" s="36" t="s">
        <v>195</v>
      </c>
      <c r="N7" s="37" t="s">
        <v>345</v>
      </c>
      <c r="O7" s="37" t="s">
        <v>200</v>
      </c>
      <c r="P7" s="38"/>
      <c r="Q7" s="38"/>
      <c r="R7" s="39" t="s">
        <v>346</v>
      </c>
      <c r="S7" s="39"/>
      <c r="T7" s="39"/>
      <c r="U7" s="105" t="s">
        <v>467</v>
      </c>
      <c r="V7" s="101" t="s">
        <v>353</v>
      </c>
      <c r="W7" s="115" t="s">
        <v>361</v>
      </c>
      <c r="X7" s="158"/>
      <c r="Y7" s="158"/>
      <c r="Z7" s="158" t="s">
        <v>168</v>
      </c>
      <c r="AA7" s="158" t="s">
        <v>178</v>
      </c>
      <c r="AB7" s="158" t="s">
        <v>185</v>
      </c>
      <c r="AC7" s="158" t="s">
        <v>190</v>
      </c>
      <c r="AD7" s="158" t="s">
        <v>195</v>
      </c>
      <c r="AE7" s="158" t="s">
        <v>200</v>
      </c>
      <c r="AF7" s="70" t="s">
        <v>362</v>
      </c>
      <c r="AG7" s="104" t="s">
        <v>363</v>
      </c>
      <c r="AH7" s="70" t="s">
        <v>364</v>
      </c>
      <c r="AI7" s="70" t="s">
        <v>365</v>
      </c>
      <c r="AJ7" s="56" t="s">
        <v>366</v>
      </c>
      <c r="AK7" s="56" t="s">
        <v>367</v>
      </c>
      <c r="AL7" s="69" t="s">
        <v>368</v>
      </c>
      <c r="AM7" s="69" t="s">
        <v>331</v>
      </c>
      <c r="AN7" s="80" t="s">
        <v>369</v>
      </c>
      <c r="AO7" s="80" t="s">
        <v>370</v>
      </c>
      <c r="AP7" s="80" t="s">
        <v>371</v>
      </c>
      <c r="AQ7" s="80" t="s">
        <v>372</v>
      </c>
      <c r="AR7" s="81" t="s">
        <v>373</v>
      </c>
      <c r="AS7" s="82" t="s">
        <v>374</v>
      </c>
      <c r="AT7" s="83" t="s">
        <v>375</v>
      </c>
      <c r="AU7" t="s">
        <v>376</v>
      </c>
    </row>
    <row r="8" spans="1:47" ht="15.75" customHeight="1" thickBot="1" x14ac:dyDescent="0.3">
      <c r="A8" s="450"/>
      <c r="B8" s="451"/>
      <c r="C8" s="452" t="s">
        <v>14</v>
      </c>
      <c r="D8" s="442"/>
      <c r="E8" s="443"/>
      <c r="F8" s="444"/>
      <c r="G8" s="444"/>
      <c r="H8" s="445"/>
      <c r="I8" s="132"/>
      <c r="J8" s="132"/>
      <c r="K8" s="132"/>
      <c r="L8" s="133"/>
      <c r="M8" s="87"/>
      <c r="AF8" s="89"/>
      <c r="AG8" s="89"/>
      <c r="AH8" s="89"/>
      <c r="AI8" s="89"/>
      <c r="AJ8" s="68"/>
      <c r="AK8" s="68"/>
    </row>
    <row r="9" spans="1:47" ht="41.25" customHeight="1" x14ac:dyDescent="0.25">
      <c r="A9" s="294" t="s">
        <v>549</v>
      </c>
      <c r="B9" s="295" t="s">
        <v>550</v>
      </c>
      <c r="C9" s="295" t="s">
        <v>551</v>
      </c>
      <c r="D9" s="447"/>
      <c r="E9" s="297"/>
      <c r="F9" s="297"/>
      <c r="G9" s="297"/>
      <c r="H9" s="301"/>
      <c r="I9" s="92" t="s">
        <v>168</v>
      </c>
      <c r="J9" s="92" t="s">
        <v>178</v>
      </c>
      <c r="K9" s="92" t="s">
        <v>185</v>
      </c>
      <c r="L9" s="71" t="s">
        <v>190</v>
      </c>
      <c r="M9" s="71" t="s">
        <v>195</v>
      </c>
      <c r="N9" s="71"/>
      <c r="O9" s="71" t="s">
        <v>200</v>
      </c>
      <c r="P9" s="71" t="s">
        <v>380</v>
      </c>
      <c r="Q9" s="71"/>
      <c r="R9" s="64"/>
      <c r="S9" s="64"/>
      <c r="T9" s="64"/>
      <c r="U9" s="97">
        <f>IF(OR($E$8="N/A",AND(AU9=0,'Cover Sheet'!$B$29="Streamlined Review"),AND(E9="Met",F9&lt;&gt;""),AND(E9="Not met",G9&lt;&gt;""),AND(E9="Unsure",G9&lt;&gt;""),AND(E9="N/A",H9&lt;&gt;""),AND(Y9=TRUE)),1,0)</f>
        <v>0</v>
      </c>
      <c r="W9" s="56" t="b">
        <f>IF(OR(AND($H$6="Medicaid",MID($A9,1,FIND(".",$A9,1)-1)="II"),AND($H$6="CHIP",MID($A9,1,FIND(".",$A9,1)-1)="I")),TRUE,FALSE)</f>
        <v>0</v>
      </c>
      <c r="X9" s="126" t="b">
        <f t="shared" ref="X9:X24" si="0">IF(OR(Y9=TRUE),TRUE,FALSE)</f>
        <v>0</v>
      </c>
      <c r="Y9" s="126" t="b">
        <f>IF(SUM(Z9:AE9)&lt;1,TRUE,FALSE)</f>
        <v>0</v>
      </c>
      <c r="Z9" s="126">
        <f t="shared" ref="Z9:Z24" si="1">IF($Z$2=I9,1,0)</f>
        <v>1</v>
      </c>
      <c r="AA9" s="126">
        <f t="shared" ref="AA9:AA24" si="2">IF($AA$2=J9,1,0)</f>
        <v>0</v>
      </c>
      <c r="AB9" s="126">
        <f t="shared" ref="AB9:AB24" si="3">IF($AB$2=K9,1,0)</f>
        <v>0</v>
      </c>
      <c r="AC9" s="126">
        <f t="shared" ref="AC9:AC24" si="4">IF($AC$2=L9,1,0)</f>
        <v>0</v>
      </c>
      <c r="AD9" s="126">
        <f t="shared" ref="AD9:AD24" si="5">IF($AD$2=M9,1,0)</f>
        <v>0</v>
      </c>
      <c r="AE9" s="126">
        <f t="shared" ref="AE9:AE24" si="6">IF($AE$2=O9,1,0)</f>
        <v>0</v>
      </c>
      <c r="AM9" s="69" t="str">
        <f>IF(AL9=1,1,"")</f>
        <v/>
      </c>
      <c r="AU9">
        <v>0</v>
      </c>
    </row>
    <row r="10" spans="1:47" ht="28.5" customHeight="1" x14ac:dyDescent="0.25">
      <c r="A10" s="294" t="s">
        <v>552</v>
      </c>
      <c r="B10" s="295" t="s">
        <v>553</v>
      </c>
      <c r="C10" s="295" t="s">
        <v>554</v>
      </c>
      <c r="D10" s="446"/>
      <c r="E10" s="297"/>
      <c r="F10" s="297"/>
      <c r="G10" s="297"/>
      <c r="H10" s="214"/>
      <c r="I10" s="92" t="s">
        <v>168</v>
      </c>
      <c r="J10" s="92" t="s">
        <v>178</v>
      </c>
      <c r="K10" s="92" t="s">
        <v>185</v>
      </c>
      <c r="L10" s="166" t="s">
        <v>190</v>
      </c>
      <c r="M10" s="166" t="s">
        <v>195</v>
      </c>
      <c r="N10" s="71"/>
      <c r="O10" s="166" t="s">
        <v>200</v>
      </c>
      <c r="P10" s="71" t="s">
        <v>380</v>
      </c>
      <c r="Q10" s="71"/>
      <c r="R10" s="64"/>
      <c r="S10" s="64"/>
      <c r="T10" s="64"/>
      <c r="U10" s="97">
        <f>IF(OR($E$8="N/A",AND(AU10=0,'Cover Sheet'!$B$29="Streamlined Review"),AND(E10="Met",F10&lt;&gt;""),AND(E10="Not met",G10&lt;&gt;""),AND(E10="Unsure",G10&lt;&gt;""),AND(E10="N/A",H10&lt;&gt;""),AND(Y10=TRUE)),1,0)</f>
        <v>0</v>
      </c>
      <c r="W10" s="56" t="b">
        <f t="shared" ref="W10:W24" si="7">IF(OR(AND($H$6="Medicaid",MID($A10,1,FIND(".",$A10,1)-1)="II"),AND($H$6="CHIP",MID($A10,1,FIND(".",$A10,1)-1)="I")),TRUE,FALSE)</f>
        <v>0</v>
      </c>
      <c r="X10" s="126" t="b">
        <f t="shared" si="0"/>
        <v>0</v>
      </c>
      <c r="Y10" s="126" t="b">
        <f t="shared" ref="Y10:Y24" si="8">IF(SUM(Z10:AE10)&lt;1,TRUE,FALSE)</f>
        <v>0</v>
      </c>
      <c r="Z10" s="126">
        <f t="shared" si="1"/>
        <v>1</v>
      </c>
      <c r="AA10" s="126">
        <f t="shared" si="2"/>
        <v>0</v>
      </c>
      <c r="AB10" s="126">
        <f t="shared" si="3"/>
        <v>0</v>
      </c>
      <c r="AC10" s="126">
        <f t="shared" si="4"/>
        <v>0</v>
      </c>
      <c r="AD10" s="126">
        <f t="shared" si="5"/>
        <v>0</v>
      </c>
      <c r="AE10" s="126">
        <f t="shared" si="6"/>
        <v>0</v>
      </c>
      <c r="AM10" s="69" t="str">
        <f t="shared" ref="AM10:AM70" si="9">IF(AL10=1,1,"")</f>
        <v/>
      </c>
      <c r="AU10">
        <v>0</v>
      </c>
    </row>
    <row r="11" spans="1:47" ht="55.5" customHeight="1" x14ac:dyDescent="0.25">
      <c r="A11" s="294" t="s">
        <v>555</v>
      </c>
      <c r="B11" s="295" t="s">
        <v>556</v>
      </c>
      <c r="C11" s="295" t="s">
        <v>557</v>
      </c>
      <c r="D11" s="447"/>
      <c r="E11" s="297"/>
      <c r="F11" s="297"/>
      <c r="G11" s="297"/>
      <c r="H11" s="214"/>
      <c r="I11" s="92" t="s">
        <v>168</v>
      </c>
      <c r="J11" s="92" t="s">
        <v>178</v>
      </c>
      <c r="K11" s="92" t="s">
        <v>185</v>
      </c>
      <c r="L11" s="71" t="s">
        <v>190</v>
      </c>
      <c r="M11" s="71" t="s">
        <v>195</v>
      </c>
      <c r="N11" s="71"/>
      <c r="O11" s="71" t="s">
        <v>200</v>
      </c>
      <c r="P11" s="71" t="s">
        <v>380</v>
      </c>
      <c r="Q11" s="71"/>
      <c r="R11" s="64">
        <v>42917</v>
      </c>
      <c r="S11" s="64"/>
      <c r="T11" s="64"/>
      <c r="U11" s="97">
        <f>IF(OR($E$8="N/A",AND(AU11=0,'Cover Sheet'!$B$29="Streamlined Review"),AND(E11="Met",F11&lt;&gt;""),AND(E11="Not met",G11&lt;&gt;""),AND(E11="Unsure",G11&lt;&gt;""),AND(E11="N/A",H11&lt;&gt;""),AND(Y11=TRUE)),1,0)</f>
        <v>0</v>
      </c>
      <c r="W11" s="56" t="b">
        <f t="shared" si="7"/>
        <v>0</v>
      </c>
      <c r="X11" s="126" t="b">
        <f t="shared" si="0"/>
        <v>0</v>
      </c>
      <c r="Y11" s="126" t="b">
        <f t="shared" si="8"/>
        <v>0</v>
      </c>
      <c r="Z11" s="126">
        <f t="shared" si="1"/>
        <v>1</v>
      </c>
      <c r="AA11" s="126">
        <f t="shared" si="2"/>
        <v>0</v>
      </c>
      <c r="AB11" s="126">
        <f t="shared" si="3"/>
        <v>0</v>
      </c>
      <c r="AC11" s="126">
        <f t="shared" si="4"/>
        <v>0</v>
      </c>
      <c r="AD11" s="126">
        <f t="shared" si="5"/>
        <v>0</v>
      </c>
      <c r="AE11" s="126">
        <f t="shared" si="6"/>
        <v>0</v>
      </c>
      <c r="AM11" s="69" t="str">
        <f t="shared" si="9"/>
        <v/>
      </c>
      <c r="AU11">
        <v>0</v>
      </c>
    </row>
    <row r="12" spans="1:47" ht="51" customHeight="1" x14ac:dyDescent="0.25">
      <c r="A12" s="294" t="s">
        <v>558</v>
      </c>
      <c r="B12" s="453" t="s">
        <v>556</v>
      </c>
      <c r="C12" s="263" t="s">
        <v>559</v>
      </c>
      <c r="D12" s="446"/>
      <c r="E12" s="297"/>
      <c r="F12" s="297"/>
      <c r="G12" s="297"/>
      <c r="H12" s="214"/>
      <c r="I12" s="92" t="s">
        <v>168</v>
      </c>
      <c r="J12" s="92" t="s">
        <v>178</v>
      </c>
      <c r="K12" s="92" t="s">
        <v>185</v>
      </c>
      <c r="L12" s="71" t="s">
        <v>190</v>
      </c>
      <c r="M12" s="71" t="s">
        <v>195</v>
      </c>
      <c r="N12" s="71"/>
      <c r="O12" s="71" t="s">
        <v>200</v>
      </c>
      <c r="P12" s="71" t="s">
        <v>380</v>
      </c>
      <c r="Q12" s="71"/>
      <c r="R12" s="64">
        <v>44179</v>
      </c>
      <c r="S12" s="64"/>
      <c r="T12" s="64"/>
      <c r="U12" s="97">
        <f>IF(OR($E$8="N/A",AND(AU12=0,'Cover Sheet'!$B$29="Streamlined Review"),AND(E12="Met",F12&lt;&gt;""),AND(E12="Not met",G12&lt;&gt;""),AND(E12="Unsure",G12&lt;&gt;""),AND(E12="N/A",H12&lt;&gt;""),AND(Y12=TRUE)),1,0)</f>
        <v>0</v>
      </c>
      <c r="W12" s="56" t="b">
        <f t="shared" si="7"/>
        <v>0</v>
      </c>
      <c r="X12" s="126" t="b">
        <f t="shared" si="0"/>
        <v>0</v>
      </c>
      <c r="Y12" s="126" t="b">
        <f t="shared" si="8"/>
        <v>0</v>
      </c>
      <c r="Z12" s="126">
        <f t="shared" si="1"/>
        <v>1</v>
      </c>
      <c r="AA12" s="126">
        <f t="shared" si="2"/>
        <v>0</v>
      </c>
      <c r="AB12" s="126">
        <f t="shared" si="3"/>
        <v>0</v>
      </c>
      <c r="AC12" s="126">
        <f t="shared" si="4"/>
        <v>0</v>
      </c>
      <c r="AD12" s="126">
        <f t="shared" si="5"/>
        <v>0</v>
      </c>
      <c r="AE12" s="126">
        <f t="shared" si="6"/>
        <v>0</v>
      </c>
      <c r="AM12" s="69" t="str">
        <f t="shared" si="9"/>
        <v/>
      </c>
      <c r="AU12">
        <v>0</v>
      </c>
    </row>
    <row r="13" spans="1:47" ht="57" customHeight="1" x14ac:dyDescent="0.25">
      <c r="A13" s="294" t="s">
        <v>560</v>
      </c>
      <c r="B13" s="295" t="s">
        <v>556</v>
      </c>
      <c r="C13" s="263" t="s">
        <v>561</v>
      </c>
      <c r="D13" s="447"/>
      <c r="E13" s="297"/>
      <c r="F13" s="297"/>
      <c r="G13" s="297"/>
      <c r="H13" s="214"/>
      <c r="I13" s="92" t="s">
        <v>168</v>
      </c>
      <c r="J13" s="92" t="s">
        <v>178</v>
      </c>
      <c r="K13" s="92" t="s">
        <v>185</v>
      </c>
      <c r="L13" s="71" t="s">
        <v>190</v>
      </c>
      <c r="M13" s="71" t="s">
        <v>195</v>
      </c>
      <c r="N13" s="71"/>
      <c r="O13" s="71" t="s">
        <v>200</v>
      </c>
      <c r="P13" s="71" t="s">
        <v>380</v>
      </c>
      <c r="Q13" s="71"/>
      <c r="R13" s="64">
        <v>44179</v>
      </c>
      <c r="S13" s="64"/>
      <c r="T13" s="64"/>
      <c r="U13" s="97">
        <f>IF(OR($E$8="N/A",AND(AU13=0,'Cover Sheet'!$B$29="Streamlined Review"),AND(E13="Met",F13&lt;&gt;""),AND(E13="Not met",G13&lt;&gt;""),AND(E13="Unsure",G13&lt;&gt;""),AND(E13="N/A",H13&lt;&gt;""),AND(Y13=TRUE)),1,0)</f>
        <v>0</v>
      </c>
      <c r="W13" s="56" t="b">
        <f t="shared" si="7"/>
        <v>0</v>
      </c>
      <c r="X13" s="126" t="b">
        <f t="shared" si="0"/>
        <v>0</v>
      </c>
      <c r="Y13" s="126" t="b">
        <f t="shared" si="8"/>
        <v>0</v>
      </c>
      <c r="Z13" s="126">
        <f t="shared" si="1"/>
        <v>1</v>
      </c>
      <c r="AA13" s="126">
        <f t="shared" si="2"/>
        <v>0</v>
      </c>
      <c r="AB13" s="126">
        <f t="shared" si="3"/>
        <v>0</v>
      </c>
      <c r="AC13" s="126">
        <f t="shared" si="4"/>
        <v>0</v>
      </c>
      <c r="AD13" s="126">
        <f t="shared" si="5"/>
        <v>0</v>
      </c>
      <c r="AE13" s="126">
        <f t="shared" si="6"/>
        <v>0</v>
      </c>
      <c r="AM13" s="69" t="str">
        <f t="shared" si="9"/>
        <v/>
      </c>
      <c r="AU13">
        <v>0</v>
      </c>
    </row>
    <row r="14" spans="1:47" ht="55.5" customHeight="1" x14ac:dyDescent="0.25">
      <c r="A14" s="294" t="s">
        <v>562</v>
      </c>
      <c r="B14" s="263" t="s">
        <v>556</v>
      </c>
      <c r="C14" s="263" t="s">
        <v>563</v>
      </c>
      <c r="D14" s="447"/>
      <c r="E14" s="297"/>
      <c r="F14" s="297"/>
      <c r="G14" s="297"/>
      <c r="H14" s="214"/>
      <c r="I14" s="92" t="s">
        <v>168</v>
      </c>
      <c r="J14" s="92" t="s">
        <v>178</v>
      </c>
      <c r="K14" s="92" t="s">
        <v>185</v>
      </c>
      <c r="L14" s="71" t="s">
        <v>190</v>
      </c>
      <c r="M14" s="71" t="s">
        <v>195</v>
      </c>
      <c r="N14" s="67"/>
      <c r="O14" s="71" t="s">
        <v>200</v>
      </c>
      <c r="P14" s="71" t="s">
        <v>380</v>
      </c>
      <c r="Q14" s="71"/>
      <c r="R14" s="64">
        <v>44179</v>
      </c>
      <c r="S14" s="64"/>
      <c r="T14" s="64"/>
      <c r="U14" s="97">
        <f>IF(OR($E$8="N/A",AND(AU14=0,'Cover Sheet'!$B$29="Streamlined Review"),AND(E14="Met",F14&lt;&gt;""),AND(E14="Not met",G14&lt;&gt;""),AND(E14="Unsure",G14&lt;&gt;""),AND(E14="N/A",H14&lt;&gt;""),AND(Y14=TRUE)),1,0)</f>
        <v>0</v>
      </c>
      <c r="W14" s="56" t="b">
        <f t="shared" si="7"/>
        <v>0</v>
      </c>
      <c r="X14" s="126" t="b">
        <f t="shared" si="0"/>
        <v>0</v>
      </c>
      <c r="Y14" s="126" t="b">
        <f t="shared" si="8"/>
        <v>0</v>
      </c>
      <c r="Z14" s="126">
        <f t="shared" si="1"/>
        <v>1</v>
      </c>
      <c r="AA14" s="126">
        <f t="shared" si="2"/>
        <v>0</v>
      </c>
      <c r="AB14" s="126">
        <f t="shared" si="3"/>
        <v>0</v>
      </c>
      <c r="AC14" s="126">
        <f t="shared" si="4"/>
        <v>0</v>
      </c>
      <c r="AD14" s="126">
        <f t="shared" si="5"/>
        <v>0</v>
      </c>
      <c r="AE14" s="126">
        <f t="shared" si="6"/>
        <v>0</v>
      </c>
      <c r="AF14" s="88"/>
      <c r="AG14" s="136"/>
      <c r="AH14" s="88"/>
      <c r="AI14" s="137"/>
      <c r="AJ14" s="88"/>
      <c r="AK14" s="88"/>
      <c r="AL14" s="88"/>
      <c r="AM14" s="88" t="str">
        <f t="shared" si="9"/>
        <v/>
      </c>
      <c r="AN14" s="88"/>
      <c r="AO14" s="88"/>
      <c r="AP14" s="88"/>
      <c r="AQ14" s="88"/>
      <c r="AR14" s="88"/>
      <c r="AS14" s="88"/>
      <c r="AT14" s="88"/>
      <c r="AU14">
        <v>0</v>
      </c>
    </row>
    <row r="15" spans="1:47" ht="75" customHeight="1" x14ac:dyDescent="0.25">
      <c r="A15" s="294" t="s">
        <v>564</v>
      </c>
      <c r="B15" s="295" t="s">
        <v>556</v>
      </c>
      <c r="C15" s="263" t="s">
        <v>565</v>
      </c>
      <c r="D15" s="447"/>
      <c r="E15" s="297"/>
      <c r="F15" s="297"/>
      <c r="G15" s="297"/>
      <c r="H15" s="214"/>
      <c r="I15" s="92" t="s">
        <v>168</v>
      </c>
      <c r="J15" s="92" t="s">
        <v>178</v>
      </c>
      <c r="K15" s="92" t="s">
        <v>185</v>
      </c>
      <c r="L15" s="71" t="s">
        <v>190</v>
      </c>
      <c r="M15" s="71" t="s">
        <v>195</v>
      </c>
      <c r="N15" s="71"/>
      <c r="O15" s="71" t="s">
        <v>200</v>
      </c>
      <c r="P15" s="71" t="s">
        <v>380</v>
      </c>
      <c r="Q15" s="71"/>
      <c r="R15" s="64">
        <v>44179</v>
      </c>
      <c r="S15" s="64"/>
      <c r="T15" s="64"/>
      <c r="U15" s="97">
        <f>IF(OR($E$8="N/A",AND(AU15=0,'Cover Sheet'!$B$29="Streamlined Review"),AND(E15="Met",F15&lt;&gt;""),AND(E15="Not met",G15&lt;&gt;""),AND(E15="Unsure",G15&lt;&gt;""),AND(E15="N/A",H15&lt;&gt;""),AND(Y15=TRUE)),1,0)</f>
        <v>0</v>
      </c>
      <c r="W15" s="56" t="b">
        <f t="shared" si="7"/>
        <v>0</v>
      </c>
      <c r="X15" s="126" t="b">
        <f t="shared" si="0"/>
        <v>0</v>
      </c>
      <c r="Y15" s="126" t="b">
        <f t="shared" si="8"/>
        <v>0</v>
      </c>
      <c r="Z15" s="126">
        <f t="shared" si="1"/>
        <v>1</v>
      </c>
      <c r="AA15" s="126">
        <f t="shared" si="2"/>
        <v>0</v>
      </c>
      <c r="AB15" s="126">
        <f t="shared" si="3"/>
        <v>0</v>
      </c>
      <c r="AC15" s="126">
        <f t="shared" si="4"/>
        <v>0</v>
      </c>
      <c r="AD15" s="126">
        <f t="shared" si="5"/>
        <v>0</v>
      </c>
      <c r="AE15" s="126">
        <f t="shared" si="6"/>
        <v>0</v>
      </c>
      <c r="AM15" s="69" t="str">
        <f t="shared" si="9"/>
        <v/>
      </c>
      <c r="AU15">
        <v>0</v>
      </c>
    </row>
    <row r="16" spans="1:47" ht="32.25" customHeight="1" x14ac:dyDescent="0.25">
      <c r="A16" s="294" t="s">
        <v>566</v>
      </c>
      <c r="B16" s="295" t="s">
        <v>556</v>
      </c>
      <c r="C16" s="295" t="s">
        <v>567</v>
      </c>
      <c r="D16" s="446"/>
      <c r="E16" s="297"/>
      <c r="F16" s="297"/>
      <c r="G16" s="297"/>
      <c r="H16" s="214"/>
      <c r="I16" s="92" t="s">
        <v>168</v>
      </c>
      <c r="J16" s="92" t="s">
        <v>178</v>
      </c>
      <c r="K16" s="92" t="s">
        <v>185</v>
      </c>
      <c r="L16" s="71" t="s">
        <v>190</v>
      </c>
      <c r="M16" s="71" t="s">
        <v>195</v>
      </c>
      <c r="N16" s="71"/>
      <c r="O16" s="71" t="s">
        <v>200</v>
      </c>
      <c r="P16" s="71" t="s">
        <v>380</v>
      </c>
      <c r="Q16" s="71"/>
      <c r="R16" s="64">
        <v>42917</v>
      </c>
      <c r="S16" s="64"/>
      <c r="T16" s="64"/>
      <c r="U16" s="97">
        <f>IF(OR($E$8="N/A",AND(AU16=0,'Cover Sheet'!$B$29="Streamlined Review"),AND(E16="Met",F16&lt;&gt;""),AND(E16="Not met",G16&lt;&gt;""),AND(E16="Unsure",G16&lt;&gt;""),AND(E16="N/A",H16&lt;&gt;""),AND(Y16=TRUE)),1,0)</f>
        <v>0</v>
      </c>
      <c r="W16" s="56" t="b">
        <f t="shared" si="7"/>
        <v>0</v>
      </c>
      <c r="X16" s="126" t="b">
        <f t="shared" si="0"/>
        <v>0</v>
      </c>
      <c r="Y16" s="126" t="b">
        <f t="shared" si="8"/>
        <v>0</v>
      </c>
      <c r="Z16" s="126">
        <f t="shared" si="1"/>
        <v>1</v>
      </c>
      <c r="AA16" s="126">
        <f t="shared" si="2"/>
        <v>0</v>
      </c>
      <c r="AB16" s="126">
        <f t="shared" si="3"/>
        <v>0</v>
      </c>
      <c r="AC16" s="126">
        <f t="shared" si="4"/>
        <v>0</v>
      </c>
      <c r="AD16" s="126">
        <f t="shared" si="5"/>
        <v>0</v>
      </c>
      <c r="AE16" s="126">
        <f t="shared" si="6"/>
        <v>0</v>
      </c>
      <c r="AM16" s="69" t="str">
        <f t="shared" si="9"/>
        <v/>
      </c>
      <c r="AU16">
        <v>0</v>
      </c>
    </row>
    <row r="17" spans="1:47" ht="41.25" customHeight="1" x14ac:dyDescent="0.25">
      <c r="A17" s="294" t="s">
        <v>568</v>
      </c>
      <c r="B17" s="295" t="s">
        <v>569</v>
      </c>
      <c r="C17" s="295" t="s">
        <v>570</v>
      </c>
      <c r="D17" s="447"/>
      <c r="E17" s="297"/>
      <c r="F17" s="297"/>
      <c r="G17" s="297"/>
      <c r="H17" s="214"/>
      <c r="I17" s="92" t="s">
        <v>168</v>
      </c>
      <c r="J17" s="92" t="s">
        <v>178</v>
      </c>
      <c r="K17" s="92" t="s">
        <v>185</v>
      </c>
      <c r="L17" s="71" t="s">
        <v>190</v>
      </c>
      <c r="M17" s="71" t="s">
        <v>195</v>
      </c>
      <c r="N17" s="71"/>
      <c r="O17" s="71" t="s">
        <v>200</v>
      </c>
      <c r="P17" s="71" t="s">
        <v>380</v>
      </c>
      <c r="Q17" s="71"/>
      <c r="R17" s="64">
        <v>42917</v>
      </c>
      <c r="S17" s="64"/>
      <c r="T17" s="64"/>
      <c r="U17" s="97">
        <f>IF(OR($E$8="N/A",AND(AU17=0,'Cover Sheet'!$B$29="Streamlined Review"),AND(E17="Met",F17&lt;&gt;""),AND(E17="Not met",G17&lt;&gt;""),AND(E17="Unsure",G17&lt;&gt;""),AND(E17="N/A",H17&lt;&gt;""),AND(Y17=TRUE)),1,0)</f>
        <v>0</v>
      </c>
      <c r="W17" s="56" t="b">
        <f t="shared" si="7"/>
        <v>0</v>
      </c>
      <c r="X17" s="126" t="b">
        <f t="shared" si="0"/>
        <v>0</v>
      </c>
      <c r="Y17" s="126" t="b">
        <f t="shared" si="8"/>
        <v>0</v>
      </c>
      <c r="Z17" s="126">
        <f t="shared" si="1"/>
        <v>1</v>
      </c>
      <c r="AA17" s="126">
        <f t="shared" si="2"/>
        <v>0</v>
      </c>
      <c r="AB17" s="126">
        <f t="shared" si="3"/>
        <v>0</v>
      </c>
      <c r="AC17" s="126">
        <f t="shared" si="4"/>
        <v>0</v>
      </c>
      <c r="AD17" s="126">
        <f t="shared" si="5"/>
        <v>0</v>
      </c>
      <c r="AE17" s="126">
        <f t="shared" si="6"/>
        <v>0</v>
      </c>
      <c r="AM17" s="69" t="str">
        <f t="shared" si="9"/>
        <v/>
      </c>
      <c r="AU17">
        <v>0</v>
      </c>
    </row>
    <row r="18" spans="1:47" ht="45" customHeight="1" x14ac:dyDescent="0.25">
      <c r="A18" s="294" t="s">
        <v>571</v>
      </c>
      <c r="B18" s="295" t="s">
        <v>572</v>
      </c>
      <c r="C18" s="295" t="s">
        <v>573</v>
      </c>
      <c r="D18" s="447"/>
      <c r="E18" s="297"/>
      <c r="F18" s="297"/>
      <c r="G18" s="297"/>
      <c r="H18" s="214"/>
      <c r="I18" s="92" t="s">
        <v>168</v>
      </c>
      <c r="J18" s="92" t="s">
        <v>178</v>
      </c>
      <c r="K18" s="92" t="s">
        <v>185</v>
      </c>
      <c r="L18" s="71" t="s">
        <v>190</v>
      </c>
      <c r="M18" s="71" t="s">
        <v>195</v>
      </c>
      <c r="N18" s="71"/>
      <c r="O18" s="71" t="s">
        <v>200</v>
      </c>
      <c r="P18" s="71" t="s">
        <v>380</v>
      </c>
      <c r="Q18" s="71"/>
      <c r="R18" s="64"/>
      <c r="S18" s="64"/>
      <c r="T18" s="64"/>
      <c r="U18" s="97">
        <f>IF(OR($E$8="N/A",AND(AU18=0,'Cover Sheet'!$B$29="Streamlined Review"),AND(E18="Met",F18&lt;&gt;""),AND(E18="Not met",G18&lt;&gt;""),AND(E18="Unsure",G18&lt;&gt;""),AND(E18="N/A",H18&lt;&gt;""),AND(Y18=TRUE)),1,0)</f>
        <v>0</v>
      </c>
      <c r="W18" s="56" t="b">
        <f t="shared" si="7"/>
        <v>0</v>
      </c>
      <c r="X18" s="126" t="b">
        <f t="shared" si="0"/>
        <v>0</v>
      </c>
      <c r="Y18" s="126" t="b">
        <f t="shared" si="8"/>
        <v>0</v>
      </c>
      <c r="Z18" s="126">
        <f t="shared" si="1"/>
        <v>1</v>
      </c>
      <c r="AA18" s="126">
        <f t="shared" si="2"/>
        <v>0</v>
      </c>
      <c r="AB18" s="126">
        <f t="shared" si="3"/>
        <v>0</v>
      </c>
      <c r="AC18" s="126">
        <f t="shared" si="4"/>
        <v>0</v>
      </c>
      <c r="AD18" s="126">
        <f t="shared" si="5"/>
        <v>0</v>
      </c>
      <c r="AE18" s="126">
        <f t="shared" si="6"/>
        <v>0</v>
      </c>
      <c r="AM18" s="69" t="str">
        <f t="shared" si="9"/>
        <v/>
      </c>
      <c r="AU18">
        <v>0</v>
      </c>
    </row>
    <row r="19" spans="1:47" ht="44.25" customHeight="1" x14ac:dyDescent="0.25">
      <c r="A19" s="294" t="s">
        <v>574</v>
      </c>
      <c r="B19" s="295" t="s">
        <v>572</v>
      </c>
      <c r="C19" s="295" t="s">
        <v>575</v>
      </c>
      <c r="D19" s="446"/>
      <c r="E19" s="297"/>
      <c r="F19" s="297"/>
      <c r="G19" s="297"/>
      <c r="H19" s="214"/>
      <c r="I19" s="92" t="s">
        <v>168</v>
      </c>
      <c r="J19" s="92" t="s">
        <v>178</v>
      </c>
      <c r="K19" s="92" t="s">
        <v>185</v>
      </c>
      <c r="L19" s="71" t="s">
        <v>190</v>
      </c>
      <c r="M19" s="71" t="s">
        <v>195</v>
      </c>
      <c r="N19" s="71"/>
      <c r="O19" s="71" t="s">
        <v>200</v>
      </c>
      <c r="P19" s="71" t="s">
        <v>380</v>
      </c>
      <c r="Q19" s="71"/>
      <c r="R19" s="64"/>
      <c r="S19" s="64"/>
      <c r="T19" s="64"/>
      <c r="U19" s="97">
        <f>IF(OR($E$8="N/A",AND(AU19=0,'Cover Sheet'!$B$29="Streamlined Review"),AND(E19="Met",F19&lt;&gt;""),AND(E19="Not met",G19&lt;&gt;""),AND(E19="Unsure",G19&lt;&gt;""),AND(E19="N/A",H19&lt;&gt;""),AND(Y19=TRUE)),1,0)</f>
        <v>0</v>
      </c>
      <c r="W19" s="56" t="b">
        <f t="shared" si="7"/>
        <v>0</v>
      </c>
      <c r="X19" s="126" t="b">
        <f t="shared" si="0"/>
        <v>0</v>
      </c>
      <c r="Y19" s="126" t="b">
        <f t="shared" si="8"/>
        <v>0</v>
      </c>
      <c r="Z19" s="126">
        <f t="shared" si="1"/>
        <v>1</v>
      </c>
      <c r="AA19" s="126">
        <f t="shared" si="2"/>
        <v>0</v>
      </c>
      <c r="AB19" s="126">
        <f t="shared" si="3"/>
        <v>0</v>
      </c>
      <c r="AC19" s="126">
        <f t="shared" si="4"/>
        <v>0</v>
      </c>
      <c r="AD19" s="126">
        <f t="shared" si="5"/>
        <v>0</v>
      </c>
      <c r="AE19" s="126">
        <f t="shared" si="6"/>
        <v>0</v>
      </c>
      <c r="AM19" s="69" t="str">
        <f t="shared" si="9"/>
        <v/>
      </c>
      <c r="AU19">
        <v>0</v>
      </c>
    </row>
    <row r="20" spans="1:47" ht="43.5" customHeight="1" x14ac:dyDescent="0.25">
      <c r="A20" s="294" t="s">
        <v>576</v>
      </c>
      <c r="B20" s="295" t="s">
        <v>577</v>
      </c>
      <c r="C20" s="295" t="s">
        <v>578</v>
      </c>
      <c r="D20" s="446"/>
      <c r="E20" s="297"/>
      <c r="F20" s="297"/>
      <c r="G20" s="297"/>
      <c r="H20" s="214"/>
      <c r="I20" s="92" t="s">
        <v>168</v>
      </c>
      <c r="J20" s="92" t="s">
        <v>178</v>
      </c>
      <c r="K20" s="92" t="s">
        <v>185</v>
      </c>
      <c r="L20" s="71" t="s">
        <v>190</v>
      </c>
      <c r="M20" s="71" t="s">
        <v>195</v>
      </c>
      <c r="N20" s="71"/>
      <c r="O20" s="71" t="s">
        <v>200</v>
      </c>
      <c r="P20" s="71" t="s">
        <v>380</v>
      </c>
      <c r="Q20" s="71"/>
      <c r="R20" s="64"/>
      <c r="S20" s="64"/>
      <c r="T20" s="64"/>
      <c r="U20" s="97">
        <f>IF(OR($E$8="N/A",AND(AU20=0,'Cover Sheet'!$B$29="Streamlined Review"),AND(E20="Met",F20&lt;&gt;""),AND(E20="Not met",G20&lt;&gt;""),AND(E20="Unsure",G20&lt;&gt;""),AND(E20="N/A",H20&lt;&gt;""),AND(Y20=TRUE)),1,0)</f>
        <v>0</v>
      </c>
      <c r="W20" s="56" t="b">
        <f t="shared" si="7"/>
        <v>0</v>
      </c>
      <c r="X20" s="126" t="b">
        <f t="shared" si="0"/>
        <v>0</v>
      </c>
      <c r="Y20" s="126" t="b">
        <f t="shared" si="8"/>
        <v>0</v>
      </c>
      <c r="Z20" s="126">
        <f t="shared" si="1"/>
        <v>1</v>
      </c>
      <c r="AA20" s="126">
        <f t="shared" si="2"/>
        <v>0</v>
      </c>
      <c r="AB20" s="126">
        <f t="shared" si="3"/>
        <v>0</v>
      </c>
      <c r="AC20" s="126">
        <f t="shared" si="4"/>
        <v>0</v>
      </c>
      <c r="AD20" s="126">
        <f t="shared" si="5"/>
        <v>0</v>
      </c>
      <c r="AE20" s="126">
        <f t="shared" si="6"/>
        <v>0</v>
      </c>
      <c r="AM20" s="69" t="str">
        <f t="shared" si="9"/>
        <v/>
      </c>
      <c r="AU20">
        <v>0</v>
      </c>
    </row>
    <row r="21" spans="1:47" ht="30.75" customHeight="1" x14ac:dyDescent="0.25">
      <c r="A21" s="294" t="s">
        <v>579</v>
      </c>
      <c r="B21" s="295" t="s">
        <v>580</v>
      </c>
      <c r="C21" s="295" t="s">
        <v>581</v>
      </c>
      <c r="D21" s="446"/>
      <c r="E21" s="297"/>
      <c r="F21" s="297"/>
      <c r="G21" s="297"/>
      <c r="H21" s="214"/>
      <c r="I21" s="92" t="s">
        <v>168</v>
      </c>
      <c r="J21" s="92" t="s">
        <v>178</v>
      </c>
      <c r="K21" s="92" t="s">
        <v>185</v>
      </c>
      <c r="L21" s="71" t="s">
        <v>190</v>
      </c>
      <c r="M21" s="71" t="s">
        <v>195</v>
      </c>
      <c r="N21" s="71"/>
      <c r="O21" s="71" t="s">
        <v>200</v>
      </c>
      <c r="P21" s="71" t="s">
        <v>380</v>
      </c>
      <c r="Q21" s="71"/>
      <c r="R21" s="64"/>
      <c r="S21" s="64"/>
      <c r="T21" s="64"/>
      <c r="U21" s="97">
        <f>IF(OR($E$8="N/A",AND(AU21=0,'Cover Sheet'!$B$29="Streamlined Review"),AND(E21="Met",F21&lt;&gt;""),AND(E21="Not met",G21&lt;&gt;""),AND(E21="Unsure",G21&lt;&gt;""),AND(E21="N/A",H21&lt;&gt;""),AND(Y21=TRUE)),1,0)</f>
        <v>0</v>
      </c>
      <c r="W21" s="56" t="b">
        <f t="shared" si="7"/>
        <v>0</v>
      </c>
      <c r="X21" s="126" t="b">
        <f t="shared" si="0"/>
        <v>0</v>
      </c>
      <c r="Y21" s="126" t="b">
        <f t="shared" si="8"/>
        <v>0</v>
      </c>
      <c r="Z21" s="126">
        <f t="shared" si="1"/>
        <v>1</v>
      </c>
      <c r="AA21" s="126">
        <f t="shared" si="2"/>
        <v>0</v>
      </c>
      <c r="AB21" s="126">
        <f t="shared" si="3"/>
        <v>0</v>
      </c>
      <c r="AC21" s="126">
        <f t="shared" si="4"/>
        <v>0</v>
      </c>
      <c r="AD21" s="126">
        <f t="shared" si="5"/>
        <v>0</v>
      </c>
      <c r="AE21" s="126">
        <f t="shared" si="6"/>
        <v>0</v>
      </c>
      <c r="AM21" s="69" t="str">
        <f t="shared" si="9"/>
        <v/>
      </c>
      <c r="AU21">
        <v>0</v>
      </c>
    </row>
    <row r="22" spans="1:47" ht="30.75" customHeight="1" x14ac:dyDescent="0.25">
      <c r="A22" s="294" t="s">
        <v>582</v>
      </c>
      <c r="B22" s="295" t="s">
        <v>583</v>
      </c>
      <c r="C22" s="295" t="s">
        <v>584</v>
      </c>
      <c r="D22" s="446"/>
      <c r="E22" s="297"/>
      <c r="F22" s="297"/>
      <c r="G22" s="297"/>
      <c r="H22" s="214"/>
      <c r="I22" s="92" t="s">
        <v>168</v>
      </c>
      <c r="J22" s="92" t="s">
        <v>178</v>
      </c>
      <c r="K22" s="92" t="s">
        <v>185</v>
      </c>
      <c r="L22" s="71" t="s">
        <v>190</v>
      </c>
      <c r="M22" s="71" t="s">
        <v>195</v>
      </c>
      <c r="N22" s="71"/>
      <c r="O22" s="71" t="s">
        <v>200</v>
      </c>
      <c r="P22" s="71" t="s">
        <v>380</v>
      </c>
      <c r="Q22" s="71"/>
      <c r="R22" s="64">
        <v>42917</v>
      </c>
      <c r="S22" s="64"/>
      <c r="T22" s="64"/>
      <c r="U22" s="97">
        <f>IF(OR($E$8="N/A",AND(AU22=0,'Cover Sheet'!$B$29="Streamlined Review"),AND(E22="Met",F22&lt;&gt;""),AND(E22="Not met",G22&lt;&gt;""),AND(E22="Unsure",G22&lt;&gt;""),AND(E22="N/A",H22&lt;&gt;""),AND(Y22=TRUE)),1,0)</f>
        <v>0</v>
      </c>
      <c r="W22" s="56" t="b">
        <f t="shared" si="7"/>
        <v>0</v>
      </c>
      <c r="X22" s="126" t="b">
        <f t="shared" si="0"/>
        <v>0</v>
      </c>
      <c r="Y22" s="126" t="b">
        <f t="shared" si="8"/>
        <v>0</v>
      </c>
      <c r="Z22" s="126">
        <f t="shared" si="1"/>
        <v>1</v>
      </c>
      <c r="AA22" s="126">
        <f t="shared" si="2"/>
        <v>0</v>
      </c>
      <c r="AB22" s="126">
        <f t="shared" si="3"/>
        <v>0</v>
      </c>
      <c r="AC22" s="126">
        <f t="shared" si="4"/>
        <v>0</v>
      </c>
      <c r="AD22" s="126">
        <f t="shared" si="5"/>
        <v>0</v>
      </c>
      <c r="AE22" s="126">
        <f t="shared" si="6"/>
        <v>0</v>
      </c>
      <c r="AM22" s="69" t="str">
        <f t="shared" si="9"/>
        <v/>
      </c>
      <c r="AU22">
        <v>0</v>
      </c>
    </row>
    <row r="23" spans="1:47" ht="57" customHeight="1" x14ac:dyDescent="0.25">
      <c r="A23" s="294" t="s">
        <v>585</v>
      </c>
      <c r="B23" s="295" t="s">
        <v>586</v>
      </c>
      <c r="C23" s="295" t="s">
        <v>587</v>
      </c>
      <c r="D23" s="446"/>
      <c r="E23" s="297"/>
      <c r="F23" s="297"/>
      <c r="G23" s="297"/>
      <c r="H23" s="214"/>
      <c r="I23" s="92" t="s">
        <v>168</v>
      </c>
      <c r="J23" s="92" t="s">
        <v>178</v>
      </c>
      <c r="K23" s="92" t="s">
        <v>185</v>
      </c>
      <c r="L23" s="71" t="s">
        <v>190</v>
      </c>
      <c r="M23" s="71" t="s">
        <v>195</v>
      </c>
      <c r="N23" s="71"/>
      <c r="O23" s="71" t="s">
        <v>200</v>
      </c>
      <c r="P23" s="71" t="s">
        <v>380</v>
      </c>
      <c r="Q23" s="71"/>
      <c r="R23" s="64">
        <v>42917</v>
      </c>
      <c r="S23" s="64"/>
      <c r="T23" s="64"/>
      <c r="U23" s="97">
        <f>IF(OR($E$8="N/A",AND(AU23=0,'Cover Sheet'!$B$29="Streamlined Review"),AND(E23="Met",F23&lt;&gt;""),AND(E23="Not met",G23&lt;&gt;""),AND(E23="Unsure",G23&lt;&gt;""),AND(E23="N/A",H23&lt;&gt;""),AND(Y23=TRUE)),1,0)</f>
        <v>0</v>
      </c>
      <c r="W23" s="56" t="b">
        <f t="shared" si="7"/>
        <v>0</v>
      </c>
      <c r="X23" s="126" t="b">
        <f t="shared" si="0"/>
        <v>0</v>
      </c>
      <c r="Y23" s="126" t="b">
        <f t="shared" si="8"/>
        <v>0</v>
      </c>
      <c r="Z23" s="126">
        <f t="shared" si="1"/>
        <v>1</v>
      </c>
      <c r="AA23" s="126">
        <f t="shared" si="2"/>
        <v>0</v>
      </c>
      <c r="AB23" s="126">
        <f t="shared" si="3"/>
        <v>0</v>
      </c>
      <c r="AC23" s="126">
        <f t="shared" si="4"/>
        <v>0</v>
      </c>
      <c r="AD23" s="126">
        <f t="shared" si="5"/>
        <v>0</v>
      </c>
      <c r="AE23" s="126">
        <f t="shared" si="6"/>
        <v>0</v>
      </c>
      <c r="AM23" s="69" t="str">
        <f t="shared" si="9"/>
        <v/>
      </c>
      <c r="AU23">
        <v>0</v>
      </c>
    </row>
    <row r="24" spans="1:47" ht="55.5" customHeight="1" thickBot="1" x14ac:dyDescent="0.3">
      <c r="A24" s="294" t="s">
        <v>588</v>
      </c>
      <c r="B24" s="295" t="s">
        <v>586</v>
      </c>
      <c r="C24" s="295" t="s">
        <v>589</v>
      </c>
      <c r="D24" s="446"/>
      <c r="E24" s="297"/>
      <c r="F24" s="297"/>
      <c r="G24" s="297"/>
      <c r="H24" s="214"/>
      <c r="I24" s="92" t="s">
        <v>168</v>
      </c>
      <c r="J24" s="92" t="s">
        <v>178</v>
      </c>
      <c r="K24" s="92" t="s">
        <v>185</v>
      </c>
      <c r="L24" s="71" t="s">
        <v>190</v>
      </c>
      <c r="M24" s="71" t="s">
        <v>195</v>
      </c>
      <c r="N24" s="71"/>
      <c r="O24" s="71" t="s">
        <v>200</v>
      </c>
      <c r="P24" s="71" t="s">
        <v>380</v>
      </c>
      <c r="Q24" s="71"/>
      <c r="R24" s="64">
        <v>42917</v>
      </c>
      <c r="S24" s="64"/>
      <c r="T24" s="64"/>
      <c r="U24" s="97">
        <f>IF(OR($E$8="N/A",AND(AU24=0,'Cover Sheet'!$B$29="Streamlined Review"),AND(E24="Met",F24&lt;&gt;""),AND(E24="Not met",G24&lt;&gt;""),AND(E24="Unsure",G24&lt;&gt;""),AND(E24="N/A",H24&lt;&gt;""),AND(Y24=TRUE)),1,0)</f>
        <v>0</v>
      </c>
      <c r="W24" s="56" t="b">
        <f t="shared" si="7"/>
        <v>0</v>
      </c>
      <c r="X24" s="126" t="b">
        <f t="shared" si="0"/>
        <v>0</v>
      </c>
      <c r="Y24" s="126" t="b">
        <f t="shared" si="8"/>
        <v>0</v>
      </c>
      <c r="Z24" s="126">
        <f t="shared" si="1"/>
        <v>1</v>
      </c>
      <c r="AA24" s="126">
        <f t="shared" si="2"/>
        <v>0</v>
      </c>
      <c r="AB24" s="126">
        <f t="shared" si="3"/>
        <v>0</v>
      </c>
      <c r="AC24" s="126">
        <f t="shared" si="4"/>
        <v>0</v>
      </c>
      <c r="AD24" s="126">
        <f t="shared" si="5"/>
        <v>0</v>
      </c>
      <c r="AE24" s="126">
        <f t="shared" si="6"/>
        <v>0</v>
      </c>
      <c r="AM24" s="69" t="str">
        <f t="shared" si="9"/>
        <v/>
      </c>
      <c r="AU24">
        <v>0</v>
      </c>
    </row>
    <row r="25" spans="1:47" ht="15.75" thickBot="1" x14ac:dyDescent="0.3">
      <c r="A25" s="450"/>
      <c r="B25" s="451"/>
      <c r="C25" s="452" t="s">
        <v>15</v>
      </c>
      <c r="D25" s="442"/>
      <c r="E25" s="443"/>
      <c r="F25" s="444"/>
      <c r="G25" s="444"/>
      <c r="H25" s="445"/>
      <c r="I25" s="132"/>
      <c r="J25" s="132"/>
      <c r="K25" s="132"/>
      <c r="L25" s="133"/>
      <c r="M25" s="134"/>
      <c r="N25" s="141"/>
      <c r="O25" s="141"/>
      <c r="P25" s="135"/>
      <c r="Q25" s="135"/>
      <c r="R25" s="120"/>
      <c r="S25" s="120"/>
      <c r="T25" s="120"/>
      <c r="U25" s="126"/>
      <c r="Z25" s="126"/>
      <c r="AA25" s="126"/>
      <c r="AB25" s="126"/>
      <c r="AC25" s="126"/>
      <c r="AD25" s="126"/>
      <c r="AE25" s="126"/>
    </row>
    <row r="26" spans="1:47" ht="30" customHeight="1" x14ac:dyDescent="0.25">
      <c r="A26" s="294" t="s">
        <v>590</v>
      </c>
      <c r="B26" s="295" t="s">
        <v>591</v>
      </c>
      <c r="C26" s="295" t="s">
        <v>592</v>
      </c>
      <c r="D26" s="447">
        <v>1</v>
      </c>
      <c r="E26" s="297"/>
      <c r="F26" s="297"/>
      <c r="G26" s="297"/>
      <c r="H26" s="214"/>
      <c r="I26" s="92" t="s">
        <v>168</v>
      </c>
      <c r="J26" s="92" t="s">
        <v>178</v>
      </c>
      <c r="K26" s="92" t="s">
        <v>185</v>
      </c>
      <c r="L26" s="71" t="s">
        <v>190</v>
      </c>
      <c r="M26" s="71" t="s">
        <v>195</v>
      </c>
      <c r="N26" s="71"/>
      <c r="O26" s="71" t="s">
        <v>200</v>
      </c>
      <c r="P26" s="71" t="s">
        <v>380</v>
      </c>
      <c r="Q26" s="71"/>
      <c r="R26" s="64">
        <v>42917</v>
      </c>
      <c r="S26" s="64"/>
      <c r="T26" s="64"/>
      <c r="U26" s="97">
        <f>IF(OR($E$25="N/A",AND(AU26=0,'Cover Sheet'!$B$29="Streamlined Review"),AND(E26="Met",F26&lt;&gt;""),AND(E26="Not met",G26&lt;&gt;""),AND(E26="Unsure",G26&lt;&gt;""),AND(E26="N/A",H26&lt;&gt;""),AND(Y26=TRUE)),1,0)</f>
        <v>0</v>
      </c>
      <c r="W26" s="56" t="b">
        <f t="shared" ref="W26:W65" si="10">IF(OR(AND($H$6="Medicaid",MID($A26,1,FIND(".",$A26,1)-1)="II"),AND($H$6="CHIP",MID($A26,1,FIND(".",$A26,1)-1)="I")),TRUE,FALSE)</f>
        <v>0</v>
      </c>
      <c r="X26" s="126" t="b">
        <f t="shared" ref="X26:X65" si="11">IF(OR(Y26=TRUE),TRUE,FALSE)</f>
        <v>0</v>
      </c>
      <c r="Y26" s="126" t="b">
        <f>IF(SUM(Z26:AE26)&lt;1,TRUE,FALSE)</f>
        <v>0</v>
      </c>
      <c r="Z26" s="126">
        <f t="shared" ref="Z26:Z65" si="12">IF($Z$2=I26,1,0)</f>
        <v>1</v>
      </c>
      <c r="AA26" s="126">
        <f t="shared" ref="AA26:AA65" si="13">IF($AA$2=J26,1,0)</f>
        <v>0</v>
      </c>
      <c r="AB26" s="126">
        <f t="shared" ref="AB26:AB65" si="14">IF($AB$2=K26,1,0)</f>
        <v>0</v>
      </c>
      <c r="AC26" s="126">
        <f t="shared" ref="AC26:AC65" si="15">IF($AC$2=L26,1,0)</f>
        <v>0</v>
      </c>
      <c r="AD26" s="126">
        <f t="shared" ref="AD26:AD65" si="16">IF($AD$2=M26,1,0)</f>
        <v>0</v>
      </c>
      <c r="AE26" s="126">
        <f t="shared" ref="AE26:AE65" si="17">IF($AE$2=O26,1,0)</f>
        <v>0</v>
      </c>
      <c r="AM26" s="69" t="str">
        <f t="shared" si="9"/>
        <v/>
      </c>
      <c r="AU26">
        <v>0</v>
      </c>
    </row>
    <row r="27" spans="1:47" ht="45" customHeight="1" x14ac:dyDescent="0.25">
      <c r="A27" s="294" t="s">
        <v>593</v>
      </c>
      <c r="B27" s="295" t="s">
        <v>594</v>
      </c>
      <c r="C27" s="295" t="s">
        <v>595</v>
      </c>
      <c r="D27" s="447">
        <v>1</v>
      </c>
      <c r="E27" s="297"/>
      <c r="F27" s="297"/>
      <c r="G27" s="297"/>
      <c r="H27" s="214"/>
      <c r="I27" s="92" t="s">
        <v>168</v>
      </c>
      <c r="J27" s="92" t="s">
        <v>178</v>
      </c>
      <c r="K27" s="92" t="s">
        <v>185</v>
      </c>
      <c r="L27" s="71" t="s">
        <v>190</v>
      </c>
      <c r="M27" s="71" t="s">
        <v>195</v>
      </c>
      <c r="N27" s="71"/>
      <c r="O27" s="71" t="s">
        <v>200</v>
      </c>
      <c r="P27" s="71" t="s">
        <v>380</v>
      </c>
      <c r="Q27" s="71"/>
      <c r="R27" s="64">
        <v>42917</v>
      </c>
      <c r="S27" s="64"/>
      <c r="T27" s="64"/>
      <c r="U27" s="97">
        <f>IF(OR($E$25="N/A",AND(AU27=0,'Cover Sheet'!$B$29="Streamlined Review"),AND(E27="Met",F27&lt;&gt;""),AND(E27="Not met",G27&lt;&gt;""),AND(E27="Unsure",G27&lt;&gt;""),AND(E27="N/A",H27&lt;&gt;""),AND(Y27=TRUE)),1,0)</f>
        <v>0</v>
      </c>
      <c r="W27" s="56" t="b">
        <f t="shared" si="10"/>
        <v>0</v>
      </c>
      <c r="X27" s="126" t="b">
        <f t="shared" si="11"/>
        <v>0</v>
      </c>
      <c r="Y27" s="126" t="b">
        <f t="shared" ref="Y27:Y65" si="18">IF(SUM(Z27:AE27)&lt;1,TRUE,FALSE)</f>
        <v>0</v>
      </c>
      <c r="Z27" s="126">
        <f t="shared" si="12"/>
        <v>1</v>
      </c>
      <c r="AA27" s="126">
        <f t="shared" si="13"/>
        <v>0</v>
      </c>
      <c r="AB27" s="126">
        <f t="shared" si="14"/>
        <v>0</v>
      </c>
      <c r="AC27" s="126">
        <f t="shared" si="15"/>
        <v>0</v>
      </c>
      <c r="AD27" s="126">
        <f t="shared" si="16"/>
        <v>0</v>
      </c>
      <c r="AE27" s="126">
        <f t="shared" si="17"/>
        <v>0</v>
      </c>
      <c r="AM27" s="69" t="str">
        <f t="shared" si="9"/>
        <v/>
      </c>
      <c r="AU27">
        <v>0</v>
      </c>
    </row>
    <row r="28" spans="1:47" ht="32.25" customHeight="1" x14ac:dyDescent="0.25">
      <c r="A28" s="294" t="s">
        <v>596</v>
      </c>
      <c r="B28" s="295" t="s">
        <v>597</v>
      </c>
      <c r="C28" s="295" t="s">
        <v>598</v>
      </c>
      <c r="D28" s="447">
        <v>1</v>
      </c>
      <c r="E28" s="297"/>
      <c r="F28" s="297"/>
      <c r="G28" s="297"/>
      <c r="H28" s="214"/>
      <c r="I28" s="92" t="s">
        <v>168</v>
      </c>
      <c r="J28" s="92" t="s">
        <v>178</v>
      </c>
      <c r="K28" s="92" t="s">
        <v>185</v>
      </c>
      <c r="L28" s="71" t="s">
        <v>190</v>
      </c>
      <c r="M28" s="71" t="s">
        <v>195</v>
      </c>
      <c r="N28" s="71"/>
      <c r="O28" s="71" t="s">
        <v>200</v>
      </c>
      <c r="P28" s="71" t="s">
        <v>380</v>
      </c>
      <c r="Q28" s="71"/>
      <c r="R28" s="64">
        <v>42917</v>
      </c>
      <c r="S28" s="64"/>
      <c r="T28" s="64"/>
      <c r="U28" s="97">
        <f>IF(OR($E$25="N/A",AND(AU28=0,'Cover Sheet'!$B$29="Streamlined Review"),AND(E28="Met",F28&lt;&gt;""),AND(E28="Not met",G28&lt;&gt;""),AND(E28="Unsure",G28&lt;&gt;""),AND(E28="N/A",H28&lt;&gt;""),AND(Y28=TRUE)),1,0)</f>
        <v>0</v>
      </c>
      <c r="W28" s="56" t="b">
        <f t="shared" si="10"/>
        <v>0</v>
      </c>
      <c r="X28" s="126" t="b">
        <f t="shared" si="11"/>
        <v>0</v>
      </c>
      <c r="Y28" s="126" t="b">
        <f t="shared" si="18"/>
        <v>0</v>
      </c>
      <c r="Z28" s="126">
        <f t="shared" si="12"/>
        <v>1</v>
      </c>
      <c r="AA28" s="126">
        <f t="shared" si="13"/>
        <v>0</v>
      </c>
      <c r="AB28" s="126">
        <f t="shared" si="14"/>
        <v>0</v>
      </c>
      <c r="AC28" s="126">
        <f t="shared" si="15"/>
        <v>0</v>
      </c>
      <c r="AD28" s="126">
        <f t="shared" si="16"/>
        <v>0</v>
      </c>
      <c r="AE28" s="126">
        <f t="shared" si="17"/>
        <v>0</v>
      </c>
      <c r="AM28" s="69" t="str">
        <f t="shared" si="9"/>
        <v/>
      </c>
      <c r="AU28">
        <v>0</v>
      </c>
    </row>
    <row r="29" spans="1:47" ht="70.5" customHeight="1" x14ac:dyDescent="0.25">
      <c r="A29" s="294" t="s">
        <v>599</v>
      </c>
      <c r="B29" s="295" t="s">
        <v>600</v>
      </c>
      <c r="C29" s="295" t="s">
        <v>601</v>
      </c>
      <c r="D29" s="447">
        <v>1</v>
      </c>
      <c r="E29" s="297"/>
      <c r="F29" s="297"/>
      <c r="G29" s="297"/>
      <c r="H29" s="214"/>
      <c r="I29" s="92" t="s">
        <v>168</v>
      </c>
      <c r="J29" s="92" t="s">
        <v>178</v>
      </c>
      <c r="K29" s="92" t="s">
        <v>185</v>
      </c>
      <c r="L29" s="71" t="s">
        <v>190</v>
      </c>
      <c r="M29" s="71" t="s">
        <v>195</v>
      </c>
      <c r="N29" s="71"/>
      <c r="O29" s="71" t="s">
        <v>200</v>
      </c>
      <c r="P29" s="71" t="s">
        <v>380</v>
      </c>
      <c r="Q29" s="71"/>
      <c r="R29" s="64">
        <v>42917</v>
      </c>
      <c r="S29" s="64"/>
      <c r="T29" s="64"/>
      <c r="U29" s="97">
        <f>IF(OR($E$25="N/A",AND(AU29=0,'Cover Sheet'!$B$29="Streamlined Review"),AND(E29="Met",F29&lt;&gt;""),AND(E29="Not met",G29&lt;&gt;""),AND(E29="Unsure",G29&lt;&gt;""),AND(E29="N/A",H29&lt;&gt;""),AND(Y29=TRUE)),1,0)</f>
        <v>0</v>
      </c>
      <c r="W29" s="56" t="b">
        <f t="shared" si="10"/>
        <v>0</v>
      </c>
      <c r="X29" s="126" t="b">
        <f t="shared" si="11"/>
        <v>0</v>
      </c>
      <c r="Y29" s="126" t="b">
        <f t="shared" si="18"/>
        <v>0</v>
      </c>
      <c r="Z29" s="126">
        <f t="shared" si="12"/>
        <v>1</v>
      </c>
      <c r="AA29" s="126">
        <f t="shared" si="13"/>
        <v>0</v>
      </c>
      <c r="AB29" s="126">
        <f t="shared" si="14"/>
        <v>0</v>
      </c>
      <c r="AC29" s="126">
        <f t="shared" si="15"/>
        <v>0</v>
      </c>
      <c r="AD29" s="126">
        <f t="shared" si="16"/>
        <v>0</v>
      </c>
      <c r="AE29" s="126">
        <f t="shared" si="17"/>
        <v>0</v>
      </c>
      <c r="AM29" s="69" t="str">
        <f t="shared" si="9"/>
        <v/>
      </c>
      <c r="AU29">
        <v>0</v>
      </c>
    </row>
    <row r="30" spans="1:47" ht="44.25" customHeight="1" x14ac:dyDescent="0.25">
      <c r="A30" s="294" t="s">
        <v>602</v>
      </c>
      <c r="B30" s="295" t="s">
        <v>603</v>
      </c>
      <c r="C30" s="295" t="s">
        <v>604</v>
      </c>
      <c r="D30" s="447">
        <v>1</v>
      </c>
      <c r="E30" s="297"/>
      <c r="F30" s="297"/>
      <c r="G30" s="297"/>
      <c r="H30" s="214"/>
      <c r="I30" s="92" t="s">
        <v>168</v>
      </c>
      <c r="J30" s="92" t="s">
        <v>178</v>
      </c>
      <c r="K30" s="92" t="s">
        <v>185</v>
      </c>
      <c r="L30" s="71" t="s">
        <v>190</v>
      </c>
      <c r="M30" s="71" t="s">
        <v>195</v>
      </c>
      <c r="N30" s="71"/>
      <c r="O30" s="71" t="s">
        <v>200</v>
      </c>
      <c r="P30" s="71" t="s">
        <v>380</v>
      </c>
      <c r="Q30" s="71"/>
      <c r="R30" s="64">
        <v>42917</v>
      </c>
      <c r="S30" s="64"/>
      <c r="T30" s="64"/>
      <c r="U30" s="97">
        <f>IF(OR($E$25="N/A",AND(AU30=0,'Cover Sheet'!$B$29="Streamlined Review"),AND(E30="Met",F30&lt;&gt;""),AND(E30="Not met",G30&lt;&gt;""),AND(E30="Unsure",G30&lt;&gt;""),AND(E30="N/A",H30&lt;&gt;""),AND(Y30=TRUE)),1,0)</f>
        <v>0</v>
      </c>
      <c r="W30" s="56" t="b">
        <f t="shared" si="10"/>
        <v>0</v>
      </c>
      <c r="X30" s="126" t="b">
        <f t="shared" si="11"/>
        <v>0</v>
      </c>
      <c r="Y30" s="126" t="b">
        <f t="shared" si="18"/>
        <v>0</v>
      </c>
      <c r="Z30" s="126">
        <f t="shared" si="12"/>
        <v>1</v>
      </c>
      <c r="AA30" s="126">
        <f t="shared" si="13"/>
        <v>0</v>
      </c>
      <c r="AB30" s="126">
        <f t="shared" si="14"/>
        <v>0</v>
      </c>
      <c r="AC30" s="126">
        <f t="shared" si="15"/>
        <v>0</v>
      </c>
      <c r="AD30" s="126">
        <f t="shared" si="16"/>
        <v>0</v>
      </c>
      <c r="AE30" s="126">
        <f t="shared" si="17"/>
        <v>0</v>
      </c>
      <c r="AM30" s="69" t="str">
        <f t="shared" si="9"/>
        <v/>
      </c>
      <c r="AU30">
        <v>0</v>
      </c>
    </row>
    <row r="31" spans="1:47" ht="42.75" customHeight="1" x14ac:dyDescent="0.25">
      <c r="A31" s="294" t="s">
        <v>605</v>
      </c>
      <c r="B31" s="295" t="s">
        <v>603</v>
      </c>
      <c r="C31" s="295" t="s">
        <v>606</v>
      </c>
      <c r="D31" s="447">
        <v>1</v>
      </c>
      <c r="E31" s="297"/>
      <c r="F31" s="297"/>
      <c r="G31" s="297"/>
      <c r="H31" s="214"/>
      <c r="I31" s="92" t="s">
        <v>168</v>
      </c>
      <c r="J31" s="92" t="s">
        <v>178</v>
      </c>
      <c r="K31" s="92" t="s">
        <v>185</v>
      </c>
      <c r="L31" s="71" t="s">
        <v>190</v>
      </c>
      <c r="M31" s="71" t="s">
        <v>195</v>
      </c>
      <c r="N31" s="71"/>
      <c r="O31" s="71" t="s">
        <v>200</v>
      </c>
      <c r="P31" s="71" t="s">
        <v>380</v>
      </c>
      <c r="Q31" s="71"/>
      <c r="R31" s="64">
        <v>42917</v>
      </c>
      <c r="S31" s="64"/>
      <c r="T31" s="64"/>
      <c r="U31" s="97">
        <f>IF(OR($E$25="N/A",AND(AU31=0,'Cover Sheet'!$B$29="Streamlined Review"),AND(E31="Met",F31&lt;&gt;""),AND(E31="Not met",G31&lt;&gt;""),AND(E31="Unsure",G31&lt;&gt;""),AND(E31="N/A",H31&lt;&gt;""),AND(Y31=TRUE)),1,0)</f>
        <v>0</v>
      </c>
      <c r="W31" s="56" t="b">
        <f t="shared" si="10"/>
        <v>0</v>
      </c>
      <c r="X31" s="126" t="b">
        <f t="shared" si="11"/>
        <v>0</v>
      </c>
      <c r="Y31" s="126" t="b">
        <f t="shared" si="18"/>
        <v>0</v>
      </c>
      <c r="Z31" s="126">
        <f t="shared" si="12"/>
        <v>1</v>
      </c>
      <c r="AA31" s="126">
        <f t="shared" si="13"/>
        <v>0</v>
      </c>
      <c r="AB31" s="126">
        <f t="shared" si="14"/>
        <v>0</v>
      </c>
      <c r="AC31" s="126">
        <f t="shared" si="15"/>
        <v>0</v>
      </c>
      <c r="AD31" s="126">
        <f t="shared" si="16"/>
        <v>0</v>
      </c>
      <c r="AE31" s="126">
        <f t="shared" si="17"/>
        <v>0</v>
      </c>
      <c r="AM31" s="69" t="str">
        <f t="shared" si="9"/>
        <v/>
      </c>
      <c r="AU31">
        <v>0</v>
      </c>
    </row>
    <row r="32" spans="1:47" ht="42" customHeight="1" x14ac:dyDescent="0.25">
      <c r="A32" s="294" t="s">
        <v>607</v>
      </c>
      <c r="B32" s="295" t="s">
        <v>603</v>
      </c>
      <c r="C32" s="295" t="s">
        <v>608</v>
      </c>
      <c r="D32" s="447">
        <v>1</v>
      </c>
      <c r="E32" s="297"/>
      <c r="F32" s="297"/>
      <c r="G32" s="297"/>
      <c r="H32" s="214"/>
      <c r="I32" s="92" t="s">
        <v>168</v>
      </c>
      <c r="J32" s="92" t="s">
        <v>178</v>
      </c>
      <c r="K32" s="92" t="s">
        <v>185</v>
      </c>
      <c r="L32" s="71" t="s">
        <v>190</v>
      </c>
      <c r="M32" s="71" t="s">
        <v>195</v>
      </c>
      <c r="N32" s="71"/>
      <c r="O32" s="71" t="s">
        <v>200</v>
      </c>
      <c r="P32" s="71" t="s">
        <v>380</v>
      </c>
      <c r="Q32" s="71"/>
      <c r="R32" s="64">
        <v>42917</v>
      </c>
      <c r="S32" s="64"/>
      <c r="T32" s="64"/>
      <c r="U32" s="97">
        <f>IF(OR($E$25="N/A",AND(AU32=0,'Cover Sheet'!$B$29="Streamlined Review"),AND(E32="Met",F32&lt;&gt;""),AND(E32="Not met",G32&lt;&gt;""),AND(E32="Unsure",G32&lt;&gt;""),AND(E32="N/A",H32&lt;&gt;""),AND(Y32=TRUE)),1,0)</f>
        <v>0</v>
      </c>
      <c r="W32" s="56" t="b">
        <f t="shared" si="10"/>
        <v>0</v>
      </c>
      <c r="X32" s="126" t="b">
        <f t="shared" si="11"/>
        <v>0</v>
      </c>
      <c r="Y32" s="126" t="b">
        <f t="shared" si="18"/>
        <v>0</v>
      </c>
      <c r="Z32" s="126">
        <f t="shared" si="12"/>
        <v>1</v>
      </c>
      <c r="AA32" s="126">
        <f t="shared" si="13"/>
        <v>0</v>
      </c>
      <c r="AB32" s="126">
        <f t="shared" si="14"/>
        <v>0</v>
      </c>
      <c r="AC32" s="126">
        <f t="shared" si="15"/>
        <v>0</v>
      </c>
      <c r="AD32" s="126">
        <f t="shared" si="16"/>
        <v>0</v>
      </c>
      <c r="AE32" s="126">
        <f t="shared" si="17"/>
        <v>0</v>
      </c>
      <c r="AM32" s="69" t="str">
        <f t="shared" si="9"/>
        <v/>
      </c>
      <c r="AU32">
        <v>0</v>
      </c>
    </row>
    <row r="33" spans="1:47" ht="84.75" customHeight="1" x14ac:dyDescent="0.25">
      <c r="A33" s="294" t="s">
        <v>609</v>
      </c>
      <c r="B33" s="295" t="s">
        <v>610</v>
      </c>
      <c r="C33" s="295" t="s">
        <v>611</v>
      </c>
      <c r="D33" s="470">
        <v>1</v>
      </c>
      <c r="E33" s="297"/>
      <c r="F33" s="297"/>
      <c r="G33" s="297"/>
      <c r="H33" s="214"/>
      <c r="I33" s="92" t="s">
        <v>168</v>
      </c>
      <c r="J33" s="92" t="s">
        <v>178</v>
      </c>
      <c r="K33" s="92" t="s">
        <v>185</v>
      </c>
      <c r="L33" s="71" t="s">
        <v>190</v>
      </c>
      <c r="M33" s="71"/>
      <c r="N33" s="71"/>
      <c r="O33" s="71" t="s">
        <v>200</v>
      </c>
      <c r="P33" s="71" t="s">
        <v>380</v>
      </c>
      <c r="Q33" s="71"/>
      <c r="R33" s="64">
        <v>42917</v>
      </c>
      <c r="S33" s="64"/>
      <c r="T33" s="64"/>
      <c r="U33" s="97">
        <f>IF(OR($E$25="N/A",AND(AU33=0,'Cover Sheet'!$B$29="Streamlined Review"),AND(E33="Met",F33&lt;&gt;""),AND(E33="Not met",G33&lt;&gt;""),AND(E33="Unsure",G33&lt;&gt;""),AND(E33="N/A",H33&lt;&gt;""),AND(Y33=TRUE)),1,0)</f>
        <v>0</v>
      </c>
      <c r="W33" s="56" t="b">
        <f t="shared" si="10"/>
        <v>0</v>
      </c>
      <c r="X33" s="126" t="b">
        <f t="shared" si="11"/>
        <v>0</v>
      </c>
      <c r="Y33" s="126" t="b">
        <f t="shared" si="18"/>
        <v>0</v>
      </c>
      <c r="Z33" s="126">
        <f t="shared" si="12"/>
        <v>1</v>
      </c>
      <c r="AA33" s="126">
        <f t="shared" si="13"/>
        <v>0</v>
      </c>
      <c r="AB33" s="126">
        <f t="shared" si="14"/>
        <v>0</v>
      </c>
      <c r="AC33" s="126">
        <f t="shared" si="15"/>
        <v>0</v>
      </c>
      <c r="AD33" s="126">
        <f t="shared" si="16"/>
        <v>0</v>
      </c>
      <c r="AE33" s="126">
        <f t="shared" si="17"/>
        <v>0</v>
      </c>
      <c r="AM33" s="69" t="str">
        <f t="shared" si="9"/>
        <v/>
      </c>
      <c r="AU33">
        <v>1</v>
      </c>
    </row>
    <row r="34" spans="1:47" ht="51" x14ac:dyDescent="0.25">
      <c r="A34" s="294" t="s">
        <v>612</v>
      </c>
      <c r="B34" s="295" t="s">
        <v>613</v>
      </c>
      <c r="C34" s="295" t="s">
        <v>614</v>
      </c>
      <c r="D34" s="470">
        <v>1</v>
      </c>
      <c r="E34" s="297"/>
      <c r="F34" s="297"/>
      <c r="G34" s="297"/>
      <c r="H34" s="214"/>
      <c r="I34" s="92" t="s">
        <v>168</v>
      </c>
      <c r="J34" s="92" t="s">
        <v>178</v>
      </c>
      <c r="K34" s="92" t="s">
        <v>185</v>
      </c>
      <c r="L34" s="71" t="s">
        <v>190</v>
      </c>
      <c r="M34" s="71" t="s">
        <v>195</v>
      </c>
      <c r="N34" s="71"/>
      <c r="O34" s="71" t="s">
        <v>200</v>
      </c>
      <c r="P34" s="71" t="s">
        <v>380</v>
      </c>
      <c r="Q34" s="71"/>
      <c r="R34" s="64">
        <v>42917</v>
      </c>
      <c r="S34" s="64"/>
      <c r="T34" s="64"/>
      <c r="U34" s="97">
        <f>IF(OR($E$25="N/A",AND(AU34=0,'Cover Sheet'!$B$29="Streamlined Review"),AND(E34="Met",F34&lt;&gt;""),AND(E34="Not met",G34&lt;&gt;""),AND(E34="Unsure",G34&lt;&gt;""),AND(E34="N/A",H34&lt;&gt;""),AND(Y34=TRUE)),1,0)</f>
        <v>0</v>
      </c>
      <c r="W34" s="56" t="b">
        <f t="shared" si="10"/>
        <v>0</v>
      </c>
      <c r="X34" s="126" t="b">
        <f t="shared" si="11"/>
        <v>0</v>
      </c>
      <c r="Y34" s="126" t="b">
        <f t="shared" si="18"/>
        <v>0</v>
      </c>
      <c r="Z34" s="126">
        <f t="shared" si="12"/>
        <v>1</v>
      </c>
      <c r="AA34" s="126">
        <f t="shared" si="13"/>
        <v>0</v>
      </c>
      <c r="AB34" s="126">
        <f t="shared" si="14"/>
        <v>0</v>
      </c>
      <c r="AC34" s="126">
        <f t="shared" si="15"/>
        <v>0</v>
      </c>
      <c r="AD34" s="126">
        <f t="shared" si="16"/>
        <v>0</v>
      </c>
      <c r="AE34" s="126">
        <f t="shared" si="17"/>
        <v>0</v>
      </c>
      <c r="AM34" s="69" t="str">
        <f t="shared" si="9"/>
        <v/>
      </c>
      <c r="AU34">
        <v>1</v>
      </c>
    </row>
    <row r="35" spans="1:47" ht="55.5" customHeight="1" x14ac:dyDescent="0.25">
      <c r="A35" s="294" t="s">
        <v>615</v>
      </c>
      <c r="B35" s="295" t="s">
        <v>616</v>
      </c>
      <c r="C35" s="295" t="s">
        <v>617</v>
      </c>
      <c r="D35" s="447">
        <v>1</v>
      </c>
      <c r="E35" s="297"/>
      <c r="F35" s="297"/>
      <c r="G35" s="297"/>
      <c r="H35" s="214"/>
      <c r="I35" s="92" t="s">
        <v>168</v>
      </c>
      <c r="J35" s="92" t="s">
        <v>178</v>
      </c>
      <c r="K35" s="92" t="s">
        <v>185</v>
      </c>
      <c r="L35" s="71" t="s">
        <v>190</v>
      </c>
      <c r="M35" s="71" t="s">
        <v>195</v>
      </c>
      <c r="N35" s="71"/>
      <c r="O35" s="71" t="s">
        <v>200</v>
      </c>
      <c r="P35" s="71" t="s">
        <v>380</v>
      </c>
      <c r="Q35" s="71"/>
      <c r="R35" s="64">
        <v>42917</v>
      </c>
      <c r="S35" s="64"/>
      <c r="T35" s="64"/>
      <c r="U35" s="97">
        <f>IF(OR($E$25="N/A",AND(AU35=0,'Cover Sheet'!$B$29="Streamlined Review"),AND(E35="Met",F35&lt;&gt;""),AND(E35="Not met",G35&lt;&gt;""),AND(E35="Unsure",G35&lt;&gt;""),AND(E35="N/A",H35&lt;&gt;""),AND(Y35=TRUE)),1,0)</f>
        <v>0</v>
      </c>
      <c r="W35" s="56" t="b">
        <f t="shared" si="10"/>
        <v>0</v>
      </c>
      <c r="X35" s="126" t="b">
        <f t="shared" si="11"/>
        <v>0</v>
      </c>
      <c r="Y35" s="126" t="b">
        <f t="shared" si="18"/>
        <v>0</v>
      </c>
      <c r="Z35" s="126">
        <f t="shared" si="12"/>
        <v>1</v>
      </c>
      <c r="AA35" s="126">
        <f t="shared" si="13"/>
        <v>0</v>
      </c>
      <c r="AB35" s="126">
        <f t="shared" si="14"/>
        <v>0</v>
      </c>
      <c r="AC35" s="126">
        <f t="shared" si="15"/>
        <v>0</v>
      </c>
      <c r="AD35" s="126">
        <f t="shared" si="16"/>
        <v>0</v>
      </c>
      <c r="AE35" s="126">
        <f t="shared" si="17"/>
        <v>0</v>
      </c>
      <c r="AM35" s="69" t="str">
        <f t="shared" si="9"/>
        <v/>
      </c>
      <c r="AU35">
        <v>0</v>
      </c>
    </row>
    <row r="36" spans="1:47" ht="28.5" customHeight="1" x14ac:dyDescent="0.25">
      <c r="A36" s="294" t="s">
        <v>618</v>
      </c>
      <c r="B36" s="295" t="s">
        <v>619</v>
      </c>
      <c r="C36" s="295" t="s">
        <v>620</v>
      </c>
      <c r="D36" s="447" t="s">
        <v>621</v>
      </c>
      <c r="E36" s="297"/>
      <c r="F36" s="297"/>
      <c r="G36" s="297"/>
      <c r="H36" s="214"/>
      <c r="I36" s="92" t="s">
        <v>168</v>
      </c>
      <c r="J36" s="92" t="s">
        <v>178</v>
      </c>
      <c r="K36" s="92" t="s">
        <v>185</v>
      </c>
      <c r="L36" s="71" t="s">
        <v>190</v>
      </c>
      <c r="M36" s="71" t="s">
        <v>195</v>
      </c>
      <c r="N36" s="71"/>
      <c r="O36" s="71" t="s">
        <v>200</v>
      </c>
      <c r="P36" s="71" t="s">
        <v>380</v>
      </c>
      <c r="Q36" s="71"/>
      <c r="R36" s="64">
        <v>42917</v>
      </c>
      <c r="S36" s="64"/>
      <c r="T36" s="64"/>
      <c r="U36" s="97">
        <f>IF(OR($E$25="N/A",AND(AU36=0,'Cover Sheet'!$B$29="Streamlined Review"),AND(E36="Met",F36&lt;&gt;""),AND(E36="Not met",G36&lt;&gt;""),AND(E36="Unsure",G36&lt;&gt;""),AND(E36="N/A",H36&lt;&gt;""),AND(Y36=TRUE)),1,0)</f>
        <v>0</v>
      </c>
      <c r="W36" s="56" t="b">
        <f t="shared" si="10"/>
        <v>0</v>
      </c>
      <c r="X36" s="126" t="b">
        <f t="shared" si="11"/>
        <v>0</v>
      </c>
      <c r="Y36" s="126" t="b">
        <f t="shared" si="18"/>
        <v>0</v>
      </c>
      <c r="Z36" s="126">
        <f t="shared" si="12"/>
        <v>1</v>
      </c>
      <c r="AA36" s="126">
        <f t="shared" si="13"/>
        <v>0</v>
      </c>
      <c r="AB36" s="126">
        <f t="shared" si="14"/>
        <v>0</v>
      </c>
      <c r="AC36" s="126">
        <f t="shared" si="15"/>
        <v>0</v>
      </c>
      <c r="AD36" s="126">
        <f t="shared" si="16"/>
        <v>0</v>
      </c>
      <c r="AE36" s="126">
        <f t="shared" si="17"/>
        <v>0</v>
      </c>
      <c r="AM36" s="69" t="str">
        <f t="shared" si="9"/>
        <v/>
      </c>
      <c r="AU36">
        <v>0</v>
      </c>
    </row>
    <row r="37" spans="1:47" ht="28.5" customHeight="1" x14ac:dyDescent="0.25">
      <c r="A37" s="294" t="s">
        <v>622</v>
      </c>
      <c r="B37" s="295" t="s">
        <v>619</v>
      </c>
      <c r="C37" s="295" t="s">
        <v>623</v>
      </c>
      <c r="D37" s="447" t="s">
        <v>621</v>
      </c>
      <c r="E37" s="297"/>
      <c r="F37" s="297"/>
      <c r="G37" s="297"/>
      <c r="H37" s="214"/>
      <c r="I37" s="92" t="s">
        <v>168</v>
      </c>
      <c r="J37" s="92" t="s">
        <v>178</v>
      </c>
      <c r="K37" s="92" t="s">
        <v>185</v>
      </c>
      <c r="L37" s="71" t="s">
        <v>190</v>
      </c>
      <c r="M37" s="71"/>
      <c r="N37" s="71"/>
      <c r="O37" s="71" t="s">
        <v>200</v>
      </c>
      <c r="P37" s="71" t="s">
        <v>380</v>
      </c>
      <c r="Q37" s="71"/>
      <c r="R37" s="64">
        <v>42917</v>
      </c>
      <c r="S37" s="64"/>
      <c r="T37" s="64"/>
      <c r="U37" s="97">
        <f>IF(OR($E$25="N/A",AND(AU37=0,'Cover Sheet'!$B$29="Streamlined Review"),AND(E37="Met",F37&lt;&gt;""),AND(E37="Not met",G37&lt;&gt;""),AND(E37="Unsure",G37&lt;&gt;""),AND(E37="N/A",H37&lt;&gt;""),AND(Y37=TRUE)),1,0)</f>
        <v>0</v>
      </c>
      <c r="W37" s="56" t="b">
        <f t="shared" si="10"/>
        <v>0</v>
      </c>
      <c r="X37" s="126" t="b">
        <f t="shared" si="11"/>
        <v>0</v>
      </c>
      <c r="Y37" s="126" t="b">
        <f t="shared" si="18"/>
        <v>0</v>
      </c>
      <c r="Z37" s="126">
        <f t="shared" si="12"/>
        <v>1</v>
      </c>
      <c r="AA37" s="126">
        <f t="shared" si="13"/>
        <v>0</v>
      </c>
      <c r="AB37" s="126">
        <f t="shared" si="14"/>
        <v>0</v>
      </c>
      <c r="AC37" s="126">
        <f t="shared" si="15"/>
        <v>0</v>
      </c>
      <c r="AD37" s="126">
        <f t="shared" si="16"/>
        <v>0</v>
      </c>
      <c r="AE37" s="126">
        <f t="shared" si="17"/>
        <v>0</v>
      </c>
      <c r="AM37" s="69" t="str">
        <f t="shared" si="9"/>
        <v/>
      </c>
      <c r="AU37">
        <v>0</v>
      </c>
    </row>
    <row r="38" spans="1:47" ht="29.25" customHeight="1" x14ac:dyDescent="0.25">
      <c r="A38" s="294" t="s">
        <v>624</v>
      </c>
      <c r="B38" s="295" t="s">
        <v>619</v>
      </c>
      <c r="C38" s="295" t="s">
        <v>625</v>
      </c>
      <c r="D38" s="447" t="s">
        <v>621</v>
      </c>
      <c r="E38" s="297"/>
      <c r="F38" s="297"/>
      <c r="G38" s="297"/>
      <c r="H38" s="214"/>
      <c r="I38" s="92" t="s">
        <v>168</v>
      </c>
      <c r="J38" s="92" t="s">
        <v>178</v>
      </c>
      <c r="K38" s="92" t="s">
        <v>185</v>
      </c>
      <c r="L38" s="71" t="s">
        <v>190</v>
      </c>
      <c r="M38" s="71"/>
      <c r="N38" s="71"/>
      <c r="O38" s="71" t="s">
        <v>200</v>
      </c>
      <c r="P38" s="71" t="s">
        <v>380</v>
      </c>
      <c r="Q38" s="71"/>
      <c r="R38" s="64">
        <v>42917</v>
      </c>
      <c r="S38" s="64"/>
      <c r="T38" s="64"/>
      <c r="U38" s="97">
        <f>IF(OR($E$25="N/A",AND(AU38=0,'Cover Sheet'!$B$29="Streamlined Review"),AND(E38="Met",F38&lt;&gt;""),AND(E38="Not met",G38&lt;&gt;""),AND(E38="Unsure",G38&lt;&gt;""),AND(E38="N/A",H38&lt;&gt;""),AND(Y38=TRUE)),1,0)</f>
        <v>0</v>
      </c>
      <c r="W38" s="56" t="b">
        <f t="shared" si="10"/>
        <v>0</v>
      </c>
      <c r="X38" s="126" t="b">
        <f t="shared" si="11"/>
        <v>0</v>
      </c>
      <c r="Y38" s="126" t="b">
        <f t="shared" si="18"/>
        <v>0</v>
      </c>
      <c r="Z38" s="126">
        <f t="shared" si="12"/>
        <v>1</v>
      </c>
      <c r="AA38" s="126">
        <f t="shared" si="13"/>
        <v>0</v>
      </c>
      <c r="AB38" s="126">
        <f t="shared" si="14"/>
        <v>0</v>
      </c>
      <c r="AC38" s="126">
        <f t="shared" si="15"/>
        <v>0</v>
      </c>
      <c r="AD38" s="126">
        <f t="shared" si="16"/>
        <v>0</v>
      </c>
      <c r="AE38" s="126">
        <f t="shared" si="17"/>
        <v>0</v>
      </c>
      <c r="AM38" s="69" t="str">
        <f t="shared" si="9"/>
        <v/>
      </c>
      <c r="AU38">
        <v>0</v>
      </c>
    </row>
    <row r="39" spans="1:47" ht="27.75" customHeight="1" x14ac:dyDescent="0.25">
      <c r="A39" s="294" t="s">
        <v>626</v>
      </c>
      <c r="B39" s="295" t="s">
        <v>619</v>
      </c>
      <c r="C39" s="295" t="s">
        <v>627</v>
      </c>
      <c r="D39" s="447" t="s">
        <v>621</v>
      </c>
      <c r="E39" s="297"/>
      <c r="F39" s="297"/>
      <c r="G39" s="297"/>
      <c r="H39" s="214"/>
      <c r="I39" s="92" t="s">
        <v>168</v>
      </c>
      <c r="J39" s="92" t="s">
        <v>178</v>
      </c>
      <c r="K39" s="92" t="s">
        <v>185</v>
      </c>
      <c r="L39" s="71" t="s">
        <v>190</v>
      </c>
      <c r="M39" s="71"/>
      <c r="N39" s="71"/>
      <c r="O39" s="71" t="s">
        <v>200</v>
      </c>
      <c r="P39" s="71" t="s">
        <v>380</v>
      </c>
      <c r="Q39" s="71"/>
      <c r="R39" s="64">
        <v>42917</v>
      </c>
      <c r="S39" s="64"/>
      <c r="T39" s="64"/>
      <c r="U39" s="97">
        <f>IF(OR($E$25="N/A",AND(AU39=0,'Cover Sheet'!$B$29="Streamlined Review"),AND(E39="Met",F39&lt;&gt;""),AND(E39="Not met",G39&lt;&gt;""),AND(E39="Unsure",G39&lt;&gt;""),AND(E39="N/A",H39&lt;&gt;""),AND(Y39=TRUE)),1,0)</f>
        <v>0</v>
      </c>
      <c r="W39" s="56" t="b">
        <f t="shared" si="10"/>
        <v>0</v>
      </c>
      <c r="X39" s="126" t="b">
        <f t="shared" si="11"/>
        <v>0</v>
      </c>
      <c r="Y39" s="126" t="b">
        <f t="shared" si="18"/>
        <v>0</v>
      </c>
      <c r="Z39" s="126">
        <f t="shared" si="12"/>
        <v>1</v>
      </c>
      <c r="AA39" s="126">
        <f t="shared" si="13"/>
        <v>0</v>
      </c>
      <c r="AB39" s="126">
        <f t="shared" si="14"/>
        <v>0</v>
      </c>
      <c r="AC39" s="126">
        <f t="shared" si="15"/>
        <v>0</v>
      </c>
      <c r="AD39" s="126">
        <f t="shared" si="16"/>
        <v>0</v>
      </c>
      <c r="AE39" s="126">
        <f t="shared" si="17"/>
        <v>0</v>
      </c>
      <c r="AM39" s="69" t="str">
        <f t="shared" si="9"/>
        <v/>
      </c>
      <c r="AU39">
        <v>0</v>
      </c>
    </row>
    <row r="40" spans="1:47" ht="30.75" customHeight="1" x14ac:dyDescent="0.25">
      <c r="A40" s="294" t="s">
        <v>628</v>
      </c>
      <c r="B40" s="295" t="s">
        <v>619</v>
      </c>
      <c r="C40" s="295" t="s">
        <v>629</v>
      </c>
      <c r="D40" s="447">
        <v>1</v>
      </c>
      <c r="E40" s="297"/>
      <c r="F40" s="297"/>
      <c r="G40" s="297"/>
      <c r="H40" s="214"/>
      <c r="I40" s="92" t="s">
        <v>168</v>
      </c>
      <c r="J40" s="92" t="s">
        <v>178</v>
      </c>
      <c r="K40" s="92" t="s">
        <v>185</v>
      </c>
      <c r="L40" s="71" t="s">
        <v>190</v>
      </c>
      <c r="M40" s="71"/>
      <c r="N40" s="71"/>
      <c r="O40" s="71" t="s">
        <v>200</v>
      </c>
      <c r="P40" s="71" t="s">
        <v>380</v>
      </c>
      <c r="Q40" s="71"/>
      <c r="R40" s="64">
        <v>42917</v>
      </c>
      <c r="S40" s="64"/>
      <c r="T40" s="64"/>
      <c r="U40" s="97">
        <f>IF(OR($E$25="N/A",AND(AU40=0,'Cover Sheet'!$B$29="Streamlined Review"),AND(E40="Met",F40&lt;&gt;""),AND(E40="Not met",G40&lt;&gt;""),AND(E40="Unsure",G40&lt;&gt;""),AND(E40="N/A",H40&lt;&gt;""),AND(Y40=TRUE)),1,0)</f>
        <v>0</v>
      </c>
      <c r="W40" s="56" t="b">
        <f t="shared" si="10"/>
        <v>0</v>
      </c>
      <c r="X40" s="126" t="b">
        <f t="shared" si="11"/>
        <v>0</v>
      </c>
      <c r="Y40" s="126" t="b">
        <f t="shared" si="18"/>
        <v>0</v>
      </c>
      <c r="Z40" s="126">
        <f t="shared" si="12"/>
        <v>1</v>
      </c>
      <c r="AA40" s="126">
        <f t="shared" si="13"/>
        <v>0</v>
      </c>
      <c r="AB40" s="126">
        <f t="shared" si="14"/>
        <v>0</v>
      </c>
      <c r="AC40" s="126">
        <f t="shared" si="15"/>
        <v>0</v>
      </c>
      <c r="AD40" s="126">
        <f t="shared" si="16"/>
        <v>0</v>
      </c>
      <c r="AE40" s="126">
        <f t="shared" si="17"/>
        <v>0</v>
      </c>
      <c r="AM40" s="69" t="str">
        <f t="shared" si="9"/>
        <v/>
      </c>
      <c r="AU40">
        <v>0</v>
      </c>
    </row>
    <row r="41" spans="1:47" ht="42" customHeight="1" x14ac:dyDescent="0.25">
      <c r="A41" s="294" t="s">
        <v>630</v>
      </c>
      <c r="B41" s="295" t="s">
        <v>619</v>
      </c>
      <c r="C41" s="295" t="s">
        <v>631</v>
      </c>
      <c r="D41" s="447">
        <v>1</v>
      </c>
      <c r="E41" s="297"/>
      <c r="F41" s="297"/>
      <c r="G41" s="297"/>
      <c r="H41" s="214"/>
      <c r="I41" s="92" t="s">
        <v>168</v>
      </c>
      <c r="J41" s="92" t="s">
        <v>178</v>
      </c>
      <c r="K41" s="92" t="s">
        <v>185</v>
      </c>
      <c r="L41" s="71" t="s">
        <v>190</v>
      </c>
      <c r="M41" s="71"/>
      <c r="N41" s="71"/>
      <c r="O41" s="71" t="s">
        <v>200</v>
      </c>
      <c r="P41" s="71" t="s">
        <v>380</v>
      </c>
      <c r="Q41" s="71"/>
      <c r="R41" s="64">
        <v>42917</v>
      </c>
      <c r="S41" s="64"/>
      <c r="T41" s="64"/>
      <c r="U41" s="97">
        <f>IF(OR($E$25="N/A",AND(AU41=0,'Cover Sheet'!$B$29="Streamlined Review"),AND(E41="Met",F41&lt;&gt;""),AND(E41="Not met",G41&lt;&gt;""),AND(E41="Unsure",G41&lt;&gt;""),AND(E41="N/A",H41&lt;&gt;""),AND(Y41=TRUE)),1,0)</f>
        <v>0</v>
      </c>
      <c r="W41" s="56" t="b">
        <f t="shared" si="10"/>
        <v>0</v>
      </c>
      <c r="X41" s="126" t="b">
        <f t="shared" si="11"/>
        <v>0</v>
      </c>
      <c r="Y41" s="126" t="b">
        <f t="shared" si="18"/>
        <v>0</v>
      </c>
      <c r="Z41" s="126">
        <f t="shared" si="12"/>
        <v>1</v>
      </c>
      <c r="AA41" s="126">
        <f t="shared" si="13"/>
        <v>0</v>
      </c>
      <c r="AB41" s="126">
        <f t="shared" si="14"/>
        <v>0</v>
      </c>
      <c r="AC41" s="126">
        <f t="shared" si="15"/>
        <v>0</v>
      </c>
      <c r="AD41" s="126">
        <f t="shared" si="16"/>
        <v>0</v>
      </c>
      <c r="AE41" s="126">
        <f t="shared" si="17"/>
        <v>0</v>
      </c>
      <c r="AM41" s="69" t="str">
        <f t="shared" si="9"/>
        <v/>
      </c>
      <c r="AU41">
        <v>0</v>
      </c>
    </row>
    <row r="42" spans="1:47" ht="28.5" customHeight="1" x14ac:dyDescent="0.25">
      <c r="A42" s="294" t="s">
        <v>632</v>
      </c>
      <c r="B42" s="295" t="s">
        <v>633</v>
      </c>
      <c r="C42" s="295" t="s">
        <v>634</v>
      </c>
      <c r="D42" s="447">
        <v>1</v>
      </c>
      <c r="E42" s="297"/>
      <c r="F42" s="297"/>
      <c r="G42" s="297"/>
      <c r="H42" s="214"/>
      <c r="I42" s="92" t="s">
        <v>168</v>
      </c>
      <c r="J42" s="92" t="s">
        <v>178</v>
      </c>
      <c r="K42" s="92" t="s">
        <v>185</v>
      </c>
      <c r="L42" s="71" t="s">
        <v>190</v>
      </c>
      <c r="M42" s="71" t="s">
        <v>195</v>
      </c>
      <c r="N42" s="71"/>
      <c r="O42" s="71" t="s">
        <v>200</v>
      </c>
      <c r="P42" s="71" t="s">
        <v>380</v>
      </c>
      <c r="Q42" s="71"/>
      <c r="R42" s="64">
        <v>42917</v>
      </c>
      <c r="S42" s="64"/>
      <c r="T42" s="64"/>
      <c r="U42" s="97">
        <f>IF(OR($E$25="N/A",AND(AU42=0,'Cover Sheet'!$B$29="Streamlined Review"),AND(E42="Met",F42&lt;&gt;""),AND(E42="Not met",G42&lt;&gt;""),AND(E42="Unsure",G42&lt;&gt;""),AND(E42="N/A",H42&lt;&gt;""),AND(Y42=TRUE)),1,0)</f>
        <v>0</v>
      </c>
      <c r="W42" s="56" t="b">
        <f t="shared" si="10"/>
        <v>0</v>
      </c>
      <c r="X42" s="126" t="b">
        <f t="shared" si="11"/>
        <v>0</v>
      </c>
      <c r="Y42" s="126" t="b">
        <f t="shared" si="18"/>
        <v>0</v>
      </c>
      <c r="Z42" s="126">
        <f t="shared" si="12"/>
        <v>1</v>
      </c>
      <c r="AA42" s="126">
        <f t="shared" si="13"/>
        <v>0</v>
      </c>
      <c r="AB42" s="126">
        <f t="shared" si="14"/>
        <v>0</v>
      </c>
      <c r="AC42" s="126">
        <f t="shared" si="15"/>
        <v>0</v>
      </c>
      <c r="AD42" s="126">
        <f t="shared" si="16"/>
        <v>0</v>
      </c>
      <c r="AE42" s="126">
        <f t="shared" si="17"/>
        <v>0</v>
      </c>
      <c r="AM42" s="69" t="str">
        <f t="shared" si="9"/>
        <v/>
      </c>
      <c r="AU42">
        <v>0</v>
      </c>
    </row>
    <row r="43" spans="1:47" ht="42.75" customHeight="1" x14ac:dyDescent="0.25">
      <c r="A43" s="294" t="s">
        <v>635</v>
      </c>
      <c r="B43" s="295" t="s">
        <v>636</v>
      </c>
      <c r="C43" s="295" t="s">
        <v>637</v>
      </c>
      <c r="D43" s="470">
        <v>1</v>
      </c>
      <c r="E43" s="297"/>
      <c r="F43" s="297"/>
      <c r="G43" s="297"/>
      <c r="H43" s="214"/>
      <c r="I43" s="92" t="s">
        <v>168</v>
      </c>
      <c r="J43" s="92" t="s">
        <v>178</v>
      </c>
      <c r="K43" s="92" t="s">
        <v>185</v>
      </c>
      <c r="L43" s="71" t="s">
        <v>190</v>
      </c>
      <c r="M43" s="71" t="s">
        <v>195</v>
      </c>
      <c r="N43" s="71"/>
      <c r="O43" s="71" t="s">
        <v>200</v>
      </c>
      <c r="P43" s="71" t="s">
        <v>380</v>
      </c>
      <c r="Q43" s="71"/>
      <c r="R43" s="64">
        <v>42917</v>
      </c>
      <c r="S43" s="64"/>
      <c r="T43" s="64"/>
      <c r="U43" s="97">
        <f>IF(OR($E$25="N/A",AND(AU43=0,'Cover Sheet'!$B$29="Streamlined Review"),AND(E43="Met",F43&lt;&gt;""),AND(E43="Not met",G43&lt;&gt;""),AND(E43="Unsure",G43&lt;&gt;""),AND(E43="N/A",H43&lt;&gt;""),AND(Y43=TRUE)),1,0)</f>
        <v>0</v>
      </c>
      <c r="W43" s="56" t="b">
        <f t="shared" si="10"/>
        <v>0</v>
      </c>
      <c r="X43" s="126" t="b">
        <f t="shared" si="11"/>
        <v>0</v>
      </c>
      <c r="Y43" s="126" t="b">
        <f t="shared" si="18"/>
        <v>0</v>
      </c>
      <c r="Z43" s="126">
        <f t="shared" si="12"/>
        <v>1</v>
      </c>
      <c r="AA43" s="126">
        <f t="shared" si="13"/>
        <v>0</v>
      </c>
      <c r="AB43" s="126">
        <f t="shared" si="14"/>
        <v>0</v>
      </c>
      <c r="AC43" s="126">
        <f t="shared" si="15"/>
        <v>0</v>
      </c>
      <c r="AD43" s="126">
        <f t="shared" si="16"/>
        <v>0</v>
      </c>
      <c r="AE43" s="126">
        <f t="shared" si="17"/>
        <v>0</v>
      </c>
      <c r="AM43" s="69" t="str">
        <f t="shared" si="9"/>
        <v/>
      </c>
      <c r="AU43">
        <v>1</v>
      </c>
    </row>
    <row r="44" spans="1:47" ht="41.25" customHeight="1" x14ac:dyDescent="0.25">
      <c r="A44" s="294" t="s">
        <v>638</v>
      </c>
      <c r="B44" s="295" t="s">
        <v>636</v>
      </c>
      <c r="C44" s="295" t="s">
        <v>639</v>
      </c>
      <c r="D44" s="470">
        <v>1</v>
      </c>
      <c r="E44" s="297"/>
      <c r="F44" s="297"/>
      <c r="G44" s="297"/>
      <c r="H44" s="214"/>
      <c r="I44" s="92" t="s">
        <v>168</v>
      </c>
      <c r="J44" s="92" t="s">
        <v>178</v>
      </c>
      <c r="K44" s="92" t="s">
        <v>185</v>
      </c>
      <c r="L44" s="71" t="s">
        <v>190</v>
      </c>
      <c r="M44" s="71" t="s">
        <v>195</v>
      </c>
      <c r="N44" s="71"/>
      <c r="O44" s="71"/>
      <c r="P44" s="71" t="s">
        <v>380</v>
      </c>
      <c r="Q44" s="71"/>
      <c r="R44" s="64">
        <v>42917</v>
      </c>
      <c r="S44" s="64"/>
      <c r="T44" s="64"/>
      <c r="U44" s="97">
        <f>IF(OR($E$25="N/A",AND(AU44=0,'Cover Sheet'!$B$29="Streamlined Review"),AND(E44="Met",F44&lt;&gt;""),AND(E44="Not met",G44&lt;&gt;""),AND(E44="Unsure",G44&lt;&gt;""),AND(E44="N/A",H44&lt;&gt;""),AND(Y44=TRUE)),1,0)</f>
        <v>0</v>
      </c>
      <c r="W44" s="56" t="b">
        <f t="shared" si="10"/>
        <v>0</v>
      </c>
      <c r="X44" s="126" t="b">
        <f t="shared" si="11"/>
        <v>0</v>
      </c>
      <c r="Y44" s="126" t="b">
        <f t="shared" si="18"/>
        <v>0</v>
      </c>
      <c r="Z44" s="126">
        <f t="shared" si="12"/>
        <v>1</v>
      </c>
      <c r="AA44" s="126">
        <f t="shared" si="13"/>
        <v>0</v>
      </c>
      <c r="AB44" s="126">
        <f t="shared" si="14"/>
        <v>0</v>
      </c>
      <c r="AC44" s="126">
        <f t="shared" si="15"/>
        <v>0</v>
      </c>
      <c r="AD44" s="126">
        <f t="shared" si="16"/>
        <v>0</v>
      </c>
      <c r="AE44" s="126">
        <f t="shared" si="17"/>
        <v>0</v>
      </c>
      <c r="AM44" s="69" t="str">
        <f t="shared" si="9"/>
        <v/>
      </c>
      <c r="AU44">
        <v>1</v>
      </c>
    </row>
    <row r="45" spans="1:47" ht="44.25" customHeight="1" x14ac:dyDescent="0.25">
      <c r="A45" s="294" t="s">
        <v>640</v>
      </c>
      <c r="B45" s="295" t="s">
        <v>641</v>
      </c>
      <c r="C45" s="295" t="s">
        <v>642</v>
      </c>
      <c r="D45" s="470">
        <v>1</v>
      </c>
      <c r="E45" s="297"/>
      <c r="F45" s="297"/>
      <c r="G45" s="297"/>
      <c r="H45" s="214"/>
      <c r="I45" s="92" t="s">
        <v>168</v>
      </c>
      <c r="J45" s="92" t="s">
        <v>178</v>
      </c>
      <c r="K45" s="92" t="s">
        <v>185</v>
      </c>
      <c r="L45" s="71" t="s">
        <v>190</v>
      </c>
      <c r="M45" s="71" t="s">
        <v>195</v>
      </c>
      <c r="N45" s="71"/>
      <c r="O45" s="71" t="s">
        <v>200</v>
      </c>
      <c r="P45" s="71" t="s">
        <v>380</v>
      </c>
      <c r="Q45" s="71"/>
      <c r="R45" s="64">
        <v>42917</v>
      </c>
      <c r="S45" s="64"/>
      <c r="T45" s="64"/>
      <c r="U45" s="97">
        <f>IF(OR($E$25="N/A",AND(AU45=0,'Cover Sheet'!$B$29="Streamlined Review"),AND(E45="Met",F45&lt;&gt;""),AND(E45="Not met",G45&lt;&gt;""),AND(E45="Unsure",G45&lt;&gt;""),AND(E45="N/A",H45&lt;&gt;""),AND(Y45=TRUE)),1,0)</f>
        <v>0</v>
      </c>
      <c r="W45" s="56" t="b">
        <f t="shared" si="10"/>
        <v>0</v>
      </c>
      <c r="X45" s="126" t="b">
        <f t="shared" si="11"/>
        <v>0</v>
      </c>
      <c r="Y45" s="126" t="b">
        <f t="shared" si="18"/>
        <v>0</v>
      </c>
      <c r="Z45" s="126">
        <f t="shared" si="12"/>
        <v>1</v>
      </c>
      <c r="AA45" s="126">
        <f t="shared" si="13"/>
        <v>0</v>
      </c>
      <c r="AB45" s="126">
        <f t="shared" si="14"/>
        <v>0</v>
      </c>
      <c r="AC45" s="126">
        <f t="shared" si="15"/>
        <v>0</v>
      </c>
      <c r="AD45" s="126">
        <f t="shared" si="16"/>
        <v>0</v>
      </c>
      <c r="AE45" s="126">
        <f t="shared" si="17"/>
        <v>0</v>
      </c>
      <c r="AM45" s="69" t="str">
        <f t="shared" si="9"/>
        <v/>
      </c>
      <c r="AU45">
        <v>1</v>
      </c>
    </row>
    <row r="46" spans="1:47" ht="57.75" customHeight="1" x14ac:dyDescent="0.25">
      <c r="A46" s="294" t="s">
        <v>643</v>
      </c>
      <c r="B46" s="295" t="s">
        <v>644</v>
      </c>
      <c r="C46" s="295" t="s">
        <v>645</v>
      </c>
      <c r="D46" s="447">
        <v>1</v>
      </c>
      <c r="E46" s="297"/>
      <c r="F46" s="297"/>
      <c r="G46" s="297"/>
      <c r="H46" s="214"/>
      <c r="I46" s="92" t="s">
        <v>168</v>
      </c>
      <c r="J46" s="92" t="s">
        <v>178</v>
      </c>
      <c r="K46" s="92" t="s">
        <v>185</v>
      </c>
      <c r="L46" s="71" t="s">
        <v>190</v>
      </c>
      <c r="M46" s="71" t="s">
        <v>195</v>
      </c>
      <c r="N46" s="71"/>
      <c r="O46" s="71" t="s">
        <v>200</v>
      </c>
      <c r="P46" s="71" t="s">
        <v>380</v>
      </c>
      <c r="Q46" s="71"/>
      <c r="R46" s="64">
        <v>42917</v>
      </c>
      <c r="S46" s="64"/>
      <c r="T46" s="64"/>
      <c r="U46" s="97">
        <f>IF(OR($E$25="N/A",AND(AU46=0,'Cover Sheet'!$B$29="Streamlined Review"),AND(E46="Met",F46&lt;&gt;""),AND(E46="Not met",G46&lt;&gt;""),AND(E46="Unsure",G46&lt;&gt;""),AND(E46="N/A",H46&lt;&gt;""),AND(Y46=TRUE)),1,0)</f>
        <v>0</v>
      </c>
      <c r="W46" s="56" t="b">
        <f t="shared" si="10"/>
        <v>0</v>
      </c>
      <c r="X46" s="126" t="b">
        <f t="shared" si="11"/>
        <v>0</v>
      </c>
      <c r="Y46" s="126" t="b">
        <f t="shared" si="18"/>
        <v>0</v>
      </c>
      <c r="Z46" s="126">
        <f t="shared" si="12"/>
        <v>1</v>
      </c>
      <c r="AA46" s="126">
        <f t="shared" si="13"/>
        <v>0</v>
      </c>
      <c r="AB46" s="126">
        <f t="shared" si="14"/>
        <v>0</v>
      </c>
      <c r="AC46" s="126">
        <f t="shared" si="15"/>
        <v>0</v>
      </c>
      <c r="AD46" s="126">
        <f t="shared" si="16"/>
        <v>0</v>
      </c>
      <c r="AE46" s="126">
        <f t="shared" si="17"/>
        <v>0</v>
      </c>
      <c r="AM46" s="69" t="str">
        <f t="shared" si="9"/>
        <v/>
      </c>
      <c r="AU46">
        <v>0</v>
      </c>
    </row>
    <row r="47" spans="1:47" ht="59.25" customHeight="1" x14ac:dyDescent="0.25">
      <c r="A47" s="294" t="s">
        <v>646</v>
      </c>
      <c r="B47" s="295" t="s">
        <v>647</v>
      </c>
      <c r="C47" s="295" t="s">
        <v>648</v>
      </c>
      <c r="D47" s="447">
        <v>1</v>
      </c>
      <c r="E47" s="297"/>
      <c r="F47" s="297"/>
      <c r="G47" s="297"/>
      <c r="H47" s="214"/>
      <c r="I47" s="92" t="s">
        <v>168</v>
      </c>
      <c r="J47" s="92" t="s">
        <v>178</v>
      </c>
      <c r="K47" s="92" t="s">
        <v>185</v>
      </c>
      <c r="L47" s="71" t="s">
        <v>190</v>
      </c>
      <c r="M47" s="71" t="s">
        <v>195</v>
      </c>
      <c r="N47" s="71"/>
      <c r="O47" s="71" t="s">
        <v>200</v>
      </c>
      <c r="P47" s="71" t="s">
        <v>380</v>
      </c>
      <c r="Q47" s="71"/>
      <c r="R47" s="64">
        <v>42917</v>
      </c>
      <c r="S47" s="64"/>
      <c r="T47" s="64"/>
      <c r="U47" s="97">
        <f>IF(OR($E$25="N/A",AND(AU47=0,'Cover Sheet'!$B$29="Streamlined Review"),AND(E47="Met",F47&lt;&gt;""),AND(E47="Not met",G47&lt;&gt;""),AND(E47="Unsure",G47&lt;&gt;""),AND(E47="N/A",H47&lt;&gt;""),AND(Y47=TRUE)),1,0)</f>
        <v>0</v>
      </c>
      <c r="W47" s="56" t="b">
        <f t="shared" si="10"/>
        <v>0</v>
      </c>
      <c r="X47" s="126" t="b">
        <f t="shared" si="11"/>
        <v>0</v>
      </c>
      <c r="Y47" s="126" t="b">
        <f t="shared" si="18"/>
        <v>0</v>
      </c>
      <c r="Z47" s="126">
        <f t="shared" si="12"/>
        <v>1</v>
      </c>
      <c r="AA47" s="126">
        <f t="shared" si="13"/>
        <v>0</v>
      </c>
      <c r="AB47" s="126">
        <f t="shared" si="14"/>
        <v>0</v>
      </c>
      <c r="AC47" s="126">
        <f t="shared" si="15"/>
        <v>0</v>
      </c>
      <c r="AD47" s="126">
        <f t="shared" si="16"/>
        <v>0</v>
      </c>
      <c r="AE47" s="126">
        <f t="shared" si="17"/>
        <v>0</v>
      </c>
      <c r="AM47" s="69" t="str">
        <f t="shared" si="9"/>
        <v/>
      </c>
      <c r="AU47">
        <v>0</v>
      </c>
    </row>
    <row r="48" spans="1:47" ht="57.75" customHeight="1" x14ac:dyDescent="0.25">
      <c r="A48" s="294" t="s">
        <v>649</v>
      </c>
      <c r="B48" s="295" t="s">
        <v>650</v>
      </c>
      <c r="C48" s="295" t="s">
        <v>651</v>
      </c>
      <c r="D48" s="447">
        <v>1</v>
      </c>
      <c r="E48" s="297"/>
      <c r="F48" s="297"/>
      <c r="G48" s="297"/>
      <c r="H48" s="214"/>
      <c r="I48" s="92" t="s">
        <v>168</v>
      </c>
      <c r="J48" s="92" t="s">
        <v>178</v>
      </c>
      <c r="K48" s="92" t="s">
        <v>185</v>
      </c>
      <c r="L48" s="71" t="s">
        <v>190</v>
      </c>
      <c r="M48" s="71" t="s">
        <v>195</v>
      </c>
      <c r="N48" s="71"/>
      <c r="O48" s="71" t="s">
        <v>200</v>
      </c>
      <c r="P48" s="71" t="s">
        <v>380</v>
      </c>
      <c r="Q48" s="71"/>
      <c r="R48" s="64">
        <v>42917</v>
      </c>
      <c r="S48" s="64"/>
      <c r="T48" s="64"/>
      <c r="U48" s="97">
        <f>IF(OR($E$25="N/A",AND(AU48=0,'Cover Sheet'!$B$29="Streamlined Review"),AND(E48="Met",F48&lt;&gt;""),AND(E48="Not met",G48&lt;&gt;""),AND(E48="Unsure",G48&lt;&gt;""),AND(E48="N/A",H48&lt;&gt;""),AND(Y48=TRUE)),1,0)</f>
        <v>0</v>
      </c>
      <c r="W48" s="56" t="b">
        <f t="shared" si="10"/>
        <v>0</v>
      </c>
      <c r="X48" s="126" t="b">
        <f t="shared" si="11"/>
        <v>0</v>
      </c>
      <c r="Y48" s="126" t="b">
        <f t="shared" si="18"/>
        <v>0</v>
      </c>
      <c r="Z48" s="126">
        <f t="shared" si="12"/>
        <v>1</v>
      </c>
      <c r="AA48" s="126">
        <f t="shared" si="13"/>
        <v>0</v>
      </c>
      <c r="AB48" s="126">
        <f t="shared" si="14"/>
        <v>0</v>
      </c>
      <c r="AC48" s="126">
        <f t="shared" si="15"/>
        <v>0</v>
      </c>
      <c r="AD48" s="126">
        <f t="shared" si="16"/>
        <v>0</v>
      </c>
      <c r="AE48" s="126">
        <f t="shared" si="17"/>
        <v>0</v>
      </c>
      <c r="AM48" s="69" t="str">
        <f t="shared" si="9"/>
        <v/>
      </c>
      <c r="AU48">
        <v>0</v>
      </c>
    </row>
    <row r="49" spans="1:48" ht="57" customHeight="1" x14ac:dyDescent="0.25">
      <c r="A49" s="294" t="s">
        <v>652</v>
      </c>
      <c r="B49" s="295" t="s">
        <v>653</v>
      </c>
      <c r="C49" s="295" t="s">
        <v>654</v>
      </c>
      <c r="D49" s="447">
        <v>1</v>
      </c>
      <c r="E49" s="297"/>
      <c r="F49" s="297"/>
      <c r="G49" s="297"/>
      <c r="H49" s="214"/>
      <c r="I49" s="92" t="s">
        <v>168</v>
      </c>
      <c r="J49" s="92" t="s">
        <v>178</v>
      </c>
      <c r="K49" s="92" t="s">
        <v>185</v>
      </c>
      <c r="L49" s="71" t="s">
        <v>190</v>
      </c>
      <c r="M49" s="71" t="s">
        <v>195</v>
      </c>
      <c r="N49" s="71"/>
      <c r="O49" s="71" t="s">
        <v>200</v>
      </c>
      <c r="P49" s="71" t="s">
        <v>380</v>
      </c>
      <c r="Q49" s="71"/>
      <c r="R49" s="64">
        <v>42917</v>
      </c>
      <c r="S49" s="64"/>
      <c r="T49" s="64"/>
      <c r="U49" s="97">
        <f>IF(OR($E$25="N/A",AND(AU49=0,'Cover Sheet'!$B$29="Streamlined Review"),AND(E49="Met",F49&lt;&gt;""),AND(E49="Not met",G49&lt;&gt;""),AND(E49="Unsure",G49&lt;&gt;""),AND(E49="N/A",H49&lt;&gt;""),AND(Y49=TRUE)),1,0)</f>
        <v>0</v>
      </c>
      <c r="W49" s="56" t="b">
        <f t="shared" si="10"/>
        <v>0</v>
      </c>
      <c r="X49" s="126" t="b">
        <f t="shared" si="11"/>
        <v>0</v>
      </c>
      <c r="Y49" s="126" t="b">
        <f t="shared" si="18"/>
        <v>0</v>
      </c>
      <c r="Z49" s="126">
        <f t="shared" si="12"/>
        <v>1</v>
      </c>
      <c r="AA49" s="126">
        <f t="shared" si="13"/>
        <v>0</v>
      </c>
      <c r="AB49" s="126">
        <f t="shared" si="14"/>
        <v>0</v>
      </c>
      <c r="AC49" s="126">
        <f t="shared" si="15"/>
        <v>0</v>
      </c>
      <c r="AD49" s="126">
        <f t="shared" si="16"/>
        <v>0</v>
      </c>
      <c r="AE49" s="126">
        <f t="shared" si="17"/>
        <v>0</v>
      </c>
      <c r="AM49" s="69" t="str">
        <f t="shared" si="9"/>
        <v/>
      </c>
      <c r="AU49">
        <v>0</v>
      </c>
    </row>
    <row r="50" spans="1:48" ht="56.25" customHeight="1" x14ac:dyDescent="0.25">
      <c r="A50" s="294" t="s">
        <v>655</v>
      </c>
      <c r="B50" s="295" t="s">
        <v>656</v>
      </c>
      <c r="C50" s="295" t="s">
        <v>657</v>
      </c>
      <c r="D50" s="447">
        <v>1</v>
      </c>
      <c r="E50" s="297"/>
      <c r="F50" s="297"/>
      <c r="G50" s="297"/>
      <c r="H50" s="214"/>
      <c r="I50" s="92" t="s">
        <v>168</v>
      </c>
      <c r="J50" s="92" t="s">
        <v>178</v>
      </c>
      <c r="K50" s="92" t="s">
        <v>185</v>
      </c>
      <c r="L50" s="71" t="s">
        <v>190</v>
      </c>
      <c r="M50" s="71" t="s">
        <v>195</v>
      </c>
      <c r="N50" s="71"/>
      <c r="O50" s="71" t="s">
        <v>200</v>
      </c>
      <c r="P50" s="71" t="s">
        <v>380</v>
      </c>
      <c r="Q50" s="71"/>
      <c r="R50" s="64">
        <v>42917</v>
      </c>
      <c r="S50" s="64"/>
      <c r="T50" s="64"/>
      <c r="U50" s="97">
        <f>IF(OR($E$25="N/A",AND(AU50=0,'Cover Sheet'!$B$29="Streamlined Review"),AND(E50="Met",F50&lt;&gt;""),AND(E50="Not met",G50&lt;&gt;""),AND(E50="Unsure",G50&lt;&gt;""),AND(E50="N/A",H50&lt;&gt;""),AND(Y50=TRUE)),1,0)</f>
        <v>0</v>
      </c>
      <c r="W50" s="56" t="b">
        <f t="shared" si="10"/>
        <v>0</v>
      </c>
      <c r="X50" s="126" t="b">
        <f t="shared" si="11"/>
        <v>0</v>
      </c>
      <c r="Y50" s="126" t="b">
        <f t="shared" si="18"/>
        <v>0</v>
      </c>
      <c r="Z50" s="126">
        <f t="shared" si="12"/>
        <v>1</v>
      </c>
      <c r="AA50" s="126">
        <f t="shared" si="13"/>
        <v>0</v>
      </c>
      <c r="AB50" s="126">
        <f t="shared" si="14"/>
        <v>0</v>
      </c>
      <c r="AC50" s="126">
        <f t="shared" si="15"/>
        <v>0</v>
      </c>
      <c r="AD50" s="126">
        <f t="shared" si="16"/>
        <v>0</v>
      </c>
      <c r="AE50" s="126">
        <f t="shared" si="17"/>
        <v>0</v>
      </c>
      <c r="AM50" s="69" t="str">
        <f t="shared" si="9"/>
        <v/>
      </c>
      <c r="AU50">
        <v>0</v>
      </c>
    </row>
    <row r="51" spans="1:48" ht="59.25" customHeight="1" x14ac:dyDescent="0.25">
      <c r="A51" s="294" t="s">
        <v>658</v>
      </c>
      <c r="B51" s="295" t="s">
        <v>659</v>
      </c>
      <c r="C51" s="295" t="s">
        <v>660</v>
      </c>
      <c r="D51" s="447">
        <v>1</v>
      </c>
      <c r="E51" s="297"/>
      <c r="F51" s="297"/>
      <c r="G51" s="297"/>
      <c r="H51" s="214"/>
      <c r="I51" s="92" t="s">
        <v>168</v>
      </c>
      <c r="J51" s="92" t="s">
        <v>178</v>
      </c>
      <c r="K51" s="92" t="s">
        <v>185</v>
      </c>
      <c r="L51" s="71" t="s">
        <v>190</v>
      </c>
      <c r="M51" s="71" t="s">
        <v>195</v>
      </c>
      <c r="N51" s="71"/>
      <c r="O51" s="71" t="s">
        <v>200</v>
      </c>
      <c r="P51" s="71" t="s">
        <v>380</v>
      </c>
      <c r="Q51" s="71"/>
      <c r="R51" s="64">
        <v>42917</v>
      </c>
      <c r="S51" s="64"/>
      <c r="T51" s="64"/>
      <c r="U51" s="97">
        <f>IF(OR($E$25="N/A",AND(AU51=0,'Cover Sheet'!$B$29="Streamlined Review"),AND(E51="Met",F51&lt;&gt;""),AND(E51="Not met",G51&lt;&gt;""),AND(E51="Unsure",G51&lt;&gt;""),AND(E51="N/A",H51&lt;&gt;""),AND(Y51=TRUE)),1,0)</f>
        <v>0</v>
      </c>
      <c r="W51" s="56" t="b">
        <f t="shared" si="10"/>
        <v>0</v>
      </c>
      <c r="X51" s="126" t="b">
        <f t="shared" si="11"/>
        <v>0</v>
      </c>
      <c r="Y51" s="126" t="b">
        <f t="shared" si="18"/>
        <v>0</v>
      </c>
      <c r="Z51" s="126">
        <f t="shared" si="12"/>
        <v>1</v>
      </c>
      <c r="AA51" s="126">
        <f t="shared" si="13"/>
        <v>0</v>
      </c>
      <c r="AB51" s="126">
        <f t="shared" si="14"/>
        <v>0</v>
      </c>
      <c r="AC51" s="126">
        <f t="shared" si="15"/>
        <v>0</v>
      </c>
      <c r="AD51" s="126">
        <f t="shared" si="16"/>
        <v>0</v>
      </c>
      <c r="AE51" s="126">
        <f t="shared" si="17"/>
        <v>0</v>
      </c>
      <c r="AM51" s="69" t="str">
        <f t="shared" si="9"/>
        <v/>
      </c>
      <c r="AU51">
        <v>0</v>
      </c>
    </row>
    <row r="52" spans="1:48" ht="192" customHeight="1" x14ac:dyDescent="0.25">
      <c r="A52" s="294" t="s">
        <v>661</v>
      </c>
      <c r="B52" s="295" t="s">
        <v>662</v>
      </c>
      <c r="C52" s="295" t="s">
        <v>663</v>
      </c>
      <c r="D52" s="470"/>
      <c r="E52" s="297"/>
      <c r="F52" s="297"/>
      <c r="G52" s="297"/>
      <c r="H52" s="214"/>
      <c r="I52" s="92" t="s">
        <v>168</v>
      </c>
      <c r="J52" s="92" t="s">
        <v>178</v>
      </c>
      <c r="K52" s="92" t="s">
        <v>185</v>
      </c>
      <c r="L52" s="71" t="s">
        <v>190</v>
      </c>
      <c r="M52" s="71"/>
      <c r="N52" s="71"/>
      <c r="O52" s="71"/>
      <c r="P52" s="71"/>
      <c r="Q52" s="71"/>
      <c r="R52" s="64">
        <v>45482</v>
      </c>
      <c r="S52" s="64"/>
      <c r="T52" s="64"/>
      <c r="U52" s="97">
        <f>IF(OR($E$25="N/A",AND(AU52=0,'Cover Sheet'!$B$29="Streamlined Review"),AND(E52="Met",F52&lt;&gt;""),AND(E52="Not met",G52&lt;&gt;""),AND(E52="Unsure",G52&lt;&gt;""),AND(E52="N/A",H52&lt;&gt;""),AND(Y52=TRUE),X52=TRUE),1,0)</f>
        <v>1</v>
      </c>
      <c r="W52" s="56" t="b">
        <f t="shared" si="10"/>
        <v>0</v>
      </c>
      <c r="X52" s="126" t="b">
        <f>IF(OR(Y52=TRUE,AV52=0),TRUE,FALSE)</f>
        <v>1</v>
      </c>
      <c r="Y52" s="126" t="b">
        <f>IF(SUM(Z52:AE52)&lt;1,TRUE,FALSE)</f>
        <v>0</v>
      </c>
      <c r="Z52" s="126">
        <f t="shared" si="12"/>
        <v>1</v>
      </c>
      <c r="AA52" s="126">
        <f t="shared" si="13"/>
        <v>0</v>
      </c>
      <c r="AB52" s="126">
        <f t="shared" si="14"/>
        <v>0</v>
      </c>
      <c r="AC52" s="126">
        <f t="shared" si="15"/>
        <v>0</v>
      </c>
      <c r="AD52" s="126">
        <f t="shared" si="16"/>
        <v>0</v>
      </c>
      <c r="AE52" s="126">
        <f t="shared" si="17"/>
        <v>0</v>
      </c>
      <c r="AU52">
        <v>0</v>
      </c>
      <c r="AV52">
        <f>IF('Cover Sheet'!$B$25&gt;=R52,1,0)</f>
        <v>0</v>
      </c>
    </row>
    <row r="53" spans="1:48" ht="42" customHeight="1" x14ac:dyDescent="0.25">
      <c r="A53" s="294" t="s">
        <v>664</v>
      </c>
      <c r="B53" s="295" t="s">
        <v>665</v>
      </c>
      <c r="C53" s="295" t="s">
        <v>666</v>
      </c>
      <c r="D53" s="447" t="s">
        <v>667</v>
      </c>
      <c r="E53" s="297"/>
      <c r="F53" s="297"/>
      <c r="G53" s="297"/>
      <c r="H53" s="214"/>
      <c r="I53" s="92" t="s">
        <v>168</v>
      </c>
      <c r="J53" s="92" t="s">
        <v>178</v>
      </c>
      <c r="K53" s="92" t="s">
        <v>185</v>
      </c>
      <c r="L53" s="71" t="s">
        <v>190</v>
      </c>
      <c r="M53" s="71" t="s">
        <v>195</v>
      </c>
      <c r="N53" s="71"/>
      <c r="O53" s="71"/>
      <c r="P53" s="71" t="s">
        <v>380</v>
      </c>
      <c r="Q53" s="71"/>
      <c r="R53" s="64">
        <v>42917</v>
      </c>
      <c r="S53" s="64"/>
      <c r="T53" s="64"/>
      <c r="U53" s="97">
        <f>IF(OR($E$25="N/A",AND(AU53=0,'Cover Sheet'!$B$29="Streamlined Review"),AND(E53="Met",F53&lt;&gt;""),AND(E53="Not met",G53&lt;&gt;""),AND(E53="Unsure",G53&lt;&gt;""),AND(E53="N/A",H53&lt;&gt;""),AND(Y53=TRUE)),1,0)</f>
        <v>0</v>
      </c>
      <c r="W53" s="56" t="b">
        <f t="shared" si="10"/>
        <v>0</v>
      </c>
      <c r="X53" s="126" t="b">
        <f t="shared" si="11"/>
        <v>0</v>
      </c>
      <c r="Y53" s="126" t="b">
        <f t="shared" si="18"/>
        <v>0</v>
      </c>
      <c r="Z53" s="126">
        <f t="shared" si="12"/>
        <v>1</v>
      </c>
      <c r="AA53" s="126">
        <f t="shared" si="13"/>
        <v>0</v>
      </c>
      <c r="AB53" s="126">
        <f t="shared" si="14"/>
        <v>0</v>
      </c>
      <c r="AC53" s="126">
        <f t="shared" si="15"/>
        <v>0</v>
      </c>
      <c r="AD53" s="126">
        <f t="shared" si="16"/>
        <v>0</v>
      </c>
      <c r="AE53" s="126">
        <f t="shared" si="17"/>
        <v>0</v>
      </c>
      <c r="AM53" s="69" t="str">
        <f t="shared" si="9"/>
        <v/>
      </c>
      <c r="AU53">
        <v>0</v>
      </c>
    </row>
    <row r="54" spans="1:48" ht="30" customHeight="1" x14ac:dyDescent="0.25">
      <c r="A54" s="294" t="s">
        <v>668</v>
      </c>
      <c r="B54" s="295" t="s">
        <v>669</v>
      </c>
      <c r="C54" s="295" t="s">
        <v>670</v>
      </c>
      <c r="D54" s="447">
        <v>1</v>
      </c>
      <c r="E54" s="297"/>
      <c r="F54" s="297"/>
      <c r="G54" s="297"/>
      <c r="H54" s="214"/>
      <c r="I54" s="92" t="s">
        <v>168</v>
      </c>
      <c r="J54" s="92" t="s">
        <v>178</v>
      </c>
      <c r="K54" s="92" t="s">
        <v>185</v>
      </c>
      <c r="L54" s="71" t="s">
        <v>190</v>
      </c>
      <c r="M54" s="71"/>
      <c r="N54" s="71"/>
      <c r="O54" s="71" t="s">
        <v>200</v>
      </c>
      <c r="P54" s="71" t="s">
        <v>380</v>
      </c>
      <c r="Q54" s="71"/>
      <c r="R54" s="64">
        <v>42917</v>
      </c>
      <c r="S54" s="64"/>
      <c r="T54" s="64"/>
      <c r="U54" s="97">
        <f>IF(OR($E$25="N/A",AND(AU54=0,'Cover Sheet'!$B$29="Streamlined Review"),AND(E54="Met",F54&lt;&gt;""),AND(E54="Not met",G54&lt;&gt;""),AND(E54="Unsure",G54&lt;&gt;""),AND(E54="N/A",H54&lt;&gt;""),AND(Y54=TRUE)),1,0)</f>
        <v>0</v>
      </c>
      <c r="W54" s="56" t="b">
        <f t="shared" si="10"/>
        <v>0</v>
      </c>
      <c r="X54" s="126" t="b">
        <f t="shared" si="11"/>
        <v>0</v>
      </c>
      <c r="Y54" s="126" t="b">
        <f t="shared" si="18"/>
        <v>0</v>
      </c>
      <c r="Z54" s="126">
        <f t="shared" si="12"/>
        <v>1</v>
      </c>
      <c r="AA54" s="126">
        <f t="shared" si="13"/>
        <v>0</v>
      </c>
      <c r="AB54" s="126">
        <f t="shared" si="14"/>
        <v>0</v>
      </c>
      <c r="AC54" s="126">
        <f t="shared" si="15"/>
        <v>0</v>
      </c>
      <c r="AD54" s="126">
        <f t="shared" si="16"/>
        <v>0</v>
      </c>
      <c r="AE54" s="126">
        <f t="shared" si="17"/>
        <v>0</v>
      </c>
      <c r="AM54" s="69" t="str">
        <f t="shared" si="9"/>
        <v/>
      </c>
      <c r="AU54">
        <v>0</v>
      </c>
    </row>
    <row r="55" spans="1:48" ht="43.5" customHeight="1" x14ac:dyDescent="0.25">
      <c r="A55" s="294" t="s">
        <v>671</v>
      </c>
      <c r="B55" s="295" t="s">
        <v>672</v>
      </c>
      <c r="C55" s="295" t="s">
        <v>673</v>
      </c>
      <c r="D55" s="470" t="s">
        <v>674</v>
      </c>
      <c r="E55" s="297"/>
      <c r="F55" s="297"/>
      <c r="G55" s="297"/>
      <c r="H55" s="214"/>
      <c r="I55" s="92" t="s">
        <v>168</v>
      </c>
      <c r="J55" s="92" t="s">
        <v>178</v>
      </c>
      <c r="K55" s="92" t="s">
        <v>185</v>
      </c>
      <c r="L55" s="71" t="s">
        <v>190</v>
      </c>
      <c r="M55" s="71" t="s">
        <v>195</v>
      </c>
      <c r="N55" s="71"/>
      <c r="O55" s="71" t="s">
        <v>200</v>
      </c>
      <c r="P55" s="71" t="s">
        <v>380</v>
      </c>
      <c r="Q55" s="71"/>
      <c r="R55" s="64">
        <v>42917</v>
      </c>
      <c r="S55" s="64"/>
      <c r="T55" s="64"/>
      <c r="U55" s="97">
        <f>IF(OR($E$25="N/A",AND(AU55=0,'Cover Sheet'!$B$29="Streamlined Review"),AND(E55="Met",F55&lt;&gt;""),AND(E55="Not met",G55&lt;&gt;""),AND(E55="Unsure",G55&lt;&gt;""),AND(E55="N/A",H55&lt;&gt;""),AND(Y55=TRUE)),1,0)</f>
        <v>0</v>
      </c>
      <c r="W55" s="56" t="b">
        <f t="shared" si="10"/>
        <v>0</v>
      </c>
      <c r="X55" s="126" t="b">
        <f t="shared" si="11"/>
        <v>0</v>
      </c>
      <c r="Y55" s="126" t="b">
        <f t="shared" si="18"/>
        <v>0</v>
      </c>
      <c r="Z55" s="126">
        <f t="shared" si="12"/>
        <v>1</v>
      </c>
      <c r="AA55" s="126">
        <f t="shared" si="13"/>
        <v>0</v>
      </c>
      <c r="AB55" s="126">
        <f t="shared" si="14"/>
        <v>0</v>
      </c>
      <c r="AC55" s="126">
        <f t="shared" si="15"/>
        <v>0</v>
      </c>
      <c r="AD55" s="126">
        <f t="shared" si="16"/>
        <v>0</v>
      </c>
      <c r="AE55" s="126">
        <f t="shared" si="17"/>
        <v>0</v>
      </c>
      <c r="AM55" s="69" t="str">
        <f t="shared" si="9"/>
        <v/>
      </c>
      <c r="AU55">
        <v>1</v>
      </c>
    </row>
    <row r="56" spans="1:48" ht="43.5" customHeight="1" x14ac:dyDescent="0.25">
      <c r="A56" s="294" t="s">
        <v>675</v>
      </c>
      <c r="B56" s="295" t="s">
        <v>676</v>
      </c>
      <c r="C56" s="295" t="s">
        <v>677</v>
      </c>
      <c r="D56" s="447">
        <v>1</v>
      </c>
      <c r="E56" s="297"/>
      <c r="F56" s="297"/>
      <c r="G56" s="297"/>
      <c r="H56" s="214"/>
      <c r="I56" s="92" t="s">
        <v>168</v>
      </c>
      <c r="J56" s="92" t="s">
        <v>178</v>
      </c>
      <c r="K56" s="92" t="s">
        <v>185</v>
      </c>
      <c r="L56" s="71"/>
      <c r="M56" s="71"/>
      <c r="N56" s="71"/>
      <c r="O56" s="71"/>
      <c r="P56" s="71" t="s">
        <v>380</v>
      </c>
      <c r="Q56" s="71"/>
      <c r="R56" s="64">
        <v>42917</v>
      </c>
      <c r="S56" s="64"/>
      <c r="T56" s="64"/>
      <c r="U56" s="97">
        <f>IF(OR($E$25="N/A",AND(AU56=0,'Cover Sheet'!$B$29="Streamlined Review"),AND(E56="Met",F56&lt;&gt;""),AND(E56="Not met",G56&lt;&gt;""),AND(E56="Unsure",G56&lt;&gt;""),AND(E56="N/A",H56&lt;&gt;""),AND(Y56=TRUE)),1,0)</f>
        <v>0</v>
      </c>
      <c r="W56" s="56" t="b">
        <f t="shared" si="10"/>
        <v>0</v>
      </c>
      <c r="X56" s="126" t="b">
        <f t="shared" si="11"/>
        <v>0</v>
      </c>
      <c r="Y56" s="126" t="b">
        <f t="shared" si="18"/>
        <v>0</v>
      </c>
      <c r="Z56" s="126">
        <f t="shared" si="12"/>
        <v>1</v>
      </c>
      <c r="AA56" s="126">
        <f t="shared" si="13"/>
        <v>0</v>
      </c>
      <c r="AB56" s="126">
        <f t="shared" si="14"/>
        <v>0</v>
      </c>
      <c r="AC56" s="126">
        <f t="shared" si="15"/>
        <v>0</v>
      </c>
      <c r="AD56" s="126">
        <f t="shared" si="16"/>
        <v>0</v>
      </c>
      <c r="AE56" s="126">
        <f t="shared" si="17"/>
        <v>0</v>
      </c>
      <c r="AM56" s="69" t="str">
        <f t="shared" si="9"/>
        <v/>
      </c>
      <c r="AU56">
        <v>0</v>
      </c>
    </row>
    <row r="57" spans="1:48" ht="67.5" customHeight="1" x14ac:dyDescent="0.25">
      <c r="A57" s="294" t="s">
        <v>678</v>
      </c>
      <c r="B57" s="295" t="s">
        <v>679</v>
      </c>
      <c r="C57" s="295" t="s">
        <v>680</v>
      </c>
      <c r="D57" s="447">
        <v>1</v>
      </c>
      <c r="E57" s="297"/>
      <c r="F57" s="297"/>
      <c r="G57" s="297"/>
      <c r="H57" s="214"/>
      <c r="I57" s="92"/>
      <c r="J57" s="92"/>
      <c r="K57" s="92"/>
      <c r="L57" s="71" t="s">
        <v>190</v>
      </c>
      <c r="M57" s="71"/>
      <c r="N57" s="71"/>
      <c r="O57" s="71"/>
      <c r="P57" s="71" t="s">
        <v>380</v>
      </c>
      <c r="Q57" s="71"/>
      <c r="R57" s="64">
        <v>42917</v>
      </c>
      <c r="S57" s="64"/>
      <c r="T57" s="64"/>
      <c r="U57" s="97">
        <f>IF(OR($E$25="N/A",AND(AU57=0,'Cover Sheet'!$B$29="Streamlined Review"),AND(E57="Met",F57&lt;&gt;""),AND(E57="Not met",G57&lt;&gt;""),AND(E57="Unsure",G57&lt;&gt;""),AND(E57="N/A",H57&lt;&gt;""),AND(Y57=TRUE)),1,0)</f>
        <v>1</v>
      </c>
      <c r="W57" s="56" t="b">
        <f t="shared" si="10"/>
        <v>0</v>
      </c>
      <c r="X57" s="126" t="b">
        <f t="shared" si="11"/>
        <v>1</v>
      </c>
      <c r="Y57" s="126" t="b">
        <f t="shared" si="18"/>
        <v>1</v>
      </c>
      <c r="Z57" s="126">
        <f t="shared" si="12"/>
        <v>0</v>
      </c>
      <c r="AA57" s="126">
        <f t="shared" si="13"/>
        <v>0</v>
      </c>
      <c r="AB57" s="126">
        <f t="shared" si="14"/>
        <v>0</v>
      </c>
      <c r="AC57" s="126">
        <f t="shared" si="15"/>
        <v>0</v>
      </c>
      <c r="AD57" s="126">
        <f t="shared" si="16"/>
        <v>0</v>
      </c>
      <c r="AE57" s="126">
        <f t="shared" si="17"/>
        <v>0</v>
      </c>
      <c r="AM57" s="69" t="str">
        <f t="shared" si="9"/>
        <v/>
      </c>
      <c r="AU57">
        <v>0</v>
      </c>
    </row>
    <row r="58" spans="1:48" ht="42" customHeight="1" x14ac:dyDescent="0.25">
      <c r="A58" s="294" t="s">
        <v>681</v>
      </c>
      <c r="B58" s="295" t="s">
        <v>682</v>
      </c>
      <c r="C58" s="295" t="s">
        <v>683</v>
      </c>
      <c r="D58" s="447">
        <v>1</v>
      </c>
      <c r="E58" s="297"/>
      <c r="F58" s="297"/>
      <c r="G58" s="297"/>
      <c r="H58" s="214"/>
      <c r="I58" s="92" t="s">
        <v>168</v>
      </c>
      <c r="J58" s="92" t="s">
        <v>178</v>
      </c>
      <c r="K58" s="92" t="s">
        <v>185</v>
      </c>
      <c r="L58" s="71" t="s">
        <v>190</v>
      </c>
      <c r="M58" s="71" t="s">
        <v>195</v>
      </c>
      <c r="N58" s="71"/>
      <c r="O58" s="71" t="s">
        <v>200</v>
      </c>
      <c r="P58" s="71" t="s">
        <v>380</v>
      </c>
      <c r="Q58" s="71"/>
      <c r="R58" s="64">
        <v>42917</v>
      </c>
      <c r="S58" s="64"/>
      <c r="T58" s="64"/>
      <c r="U58" s="97">
        <f>IF(OR($E$25="N/A",AND(AU58=0,'Cover Sheet'!$B$29="Streamlined Review"),AND(E58="Met",F58&lt;&gt;""),AND(E58="Not met",G58&lt;&gt;""),AND(E58="Unsure",G58&lt;&gt;""),AND(E58="N/A",H58&lt;&gt;""),AND(Y58=TRUE)),1,0)</f>
        <v>0</v>
      </c>
      <c r="W58" s="56" t="b">
        <f t="shared" si="10"/>
        <v>0</v>
      </c>
      <c r="X58" s="126" t="b">
        <f t="shared" si="11"/>
        <v>0</v>
      </c>
      <c r="Y58" s="126" t="b">
        <f t="shared" si="18"/>
        <v>0</v>
      </c>
      <c r="Z58" s="126">
        <f t="shared" si="12"/>
        <v>1</v>
      </c>
      <c r="AA58" s="126">
        <f t="shared" si="13"/>
        <v>0</v>
      </c>
      <c r="AB58" s="126">
        <f t="shared" si="14"/>
        <v>0</v>
      </c>
      <c r="AC58" s="126">
        <f t="shared" si="15"/>
        <v>0</v>
      </c>
      <c r="AD58" s="126">
        <f t="shared" si="16"/>
        <v>0</v>
      </c>
      <c r="AE58" s="126">
        <f t="shared" si="17"/>
        <v>0</v>
      </c>
      <c r="AM58" s="69" t="str">
        <f t="shared" si="9"/>
        <v/>
      </c>
      <c r="AU58">
        <v>0</v>
      </c>
    </row>
    <row r="59" spans="1:48" ht="28.5" customHeight="1" x14ac:dyDescent="0.25">
      <c r="A59" s="294" t="s">
        <v>684</v>
      </c>
      <c r="B59" s="295" t="s">
        <v>685</v>
      </c>
      <c r="C59" s="295" t="s">
        <v>686</v>
      </c>
      <c r="D59" s="447">
        <v>1</v>
      </c>
      <c r="E59" s="297"/>
      <c r="F59" s="297"/>
      <c r="G59" s="297"/>
      <c r="H59" s="214"/>
      <c r="I59" s="92" t="s">
        <v>168</v>
      </c>
      <c r="J59" s="92" t="s">
        <v>178</v>
      </c>
      <c r="K59" s="92" t="s">
        <v>185</v>
      </c>
      <c r="L59" s="71" t="s">
        <v>190</v>
      </c>
      <c r="M59" s="71" t="s">
        <v>195</v>
      </c>
      <c r="N59" s="71"/>
      <c r="O59" s="71" t="s">
        <v>200</v>
      </c>
      <c r="P59" s="71" t="s">
        <v>380</v>
      </c>
      <c r="Q59" s="71"/>
      <c r="R59" s="64">
        <v>42917</v>
      </c>
      <c r="S59" s="64"/>
      <c r="T59" s="64"/>
      <c r="U59" s="97">
        <f>IF(OR($E$25="N/A",AND(AU59=0,'Cover Sheet'!$B$29="Streamlined Review"),AND(E59="Met",F59&lt;&gt;""),AND(E59="Not met",G59&lt;&gt;""),AND(E59="Unsure",G59&lt;&gt;""),AND(E59="N/A",H59&lt;&gt;""),AND(Y59=TRUE)),1,0)</f>
        <v>0</v>
      </c>
      <c r="W59" s="56" t="b">
        <f t="shared" si="10"/>
        <v>0</v>
      </c>
      <c r="X59" s="126" t="b">
        <f t="shared" si="11"/>
        <v>0</v>
      </c>
      <c r="Y59" s="126" t="b">
        <f t="shared" si="18"/>
        <v>0</v>
      </c>
      <c r="Z59" s="126">
        <f t="shared" si="12"/>
        <v>1</v>
      </c>
      <c r="AA59" s="126">
        <f t="shared" si="13"/>
        <v>0</v>
      </c>
      <c r="AB59" s="126">
        <f t="shared" si="14"/>
        <v>0</v>
      </c>
      <c r="AC59" s="126">
        <f t="shared" si="15"/>
        <v>0</v>
      </c>
      <c r="AD59" s="126">
        <f t="shared" si="16"/>
        <v>0</v>
      </c>
      <c r="AE59" s="126">
        <f t="shared" si="17"/>
        <v>0</v>
      </c>
      <c r="AM59" s="69" t="str">
        <f t="shared" si="9"/>
        <v/>
      </c>
      <c r="AU59">
        <v>0</v>
      </c>
    </row>
    <row r="60" spans="1:48" ht="29.25" customHeight="1" x14ac:dyDescent="0.25">
      <c r="A60" s="294" t="s">
        <v>687</v>
      </c>
      <c r="B60" s="295" t="s">
        <v>685</v>
      </c>
      <c r="C60" s="295" t="s">
        <v>688</v>
      </c>
      <c r="D60" s="447">
        <v>1</v>
      </c>
      <c r="E60" s="297"/>
      <c r="F60" s="297"/>
      <c r="G60" s="297"/>
      <c r="H60" s="214"/>
      <c r="I60" s="92" t="s">
        <v>168</v>
      </c>
      <c r="J60" s="92" t="s">
        <v>178</v>
      </c>
      <c r="K60" s="92" t="s">
        <v>185</v>
      </c>
      <c r="L60" s="71" t="s">
        <v>190</v>
      </c>
      <c r="M60" s="71" t="s">
        <v>195</v>
      </c>
      <c r="N60" s="71"/>
      <c r="O60" s="71" t="s">
        <v>200</v>
      </c>
      <c r="P60" s="71" t="s">
        <v>380</v>
      </c>
      <c r="Q60" s="71"/>
      <c r="R60" s="64">
        <v>42917</v>
      </c>
      <c r="S60" s="64"/>
      <c r="T60" s="64"/>
      <c r="U60" s="97">
        <f>IF(OR($E$25="N/A",AND(AU60=0,'Cover Sheet'!$B$29="Streamlined Review"),AND(E60="Met",F60&lt;&gt;""),AND(E60="Not met",G60&lt;&gt;""),AND(E60="Unsure",G60&lt;&gt;""),AND(E60="N/A",H60&lt;&gt;""),AND(Y60=TRUE)),1,0)</f>
        <v>0</v>
      </c>
      <c r="W60" s="56" t="b">
        <f t="shared" si="10"/>
        <v>0</v>
      </c>
      <c r="X60" s="126" t="b">
        <f t="shared" si="11"/>
        <v>0</v>
      </c>
      <c r="Y60" s="126" t="b">
        <f t="shared" si="18"/>
        <v>0</v>
      </c>
      <c r="Z60" s="126">
        <f t="shared" si="12"/>
        <v>1</v>
      </c>
      <c r="AA60" s="126">
        <f t="shared" si="13"/>
        <v>0</v>
      </c>
      <c r="AB60" s="126">
        <f t="shared" si="14"/>
        <v>0</v>
      </c>
      <c r="AC60" s="126">
        <f t="shared" si="15"/>
        <v>0</v>
      </c>
      <c r="AD60" s="126">
        <f t="shared" si="16"/>
        <v>0</v>
      </c>
      <c r="AE60" s="126">
        <f t="shared" si="17"/>
        <v>0</v>
      </c>
      <c r="AM60" s="69" t="str">
        <f t="shared" si="9"/>
        <v/>
      </c>
      <c r="AU60">
        <v>0</v>
      </c>
    </row>
    <row r="61" spans="1:48" ht="40.5" customHeight="1" x14ac:dyDescent="0.25">
      <c r="A61" s="294" t="s">
        <v>689</v>
      </c>
      <c r="B61" s="295" t="s">
        <v>685</v>
      </c>
      <c r="C61" s="295" t="s">
        <v>690</v>
      </c>
      <c r="D61" s="447">
        <v>1</v>
      </c>
      <c r="E61" s="297"/>
      <c r="F61" s="297"/>
      <c r="G61" s="297"/>
      <c r="H61" s="214"/>
      <c r="I61" s="92" t="s">
        <v>168</v>
      </c>
      <c r="J61" s="92" t="s">
        <v>178</v>
      </c>
      <c r="K61" s="92" t="s">
        <v>185</v>
      </c>
      <c r="L61" s="71" t="s">
        <v>190</v>
      </c>
      <c r="M61" s="71" t="s">
        <v>195</v>
      </c>
      <c r="N61" s="71"/>
      <c r="O61" s="71" t="s">
        <v>200</v>
      </c>
      <c r="P61" s="71" t="s">
        <v>380</v>
      </c>
      <c r="Q61" s="71"/>
      <c r="R61" s="64">
        <v>42917</v>
      </c>
      <c r="S61" s="64"/>
      <c r="T61" s="64"/>
      <c r="U61" s="97">
        <f>IF(OR($E$25="N/A",AND(AU61=0,'Cover Sheet'!$B$29="Streamlined Review"),AND(E61="Met",F61&lt;&gt;""),AND(E61="Not met",G61&lt;&gt;""),AND(E61="Unsure",G61&lt;&gt;""),AND(E61="N/A",H61&lt;&gt;""),AND(Y61=TRUE)),1,0)</f>
        <v>0</v>
      </c>
      <c r="W61" s="56" t="b">
        <f t="shared" si="10"/>
        <v>0</v>
      </c>
      <c r="X61" s="126" t="b">
        <f t="shared" si="11"/>
        <v>0</v>
      </c>
      <c r="Y61" s="126" t="b">
        <f t="shared" si="18"/>
        <v>0</v>
      </c>
      <c r="Z61" s="126">
        <f t="shared" si="12"/>
        <v>1</v>
      </c>
      <c r="AA61" s="126">
        <f t="shared" si="13"/>
        <v>0</v>
      </c>
      <c r="AB61" s="126">
        <f t="shared" si="14"/>
        <v>0</v>
      </c>
      <c r="AC61" s="126">
        <f t="shared" si="15"/>
        <v>0</v>
      </c>
      <c r="AD61" s="126">
        <f t="shared" si="16"/>
        <v>0</v>
      </c>
      <c r="AE61" s="126">
        <f t="shared" si="17"/>
        <v>0</v>
      </c>
      <c r="AM61" s="69" t="str">
        <f t="shared" si="9"/>
        <v/>
      </c>
      <c r="AU61">
        <v>0</v>
      </c>
    </row>
    <row r="62" spans="1:48" ht="27.75" customHeight="1" x14ac:dyDescent="0.25">
      <c r="A62" s="294" t="s">
        <v>691</v>
      </c>
      <c r="B62" s="295" t="s">
        <v>692</v>
      </c>
      <c r="C62" s="295" t="s">
        <v>693</v>
      </c>
      <c r="D62" s="447">
        <v>1</v>
      </c>
      <c r="E62" s="297"/>
      <c r="F62" s="297"/>
      <c r="G62" s="297"/>
      <c r="H62" s="214"/>
      <c r="I62" s="92" t="s">
        <v>168</v>
      </c>
      <c r="J62" s="92" t="s">
        <v>178</v>
      </c>
      <c r="K62" s="92" t="s">
        <v>185</v>
      </c>
      <c r="L62" s="71" t="s">
        <v>190</v>
      </c>
      <c r="M62" s="71" t="s">
        <v>195</v>
      </c>
      <c r="N62" s="71"/>
      <c r="O62" s="71" t="s">
        <v>200</v>
      </c>
      <c r="P62" s="71" t="s">
        <v>380</v>
      </c>
      <c r="Q62" s="71"/>
      <c r="R62" s="64">
        <v>42917</v>
      </c>
      <c r="S62" s="64"/>
      <c r="T62" s="64"/>
      <c r="U62" s="97">
        <f>IF(OR($E$25="N/A",AND(AU62=0,'Cover Sheet'!$B$29="Streamlined Review"),AND(E62="Met",F62&lt;&gt;""),AND(E62="Not met",G62&lt;&gt;""),AND(E62="Unsure",G62&lt;&gt;""),AND(E62="N/A",H62&lt;&gt;""),AND(Y62=TRUE)),1,0)</f>
        <v>0</v>
      </c>
      <c r="W62" s="56" t="b">
        <f t="shared" si="10"/>
        <v>0</v>
      </c>
      <c r="X62" s="126" t="b">
        <f t="shared" si="11"/>
        <v>0</v>
      </c>
      <c r="Y62" s="126" t="b">
        <f t="shared" si="18"/>
        <v>0</v>
      </c>
      <c r="Z62" s="126">
        <f t="shared" si="12"/>
        <v>1</v>
      </c>
      <c r="AA62" s="126">
        <f t="shared" si="13"/>
        <v>0</v>
      </c>
      <c r="AB62" s="126">
        <f t="shared" si="14"/>
        <v>0</v>
      </c>
      <c r="AC62" s="126">
        <f t="shared" si="15"/>
        <v>0</v>
      </c>
      <c r="AD62" s="126">
        <f t="shared" si="16"/>
        <v>0</v>
      </c>
      <c r="AE62" s="126">
        <f t="shared" si="17"/>
        <v>0</v>
      </c>
      <c r="AM62" s="69" t="str">
        <f t="shared" si="9"/>
        <v/>
      </c>
      <c r="AU62">
        <v>0</v>
      </c>
    </row>
    <row r="63" spans="1:48" ht="27.75" customHeight="1" x14ac:dyDescent="0.25">
      <c r="A63" s="294" t="s">
        <v>694</v>
      </c>
      <c r="B63" s="295" t="s">
        <v>695</v>
      </c>
      <c r="C63" s="295" t="s">
        <v>696</v>
      </c>
      <c r="D63" s="447">
        <v>1</v>
      </c>
      <c r="E63" s="297"/>
      <c r="F63" s="297"/>
      <c r="G63" s="297"/>
      <c r="H63" s="214"/>
      <c r="I63" s="92" t="s">
        <v>168</v>
      </c>
      <c r="J63" s="92" t="s">
        <v>178</v>
      </c>
      <c r="K63" s="92" t="s">
        <v>185</v>
      </c>
      <c r="L63" s="71" t="s">
        <v>190</v>
      </c>
      <c r="M63" s="71" t="s">
        <v>195</v>
      </c>
      <c r="N63" s="71"/>
      <c r="O63" s="71" t="s">
        <v>200</v>
      </c>
      <c r="P63" s="71" t="s">
        <v>380</v>
      </c>
      <c r="Q63" s="71"/>
      <c r="R63" s="64">
        <v>42917</v>
      </c>
      <c r="S63" s="64"/>
      <c r="T63" s="64"/>
      <c r="U63" s="97">
        <f>IF(OR($E$25="N/A",AND(AU63=0,'Cover Sheet'!$B$29="Streamlined Review"),AND(E63="Met",F63&lt;&gt;""),AND(E63="Not met",G63&lt;&gt;""),AND(E63="Unsure",G63&lt;&gt;""),AND(E63="N/A",H63&lt;&gt;""),AND(Y63=TRUE)),1,0)</f>
        <v>0</v>
      </c>
      <c r="W63" s="56" t="b">
        <f t="shared" si="10"/>
        <v>0</v>
      </c>
      <c r="X63" s="126" t="b">
        <f t="shared" si="11"/>
        <v>0</v>
      </c>
      <c r="Y63" s="126" t="b">
        <f t="shared" si="18"/>
        <v>0</v>
      </c>
      <c r="Z63" s="126">
        <f t="shared" si="12"/>
        <v>1</v>
      </c>
      <c r="AA63" s="126">
        <f t="shared" si="13"/>
        <v>0</v>
      </c>
      <c r="AB63" s="126">
        <f t="shared" si="14"/>
        <v>0</v>
      </c>
      <c r="AC63" s="126">
        <f t="shared" si="15"/>
        <v>0</v>
      </c>
      <c r="AD63" s="126">
        <f t="shared" si="16"/>
        <v>0</v>
      </c>
      <c r="AE63" s="126">
        <f t="shared" si="17"/>
        <v>0</v>
      </c>
      <c r="AM63" s="69" t="str">
        <f t="shared" si="9"/>
        <v/>
      </c>
      <c r="AU63">
        <v>0</v>
      </c>
    </row>
    <row r="64" spans="1:48" ht="39.75" customHeight="1" x14ac:dyDescent="0.25">
      <c r="A64" s="294" t="s">
        <v>697</v>
      </c>
      <c r="B64" s="295" t="s">
        <v>698</v>
      </c>
      <c r="C64" s="295" t="s">
        <v>699</v>
      </c>
      <c r="D64" s="447">
        <v>5</v>
      </c>
      <c r="E64" s="297"/>
      <c r="F64" s="297"/>
      <c r="G64" s="297"/>
      <c r="H64" s="214"/>
      <c r="I64" s="92" t="s">
        <v>168</v>
      </c>
      <c r="J64" s="92" t="s">
        <v>178</v>
      </c>
      <c r="K64" s="92" t="s">
        <v>185</v>
      </c>
      <c r="L64" s="71" t="s">
        <v>190</v>
      </c>
      <c r="M64" s="71" t="s">
        <v>195</v>
      </c>
      <c r="N64" s="71"/>
      <c r="O64" s="71" t="s">
        <v>200</v>
      </c>
      <c r="P64" s="71" t="s">
        <v>380</v>
      </c>
      <c r="Q64" s="71"/>
      <c r="R64" s="64"/>
      <c r="S64" s="64"/>
      <c r="T64" s="64"/>
      <c r="U64" s="97">
        <f>IF(OR($E$25="N/A",AND(AU64=0,'Cover Sheet'!$B$29="Streamlined Review"),AND(E64="Met",F64&lt;&gt;""),AND(E64="Not met",G64&lt;&gt;""),AND(E64="Unsure",G64&lt;&gt;""),AND(E64="N/A",H64&lt;&gt;""),AND(Y64=TRUE)),1,0)</f>
        <v>0</v>
      </c>
      <c r="W64" s="56" t="b">
        <f t="shared" si="10"/>
        <v>0</v>
      </c>
      <c r="X64" s="126" t="b">
        <f t="shared" si="11"/>
        <v>0</v>
      </c>
      <c r="Y64" s="126" t="b">
        <f t="shared" si="18"/>
        <v>0</v>
      </c>
      <c r="Z64" s="126">
        <f t="shared" si="12"/>
        <v>1</v>
      </c>
      <c r="AA64" s="126">
        <f t="shared" si="13"/>
        <v>0</v>
      </c>
      <c r="AB64" s="126">
        <f t="shared" si="14"/>
        <v>0</v>
      </c>
      <c r="AC64" s="126">
        <f t="shared" si="15"/>
        <v>0</v>
      </c>
      <c r="AD64" s="126">
        <f t="shared" si="16"/>
        <v>0</v>
      </c>
      <c r="AE64" s="126">
        <f t="shared" si="17"/>
        <v>0</v>
      </c>
      <c r="AM64" s="69" t="str">
        <f t="shared" si="9"/>
        <v/>
      </c>
      <c r="AU64">
        <v>0</v>
      </c>
    </row>
    <row r="65" spans="1:48" ht="30" customHeight="1" thickBot="1" x14ac:dyDescent="0.3">
      <c r="A65" s="308" t="s">
        <v>700</v>
      </c>
      <c r="B65" s="309" t="s">
        <v>701</v>
      </c>
      <c r="C65" s="309" t="s">
        <v>702</v>
      </c>
      <c r="D65" s="471"/>
      <c r="E65" s="297"/>
      <c r="F65" s="311"/>
      <c r="G65" s="311"/>
      <c r="H65" s="312"/>
      <c r="I65" s="92" t="s">
        <v>168</v>
      </c>
      <c r="J65" s="92" t="s">
        <v>178</v>
      </c>
      <c r="K65" s="92" t="s">
        <v>185</v>
      </c>
      <c r="L65" s="71" t="s">
        <v>190</v>
      </c>
      <c r="M65" s="71"/>
      <c r="N65" s="71"/>
      <c r="O65" s="71"/>
      <c r="P65" s="71" t="s">
        <v>380</v>
      </c>
      <c r="Q65" s="71"/>
      <c r="R65" s="64">
        <v>43282</v>
      </c>
      <c r="S65" s="64"/>
      <c r="T65" s="64"/>
      <c r="U65" s="97">
        <f>IF(OR($E$25="N/A",AND(AU65=0,'Cover Sheet'!$B$29="Streamlined Review"),AND(E65="Met",F65&lt;&gt;""),AND(E65="Not met",G65&lt;&gt;""),AND(E65="Unsure",G65&lt;&gt;""),AND(E65="N/A",H65&lt;&gt;""),AND(Y65=TRUE)),1,0)</f>
        <v>0</v>
      </c>
      <c r="W65" s="56" t="b">
        <f t="shared" si="10"/>
        <v>0</v>
      </c>
      <c r="X65" s="126" t="b">
        <f t="shared" si="11"/>
        <v>0</v>
      </c>
      <c r="Y65" s="126" t="b">
        <f t="shared" si="18"/>
        <v>0</v>
      </c>
      <c r="Z65" s="126">
        <f t="shared" si="12"/>
        <v>1</v>
      </c>
      <c r="AA65" s="126">
        <f t="shared" si="13"/>
        <v>0</v>
      </c>
      <c r="AB65" s="126">
        <f t="shared" si="14"/>
        <v>0</v>
      </c>
      <c r="AC65" s="126">
        <f t="shared" si="15"/>
        <v>0</v>
      </c>
      <c r="AD65" s="126">
        <f t="shared" si="16"/>
        <v>0</v>
      </c>
      <c r="AE65" s="126">
        <f t="shared" si="17"/>
        <v>0</v>
      </c>
      <c r="AM65" s="69" t="str">
        <f t="shared" si="9"/>
        <v/>
      </c>
      <c r="AU65">
        <v>0</v>
      </c>
    </row>
    <row r="66" spans="1:48" ht="15.75" thickBot="1" x14ac:dyDescent="0.3">
      <c r="A66" s="450"/>
      <c r="B66" s="451"/>
      <c r="C66" s="452" t="s">
        <v>16</v>
      </c>
      <c r="D66" s="442"/>
      <c r="E66" s="443"/>
      <c r="F66" s="472"/>
      <c r="G66" s="444"/>
      <c r="H66" s="445"/>
      <c r="I66" s="132"/>
      <c r="J66" s="132"/>
      <c r="K66" s="132"/>
      <c r="L66" s="133"/>
      <c r="M66" s="134"/>
      <c r="N66" s="141"/>
      <c r="O66" s="141"/>
      <c r="P66" s="135"/>
      <c r="Q66" s="135"/>
      <c r="R66" s="120"/>
      <c r="S66" s="120"/>
      <c r="T66" s="120"/>
      <c r="U66" s="126"/>
      <c r="Z66" s="126"/>
      <c r="AA66" s="126"/>
      <c r="AB66" s="126"/>
      <c r="AC66" s="126"/>
      <c r="AD66" s="126"/>
      <c r="AE66" s="126"/>
    </row>
    <row r="67" spans="1:48" ht="146.25" customHeight="1" thickBot="1" x14ac:dyDescent="0.3">
      <c r="A67" s="254" t="s">
        <v>703</v>
      </c>
      <c r="B67" s="255" t="s">
        <v>704</v>
      </c>
      <c r="C67" s="255" t="s">
        <v>705</v>
      </c>
      <c r="D67" s="473"/>
      <c r="E67" s="297"/>
      <c r="F67" s="313"/>
      <c r="G67" s="313"/>
      <c r="H67" s="314"/>
      <c r="I67" s="92" t="s">
        <v>168</v>
      </c>
      <c r="J67" s="92" t="s">
        <v>178</v>
      </c>
      <c r="K67" s="92" t="s">
        <v>185</v>
      </c>
      <c r="L67" s="71" t="s">
        <v>190</v>
      </c>
      <c r="M67" s="71" t="s">
        <v>195</v>
      </c>
      <c r="N67" s="71"/>
      <c r="O67" s="71" t="s">
        <v>200</v>
      </c>
      <c r="P67" s="71" t="s">
        <v>380</v>
      </c>
      <c r="Q67" s="71"/>
      <c r="R67" s="64">
        <v>42917</v>
      </c>
      <c r="S67" s="64"/>
      <c r="T67" s="64"/>
      <c r="U67" s="97">
        <f>IF(OR($E$66="N/A",AND(AU67=0,'Cover Sheet'!$B$29="Streamlined Review"),AND(E67="Met",F67&lt;&gt;""),AND(E67="Not met",G67&lt;&gt;""),AND(E67="Unsure",G67&lt;&gt;""),AND(E67="N/A",H67&lt;&gt;""),AND(Y67=TRUE)),1,0)</f>
        <v>0</v>
      </c>
      <c r="W67" s="56" t="b">
        <f>IF(OR(AND($H$6="Medicaid",MID($A67,1,FIND(".",$A67,1)-1)="II"),AND($H$6="CHIP",MID($A67,1,FIND(".",$A67,1)-1)="I")),TRUE,FALSE)</f>
        <v>0</v>
      </c>
      <c r="X67" s="126" t="b">
        <f>IF(OR(Y67=TRUE),TRUE,FALSE)</f>
        <v>0</v>
      </c>
      <c r="Y67" s="126" t="b">
        <f>IF(SUM(Z67:AE67)&lt;1,TRUE,FALSE)</f>
        <v>0</v>
      </c>
      <c r="Z67" s="126">
        <f>IF($Z$2=I67,1,0)</f>
        <v>1</v>
      </c>
      <c r="AA67" s="126">
        <f>IF($AA$2=J67,1,0)</f>
        <v>0</v>
      </c>
      <c r="AB67" s="126">
        <f>IF($AB$2=K67,1,0)</f>
        <v>0</v>
      </c>
      <c r="AC67" s="126">
        <f>IF($AC$2=L67,1,0)</f>
        <v>0</v>
      </c>
      <c r="AD67" s="126">
        <f>IF($AD$2=M67,1,0)</f>
        <v>0</v>
      </c>
      <c r="AE67" s="126">
        <f>IF($AE$2=O67,1,0)</f>
        <v>0</v>
      </c>
      <c r="AM67" s="69" t="str">
        <f t="shared" si="9"/>
        <v/>
      </c>
      <c r="AU67">
        <v>0</v>
      </c>
    </row>
    <row r="68" spans="1:48" ht="15.75" thickBot="1" x14ac:dyDescent="0.3">
      <c r="A68" s="450"/>
      <c r="B68" s="451"/>
      <c r="C68" s="452" t="s">
        <v>17</v>
      </c>
      <c r="D68" s="442"/>
      <c r="E68" s="443"/>
      <c r="F68" s="444"/>
      <c r="G68" s="444"/>
      <c r="H68" s="445"/>
      <c r="I68" s="132"/>
      <c r="J68" s="132"/>
      <c r="K68" s="132"/>
      <c r="L68" s="133"/>
      <c r="M68" s="134"/>
      <c r="N68" s="141"/>
      <c r="O68" s="141"/>
      <c r="P68" s="135"/>
      <c r="Q68" s="135"/>
      <c r="R68" s="120"/>
      <c r="S68" s="120"/>
      <c r="T68" s="120"/>
      <c r="U68" s="126"/>
      <c r="Z68" s="126"/>
      <c r="AA68" s="126"/>
      <c r="AB68" s="126"/>
      <c r="AC68" s="126"/>
      <c r="AD68" s="126"/>
      <c r="AE68" s="126"/>
    </row>
    <row r="69" spans="1:48" ht="204.6" customHeight="1" x14ac:dyDescent="0.25">
      <c r="A69" s="294" t="s">
        <v>706</v>
      </c>
      <c r="B69" s="295" t="s">
        <v>707</v>
      </c>
      <c r="C69" s="295" t="s">
        <v>708</v>
      </c>
      <c r="D69" s="470">
        <v>6</v>
      </c>
      <c r="E69" s="297"/>
      <c r="F69" s="297"/>
      <c r="G69" s="297"/>
      <c r="H69" s="214"/>
      <c r="I69" s="92" t="s">
        <v>168</v>
      </c>
      <c r="J69" s="92" t="s">
        <v>178</v>
      </c>
      <c r="K69" s="92" t="s">
        <v>185</v>
      </c>
      <c r="L69" s="71" t="s">
        <v>190</v>
      </c>
      <c r="M69" s="71" t="s">
        <v>195</v>
      </c>
      <c r="N69" s="71"/>
      <c r="O69" s="71" t="s">
        <v>200</v>
      </c>
      <c r="P69" s="71" t="s">
        <v>380</v>
      </c>
      <c r="Q69" s="71"/>
      <c r="R69" s="64"/>
      <c r="S69" s="64"/>
      <c r="T69" s="64"/>
      <c r="U69" s="97">
        <f>IF(OR($E$68="N/A",AND(AU69=0,'Cover Sheet'!$B$29="Streamlined Review"),AND(E69="Met",F69&lt;&gt;""),AND(E69="Not met",G69&lt;&gt;""),AND(E69="Unsure",G69&lt;&gt;""),AND(E69="N/A",H69&lt;&gt;""),AND(Y69=TRUE),X69=TRUE),1,0)</f>
        <v>0</v>
      </c>
      <c r="W69" s="56" t="b">
        <f>IF(OR(AND($H$6="Medicaid",MID($A69,1,FIND(".",$A69,1)-1)="II"),AND($H$6="CHIP",MID($A69,1,FIND(".",$A69,1)-1)="I")),TRUE,FALSE)</f>
        <v>0</v>
      </c>
      <c r="X69" s="126" t="b">
        <f>IF(OR(Y69=TRUE,AV69=0),TRUE,FALSE)</f>
        <v>0</v>
      </c>
      <c r="Y69" s="126" t="b">
        <f>IF(SUM(Z69:AE69)&lt;1,TRUE,FALSE)</f>
        <v>0</v>
      </c>
      <c r="Z69" s="126">
        <f>IF($Z$2=I69,1,0)</f>
        <v>1</v>
      </c>
      <c r="AA69" s="126">
        <f>IF($AA$2=J69,1,0)</f>
        <v>0</v>
      </c>
      <c r="AB69" s="126">
        <f>IF($AB$2=K69,1,0)</f>
        <v>0</v>
      </c>
      <c r="AC69" s="126">
        <f>IF($AC$2=L69,1,0)</f>
        <v>0</v>
      </c>
      <c r="AD69" s="126">
        <f>IF($AD$2=M69,1,0)</f>
        <v>0</v>
      </c>
      <c r="AE69" s="126">
        <f>IF($AE$2=O69,1,0)</f>
        <v>0</v>
      </c>
      <c r="AM69" s="69" t="str">
        <f t="shared" ref="AM69" si="19">IF(AL69=1,1,"")</f>
        <v/>
      </c>
      <c r="AU69">
        <v>1</v>
      </c>
      <c r="AV69">
        <f>IF(AV70=1,0,1)</f>
        <v>1</v>
      </c>
    </row>
    <row r="70" spans="1:48" ht="211.5" customHeight="1" x14ac:dyDescent="0.25">
      <c r="A70" s="294" t="s">
        <v>706</v>
      </c>
      <c r="B70" s="295" t="s">
        <v>707</v>
      </c>
      <c r="C70" s="295" t="s">
        <v>709</v>
      </c>
      <c r="D70" s="470">
        <v>6</v>
      </c>
      <c r="E70" s="297"/>
      <c r="F70" s="297"/>
      <c r="G70" s="297"/>
      <c r="H70" s="214"/>
      <c r="I70" s="92" t="s">
        <v>168</v>
      </c>
      <c r="J70" s="92" t="s">
        <v>178</v>
      </c>
      <c r="K70" s="92" t="s">
        <v>185</v>
      </c>
      <c r="L70" s="71" t="s">
        <v>190</v>
      </c>
      <c r="M70" s="71" t="s">
        <v>195</v>
      </c>
      <c r="N70" s="71"/>
      <c r="O70" s="71" t="s">
        <v>200</v>
      </c>
      <c r="P70" s="71" t="s">
        <v>380</v>
      </c>
      <c r="Q70" s="71"/>
      <c r="R70" s="64">
        <v>45839</v>
      </c>
      <c r="S70" s="64"/>
      <c r="T70" s="64"/>
      <c r="U70" s="97">
        <f>IF(OR($E$68="N/A",AND(AU70=0,'Cover Sheet'!$B$29="Streamlined Review"),AND(E70="Met",F70&lt;&gt;""),AND(E70="Not met",G70&lt;&gt;""),AND(E70="Unsure",G70&lt;&gt;""),AND(E70="N/A",H70&lt;&gt;""),AND(Y70=TRUE),X70=TRUE),1,0)</f>
        <v>1</v>
      </c>
      <c r="W70" s="56" t="b">
        <f>IF(OR(AND($H$6="Medicaid",MID($A70,1,FIND(".",$A70,1)-1)="II"),AND($H$6="CHIP",MID($A70,1,FIND(".",$A70,1)-1)="I")),TRUE,FALSE)</f>
        <v>0</v>
      </c>
      <c r="X70" s="126" t="b">
        <f>IF(OR(Y70=TRUE,AV70=0),TRUE,FALSE)</f>
        <v>1</v>
      </c>
      <c r="Y70" s="126" t="b">
        <f>IF(SUM(Z70:AE70)&lt;1,TRUE,FALSE)</f>
        <v>0</v>
      </c>
      <c r="Z70" s="126">
        <f>IF($Z$2=I70,1,0)</f>
        <v>1</v>
      </c>
      <c r="AA70" s="126">
        <f>IF($AA$2=J70,1,0)</f>
        <v>0</v>
      </c>
      <c r="AB70" s="126">
        <f>IF($AB$2=K70,1,0)</f>
        <v>0</v>
      </c>
      <c r="AC70" s="126">
        <f>IF($AC$2=L70,1,0)</f>
        <v>0</v>
      </c>
      <c r="AD70" s="126">
        <f>IF($AD$2=M70,1,0)</f>
        <v>0</v>
      </c>
      <c r="AE70" s="126">
        <f>IF($AE$2=O70,1,0)</f>
        <v>0</v>
      </c>
      <c r="AM70" s="69" t="str">
        <f t="shared" si="9"/>
        <v/>
      </c>
      <c r="AU70">
        <v>1</v>
      </c>
      <c r="AV70">
        <f>IF('Cover Sheet'!$B$25&gt;=R70,1,0)</f>
        <v>0</v>
      </c>
    </row>
    <row r="71" spans="1:48" ht="55.5" customHeight="1" x14ac:dyDescent="0.25">
      <c r="A71" s="294" t="s">
        <v>710</v>
      </c>
      <c r="B71" s="263" t="s">
        <v>711</v>
      </c>
      <c r="C71" s="263" t="s">
        <v>712</v>
      </c>
      <c r="D71" s="470">
        <v>6</v>
      </c>
      <c r="E71" s="297"/>
      <c r="F71" s="297"/>
      <c r="G71" s="297"/>
      <c r="H71" s="214"/>
      <c r="I71" s="92" t="s">
        <v>168</v>
      </c>
      <c r="J71" s="92" t="s">
        <v>178</v>
      </c>
      <c r="K71" s="92" t="s">
        <v>185</v>
      </c>
      <c r="L71" s="71" t="s">
        <v>190</v>
      </c>
      <c r="M71" s="71" t="s">
        <v>195</v>
      </c>
      <c r="N71" s="71"/>
      <c r="O71" s="71" t="s">
        <v>200</v>
      </c>
      <c r="P71" s="71" t="s">
        <v>380</v>
      </c>
      <c r="Q71" s="71"/>
      <c r="R71" s="64">
        <v>44179</v>
      </c>
      <c r="S71" s="64"/>
      <c r="T71" s="64"/>
      <c r="U71" s="97">
        <f>IF(OR($E$68="N/A",AND(AU71=0,'Cover Sheet'!$B$29="Streamlined Review"),AND(E71="Met",F71&lt;&gt;""),AND(E71="Not met",G71&lt;&gt;""),AND(E71="Unsure",G71&lt;&gt;""),AND(E71="N/A",H71&lt;&gt;""),AND(Y71=TRUE)),1,0)</f>
        <v>0</v>
      </c>
      <c r="W71" s="56" t="b">
        <f>IF(OR(AND($H$6="Medicaid",MID($A71,1,FIND(".",$A71,1)-1)="II"),AND($H$6="CHIP",MID($A71,1,FIND(".",$A71,1)-1)="I")),TRUE,FALSE)</f>
        <v>0</v>
      </c>
      <c r="X71" s="126" t="b">
        <f>IF(OR(Y71=TRUE),TRUE,FALSE)</f>
        <v>0</v>
      </c>
      <c r="Y71" s="126" t="b">
        <f>IF(SUM(Z71:AE71)&lt;1,TRUE,FALSE)</f>
        <v>0</v>
      </c>
      <c r="Z71" s="126">
        <f>IF($Z$2=I71,1,0)</f>
        <v>1</v>
      </c>
      <c r="AA71" s="126">
        <f>IF($AA$2=J71,1,0)</f>
        <v>0</v>
      </c>
      <c r="AB71" s="126">
        <f>IF($AB$2=K71,1,0)</f>
        <v>0</v>
      </c>
      <c r="AC71" s="126">
        <f>IF($AC$2=L71,1,0)</f>
        <v>0</v>
      </c>
      <c r="AD71" s="126">
        <f>IF($AD$2=M71,1,0)</f>
        <v>0</v>
      </c>
      <c r="AE71" s="126">
        <f>IF($AE$2=O71,1,0)</f>
        <v>0</v>
      </c>
      <c r="AM71" s="69" t="str">
        <f>IF(AL71=1,1,"")</f>
        <v/>
      </c>
      <c r="AU71">
        <v>1</v>
      </c>
    </row>
    <row r="72" spans="1:48" ht="41.25" customHeight="1" x14ac:dyDescent="0.25">
      <c r="A72" s="294" t="s">
        <v>713</v>
      </c>
      <c r="B72" s="263" t="s">
        <v>714</v>
      </c>
      <c r="C72" s="263" t="s">
        <v>715</v>
      </c>
      <c r="D72" s="470">
        <v>6</v>
      </c>
      <c r="E72" s="297"/>
      <c r="F72" s="297"/>
      <c r="G72" s="297"/>
      <c r="H72" s="214"/>
      <c r="I72" s="92" t="s">
        <v>168</v>
      </c>
      <c r="J72" s="92" t="s">
        <v>178</v>
      </c>
      <c r="K72" s="92" t="s">
        <v>185</v>
      </c>
      <c r="L72" s="71" t="s">
        <v>190</v>
      </c>
      <c r="M72" s="71" t="s">
        <v>195</v>
      </c>
      <c r="N72" s="71"/>
      <c r="O72" s="71" t="s">
        <v>200</v>
      </c>
      <c r="P72" s="71" t="s">
        <v>380</v>
      </c>
      <c r="Q72" s="71"/>
      <c r="R72" s="64">
        <v>44179</v>
      </c>
      <c r="S72" s="64"/>
      <c r="T72" s="64"/>
      <c r="U72" s="97">
        <f>IF(OR($E$68="N/A",AND(AU72=0,'Cover Sheet'!$B$29="Streamlined Review"),AND(E72="Met",F72&lt;&gt;""),AND(E72="Not met",G72&lt;&gt;""),AND(E72="Unsure",G72&lt;&gt;""),AND(E72="N/A",H72&lt;&gt;""),AND(Y72=TRUE)),1,0)</f>
        <v>0</v>
      </c>
      <c r="W72" s="56" t="b">
        <f>IF(OR(AND($H$6="Medicaid",MID($A72,1,FIND(".",$A72,1)-1)="II"),AND($H$6="CHIP",MID($A72,1,FIND(".",$A72,1)-1)="I")),TRUE,FALSE)</f>
        <v>0</v>
      </c>
      <c r="X72" s="126" t="b">
        <f>IF(OR(Y72=TRUE),TRUE,FALSE)</f>
        <v>0</v>
      </c>
      <c r="Y72" s="126" t="b">
        <f>IF(SUM(Z72:AE72)&lt;1,TRUE,FALSE)</f>
        <v>0</v>
      </c>
      <c r="Z72" s="126">
        <f>IF($Z$2=I72,1,0)</f>
        <v>1</v>
      </c>
      <c r="AA72" s="126">
        <f>IF($AA$2=J72,1,0)</f>
        <v>0</v>
      </c>
      <c r="AB72" s="126">
        <f>IF($AB$2=K72,1,0)</f>
        <v>0</v>
      </c>
      <c r="AC72" s="126">
        <f>IF($AC$2=L72,1,0)</f>
        <v>0</v>
      </c>
      <c r="AD72" s="126">
        <f>IF($AD$2=M72,1,0)</f>
        <v>0</v>
      </c>
      <c r="AE72" s="126">
        <f>IF($AE$2=O72,1,0)</f>
        <v>0</v>
      </c>
      <c r="AM72" s="69" t="str">
        <f>IF(AL72=1,1,"")</f>
        <v/>
      </c>
      <c r="AU72">
        <v>1</v>
      </c>
    </row>
    <row r="73" spans="1:48" ht="39" thickBot="1" x14ac:dyDescent="0.3">
      <c r="A73" s="294" t="s">
        <v>716</v>
      </c>
      <c r="B73" s="295" t="s">
        <v>717</v>
      </c>
      <c r="C73" s="295" t="s">
        <v>718</v>
      </c>
      <c r="D73" s="447">
        <v>6</v>
      </c>
      <c r="E73" s="297"/>
      <c r="F73" s="297"/>
      <c r="G73" s="297"/>
      <c r="H73" s="214"/>
      <c r="I73" s="92" t="s">
        <v>168</v>
      </c>
      <c r="J73" s="92" t="s">
        <v>178</v>
      </c>
      <c r="K73" s="92" t="s">
        <v>185</v>
      </c>
      <c r="L73" s="71" t="s">
        <v>190</v>
      </c>
      <c r="M73" s="71" t="s">
        <v>195</v>
      </c>
      <c r="N73" s="71"/>
      <c r="O73" s="71" t="s">
        <v>200</v>
      </c>
      <c r="P73" s="71" t="s">
        <v>380</v>
      </c>
      <c r="Q73" s="71"/>
      <c r="R73" s="64">
        <v>42917</v>
      </c>
      <c r="S73" s="64"/>
      <c r="T73" s="64"/>
      <c r="U73" s="97">
        <f>IF(OR($E$68="N/A",AND(AU73=0,'Cover Sheet'!$B$29="Streamlined Review"),AND(E73="Met",F73&lt;&gt;""),AND(E73="Not met",G73&lt;&gt;""),AND(E73="Unsure",G73&lt;&gt;""),AND(E73="N/A",H73&lt;&gt;""),AND(Y73=TRUE)),1,0)</f>
        <v>0</v>
      </c>
      <c r="W73" s="56" t="b">
        <f>IF(OR(AND($H$6="Medicaid",MID($A73,1,FIND(".",$A73,1)-1)="II"),AND($H$6="CHIP",MID($A73,1,FIND(".",$A73,1)-1)="I")),TRUE,FALSE)</f>
        <v>0</v>
      </c>
      <c r="X73" s="126" t="b">
        <f>IF(OR(Y73=TRUE),TRUE,FALSE)</f>
        <v>0</v>
      </c>
      <c r="Y73" s="126" t="b">
        <f>IF(SUM(Z73:AE73)&lt;1,TRUE,FALSE)</f>
        <v>0</v>
      </c>
      <c r="Z73" s="126">
        <f>IF($Z$2=I73,1,0)</f>
        <v>1</v>
      </c>
      <c r="AA73" s="126">
        <f>IF($AA$2=J73,1,0)</f>
        <v>0</v>
      </c>
      <c r="AB73" s="126">
        <f>IF($AB$2=K73,1,0)</f>
        <v>0</v>
      </c>
      <c r="AC73" s="126">
        <f>IF($AC$2=L73,1,0)</f>
        <v>0</v>
      </c>
      <c r="AD73" s="126">
        <f>IF($AD$2=M73,1,0)</f>
        <v>0</v>
      </c>
      <c r="AE73" s="126">
        <f>IF($AE$2=O73,1,0)</f>
        <v>0</v>
      </c>
      <c r="AM73" s="69" t="str">
        <f>IF(AL73=1,1,"")</f>
        <v/>
      </c>
      <c r="AU73">
        <v>0</v>
      </c>
    </row>
    <row r="74" spans="1:48" ht="15.75" thickBot="1" x14ac:dyDescent="0.3">
      <c r="A74" s="450"/>
      <c r="B74" s="451"/>
      <c r="C74" s="452" t="s">
        <v>18</v>
      </c>
      <c r="D74" s="442"/>
      <c r="E74" s="443"/>
      <c r="F74" s="444"/>
      <c r="G74" s="444"/>
      <c r="H74" s="445"/>
      <c r="I74" s="132"/>
      <c r="J74" s="132"/>
      <c r="K74" s="132"/>
      <c r="L74" s="133"/>
      <c r="M74" s="134"/>
      <c r="N74" s="141"/>
      <c r="O74" s="141"/>
      <c r="P74" s="135"/>
      <c r="Q74" s="135"/>
      <c r="R74" s="120"/>
      <c r="S74" s="120"/>
      <c r="T74" s="120"/>
      <c r="U74" s="126"/>
      <c r="Z74" s="126"/>
      <c r="AA74" s="126"/>
      <c r="AB74" s="126"/>
      <c r="AC74" s="126"/>
      <c r="AD74" s="126"/>
      <c r="AE74" s="126"/>
    </row>
    <row r="75" spans="1:48" ht="30.75" customHeight="1" x14ac:dyDescent="0.25">
      <c r="A75" s="294" t="s">
        <v>719</v>
      </c>
      <c r="B75" s="295" t="s">
        <v>720</v>
      </c>
      <c r="C75" s="295" t="s">
        <v>721</v>
      </c>
      <c r="D75" s="447" t="s">
        <v>722</v>
      </c>
      <c r="E75" s="297"/>
      <c r="F75" s="297"/>
      <c r="G75" s="297"/>
      <c r="H75" s="214"/>
      <c r="I75" s="92" t="s">
        <v>168</v>
      </c>
      <c r="J75" s="92" t="s">
        <v>178</v>
      </c>
      <c r="K75" s="92" t="s">
        <v>185</v>
      </c>
      <c r="L75" s="71" t="s">
        <v>190</v>
      </c>
      <c r="M75" s="71"/>
      <c r="N75" s="71"/>
      <c r="O75" s="71" t="s">
        <v>200</v>
      </c>
      <c r="P75" s="71" t="s">
        <v>380</v>
      </c>
      <c r="Q75" s="71"/>
      <c r="R75" s="64">
        <v>42917</v>
      </c>
      <c r="S75" s="64"/>
      <c r="T75" s="64"/>
      <c r="U75" s="97">
        <f>IF(OR($E$74="N/A",AND(AU75=0,'Cover Sheet'!$B$29="Streamlined Review"),AND(E75="Met",F75&lt;&gt;""),AND(E75="Not met",G75&lt;&gt;""),AND(E75="Unsure",G75&lt;&gt;""),AND(E75="N/A",H75&lt;&gt;""),AND(Y75=TRUE)),1,0)</f>
        <v>0</v>
      </c>
      <c r="W75" s="56" t="b">
        <f>IF(OR(AND($H$6="Medicaid",MID($A75,1,FIND(".",$A75,1)-1)="II"),AND($H$6="CHIP",MID($A75,1,FIND(".",$A75,1)-1)="I")),TRUE,FALSE)</f>
        <v>0</v>
      </c>
      <c r="X75" s="126" t="b">
        <f>IF(OR(Y75=TRUE),TRUE,FALSE)</f>
        <v>0</v>
      </c>
      <c r="Y75" s="126" t="b">
        <f>IF(SUM(Z75:AE75)&lt;1,TRUE,FALSE)</f>
        <v>0</v>
      </c>
      <c r="Z75" s="126">
        <f>IF($Z$2=I75,1,0)</f>
        <v>1</v>
      </c>
      <c r="AA75" s="126">
        <f>IF($AA$2=J75,1,0)</f>
        <v>0</v>
      </c>
      <c r="AB75" s="126">
        <f>IF($AB$2=K75,1,0)</f>
        <v>0</v>
      </c>
      <c r="AC75" s="126">
        <f>IF($AC$2=L75,1,0)</f>
        <v>0</v>
      </c>
      <c r="AD75" s="126">
        <f>IF($AD$2=M75,1,0)</f>
        <v>0</v>
      </c>
      <c r="AE75" s="126">
        <f>IF($AE$2=O75,1,0)</f>
        <v>0</v>
      </c>
      <c r="AM75" s="69" t="str">
        <f>IF(AL75=1,1,"")</f>
        <v/>
      </c>
      <c r="AU75">
        <v>0</v>
      </c>
    </row>
    <row r="76" spans="1:48" ht="30.75" customHeight="1" x14ac:dyDescent="0.25">
      <c r="A76" s="294" t="s">
        <v>723</v>
      </c>
      <c r="B76" s="295" t="s">
        <v>724</v>
      </c>
      <c r="C76" s="295" t="s">
        <v>725</v>
      </c>
      <c r="D76" s="447" t="s">
        <v>722</v>
      </c>
      <c r="E76" s="297"/>
      <c r="F76" s="297"/>
      <c r="G76" s="297"/>
      <c r="H76" s="214"/>
      <c r="I76" s="92" t="s">
        <v>168</v>
      </c>
      <c r="J76" s="92" t="s">
        <v>178</v>
      </c>
      <c r="K76" s="92" t="s">
        <v>185</v>
      </c>
      <c r="L76" s="71" t="s">
        <v>190</v>
      </c>
      <c r="M76" s="71"/>
      <c r="N76" s="71"/>
      <c r="O76" s="71" t="s">
        <v>200</v>
      </c>
      <c r="P76" s="71" t="s">
        <v>380</v>
      </c>
      <c r="Q76" s="71"/>
      <c r="R76" s="64">
        <v>42917</v>
      </c>
      <c r="S76" s="64"/>
      <c r="T76" s="64"/>
      <c r="U76" s="97">
        <f>IF(OR($E$74="N/A",AND(AU76=0,'Cover Sheet'!$B$29="Streamlined Review"),AND(E76="Met",F76&lt;&gt;""),AND(E76="Not met",G76&lt;&gt;""),AND(E76="Unsure",G76&lt;&gt;""),AND(E76="N/A",H76&lt;&gt;""),AND(Y76=TRUE)),1,0)</f>
        <v>0</v>
      </c>
      <c r="W76" s="56" t="b">
        <f>IF(OR(AND($H$6="Medicaid",MID($A76,1,FIND(".",$A76,1)-1)="II"),AND($H$6="CHIP",MID($A76,1,FIND(".",$A76,1)-1)="I")),TRUE,FALSE)</f>
        <v>0</v>
      </c>
      <c r="X76" s="126" t="b">
        <f>IF(OR(Y76=TRUE),TRUE,FALSE)</f>
        <v>0</v>
      </c>
      <c r="Y76" s="126" t="b">
        <f>IF(SUM(Z76:AE76)&lt;1,TRUE,FALSE)</f>
        <v>0</v>
      </c>
      <c r="Z76" s="126">
        <f>IF($Z$2=I76,1,0)</f>
        <v>1</v>
      </c>
      <c r="AA76" s="126">
        <f>IF($AA$2=J76,1,0)</f>
        <v>0</v>
      </c>
      <c r="AB76" s="126">
        <f>IF($AB$2=K76,1,0)</f>
        <v>0</v>
      </c>
      <c r="AC76" s="126">
        <f>IF($AC$2=L76,1,0)</f>
        <v>0</v>
      </c>
      <c r="AD76" s="126">
        <f>IF($AD$2=M76,1,0)</f>
        <v>0</v>
      </c>
      <c r="AE76" s="126">
        <f>IF($AE$2=O76,1,0)</f>
        <v>0</v>
      </c>
      <c r="AM76" s="69" t="str">
        <f>IF(AL76=1,1,"")</f>
        <v/>
      </c>
      <c r="AU76">
        <v>0</v>
      </c>
    </row>
    <row r="77" spans="1:48" ht="33.75" customHeight="1" thickBot="1" x14ac:dyDescent="0.3">
      <c r="A77" s="294" t="s">
        <v>726</v>
      </c>
      <c r="B77" s="295" t="s">
        <v>727</v>
      </c>
      <c r="C77" s="295" t="s">
        <v>728</v>
      </c>
      <c r="D77" s="447" t="s">
        <v>722</v>
      </c>
      <c r="E77" s="297"/>
      <c r="F77" s="297"/>
      <c r="G77" s="297"/>
      <c r="H77" s="214"/>
      <c r="I77" s="92" t="s">
        <v>168</v>
      </c>
      <c r="J77" s="92" t="s">
        <v>178</v>
      </c>
      <c r="K77" s="92" t="s">
        <v>185</v>
      </c>
      <c r="L77" s="71" t="s">
        <v>190</v>
      </c>
      <c r="M77" s="71"/>
      <c r="N77" s="71"/>
      <c r="O77" s="71" t="s">
        <v>200</v>
      </c>
      <c r="P77" s="71" t="s">
        <v>380</v>
      </c>
      <c r="Q77" s="71"/>
      <c r="R77" s="64">
        <v>42917</v>
      </c>
      <c r="S77" s="64"/>
      <c r="T77" s="64"/>
      <c r="U77" s="97">
        <f>IF(OR($E$74="N/A",AND(AU77=0,'Cover Sheet'!$B$29="Streamlined Review"),AND(E77="Met",F77&lt;&gt;""),AND(E77="Not met",G77&lt;&gt;""),AND(E77="Unsure",G77&lt;&gt;""),AND(E77="N/A",H77&lt;&gt;""),AND(Y77=TRUE)),1,0)</f>
        <v>0</v>
      </c>
      <c r="W77" s="56" t="b">
        <f>IF(OR(AND($H$6="Medicaid",MID($A77,1,FIND(".",$A77,1)-1)="II"),AND($H$6="CHIP",MID($A77,1,FIND(".",$A77,1)-1)="I")),TRUE,FALSE)</f>
        <v>0</v>
      </c>
      <c r="X77" s="126" t="b">
        <f>IF(OR(Y77=TRUE),TRUE,FALSE)</f>
        <v>0</v>
      </c>
      <c r="Y77" s="126" t="b">
        <f>IF(SUM(Z77:AE77)&lt;1,TRUE,FALSE)</f>
        <v>0</v>
      </c>
      <c r="Z77" s="126">
        <f>IF($Z$2=I77,1,0)</f>
        <v>1</v>
      </c>
      <c r="AA77" s="126">
        <f>IF($AA$2=J77,1,0)</f>
        <v>0</v>
      </c>
      <c r="AB77" s="126">
        <f>IF($AB$2=K77,1,0)</f>
        <v>0</v>
      </c>
      <c r="AC77" s="126">
        <f>IF($AC$2=L77,1,0)</f>
        <v>0</v>
      </c>
      <c r="AD77" s="126">
        <f>IF($AD$2=M77,1,0)</f>
        <v>0</v>
      </c>
      <c r="AE77" s="126">
        <f>IF($AE$2=O77,1,0)</f>
        <v>0</v>
      </c>
      <c r="AM77" s="69" t="str">
        <f>IF(AL77=1,1,"")</f>
        <v/>
      </c>
      <c r="AU77">
        <v>0</v>
      </c>
    </row>
    <row r="78" spans="1:48" ht="15.75" thickBot="1" x14ac:dyDescent="0.3">
      <c r="A78" s="450"/>
      <c r="B78" s="451"/>
      <c r="C78" s="452" t="s">
        <v>19</v>
      </c>
      <c r="D78" s="442"/>
      <c r="E78" s="443"/>
      <c r="F78" s="444"/>
      <c r="G78" s="444"/>
      <c r="H78" s="445"/>
      <c r="I78" s="132"/>
      <c r="J78" s="132"/>
      <c r="K78" s="132"/>
      <c r="L78" s="133"/>
      <c r="M78" s="134"/>
      <c r="N78" s="141"/>
      <c r="O78" s="141"/>
      <c r="P78" s="135"/>
      <c r="Q78" s="135"/>
      <c r="R78" s="120"/>
      <c r="S78" s="120"/>
      <c r="T78" s="120"/>
      <c r="U78" s="126"/>
      <c r="Z78" s="126"/>
      <c r="AA78" s="126"/>
      <c r="AB78" s="126"/>
      <c r="AC78" s="126"/>
      <c r="AD78" s="126"/>
      <c r="AE78" s="126"/>
    </row>
    <row r="79" spans="1:48" ht="84" customHeight="1" x14ac:dyDescent="0.25">
      <c r="A79" s="294" t="s">
        <v>729</v>
      </c>
      <c r="B79" s="295" t="s">
        <v>730</v>
      </c>
      <c r="C79" s="263" t="s">
        <v>731</v>
      </c>
      <c r="D79" s="446"/>
      <c r="E79" s="297"/>
      <c r="F79" s="297"/>
      <c r="G79" s="297"/>
      <c r="H79" s="214"/>
      <c r="I79" s="92" t="s">
        <v>168</v>
      </c>
      <c r="J79" s="92" t="s">
        <v>178</v>
      </c>
      <c r="K79" s="92" t="s">
        <v>185</v>
      </c>
      <c r="L79" s="71" t="s">
        <v>190</v>
      </c>
      <c r="M79" s="71" t="s">
        <v>195</v>
      </c>
      <c r="N79" s="71"/>
      <c r="O79" s="71" t="s">
        <v>200</v>
      </c>
      <c r="P79" s="71" t="s">
        <v>380</v>
      </c>
      <c r="Q79" s="71"/>
      <c r="R79" s="64">
        <v>44179</v>
      </c>
      <c r="S79" s="64"/>
      <c r="T79" s="64"/>
      <c r="U79" s="97">
        <f>IF(OR($E$78="N/A",AND(AU79=0,'Cover Sheet'!$B$29="Streamlined Review"),AND(E79="Met",F79&lt;&gt;""),AND(E79="Not met",G79&lt;&gt;""),AND(E79="Unsure",G79&lt;&gt;""),AND(E79="N/A",H79&lt;&gt;""),AND(Y79=TRUE)),1,0)</f>
        <v>0</v>
      </c>
      <c r="W79" s="56" t="b">
        <f>IF(OR(AND($H$6="Medicaid",MID($A79,1,FIND(".",$A79,1)-1)="II"),AND($H$6="CHIP",MID($A79,1,FIND(".",$A79,1)-1)="I")),TRUE,FALSE)</f>
        <v>0</v>
      </c>
      <c r="X79" s="126" t="b">
        <f>IF(OR(Y79=TRUE),TRUE,FALSE)</f>
        <v>0</v>
      </c>
      <c r="Y79" s="126" t="b">
        <f>IF(SUM(Z79:AE79)&lt;1,TRUE,FALSE)</f>
        <v>0</v>
      </c>
      <c r="Z79" s="126">
        <f>IF($Z$2=I79,1,0)</f>
        <v>1</v>
      </c>
      <c r="AA79" s="126">
        <f>IF($AA$2=J79,1,0)</f>
        <v>0</v>
      </c>
      <c r="AB79" s="126">
        <f>IF($AB$2=K79,1,0)</f>
        <v>0</v>
      </c>
      <c r="AC79" s="126">
        <f>IF($AC$2=L79,1,0)</f>
        <v>0</v>
      </c>
      <c r="AD79" s="126">
        <f>IF($AD$2=M79,1,0)</f>
        <v>0</v>
      </c>
      <c r="AE79" s="126">
        <f>IF($AE$2=O79,1,0)</f>
        <v>0</v>
      </c>
      <c r="AM79" s="69" t="str">
        <f>IF(AL79=1,1,"")</f>
        <v/>
      </c>
      <c r="AU79">
        <v>0</v>
      </c>
    </row>
    <row r="80" spans="1:48" ht="26.25" thickBot="1" x14ac:dyDescent="0.3">
      <c r="A80" s="294" t="s">
        <v>732</v>
      </c>
      <c r="B80" s="295" t="s">
        <v>733</v>
      </c>
      <c r="C80" s="295" t="s">
        <v>734</v>
      </c>
      <c r="D80" s="446"/>
      <c r="E80" s="297"/>
      <c r="F80" s="297"/>
      <c r="G80" s="297"/>
      <c r="H80" s="214"/>
      <c r="I80" s="92" t="s">
        <v>168</v>
      </c>
      <c r="J80" s="92" t="s">
        <v>178</v>
      </c>
      <c r="K80" s="92" t="s">
        <v>185</v>
      </c>
      <c r="L80" s="71" t="s">
        <v>190</v>
      </c>
      <c r="M80" s="71"/>
      <c r="N80" s="71"/>
      <c r="O80" s="71" t="s">
        <v>200</v>
      </c>
      <c r="P80" s="71" t="s">
        <v>380</v>
      </c>
      <c r="Q80" s="71"/>
      <c r="R80" s="64"/>
      <c r="S80" s="64"/>
      <c r="T80" s="64"/>
      <c r="U80" s="97">
        <f>IF(OR($E$78="N/A",AND(AU80=0,'Cover Sheet'!$B$29="Streamlined Review"),AND(E80="Met",F80&lt;&gt;""),AND(E80="Not met",G80&lt;&gt;""),AND(E80="Unsure",G80&lt;&gt;""),AND(E80="N/A",H80&lt;&gt;""),AND(Y80=TRUE)),1,0)</f>
        <v>0</v>
      </c>
      <c r="W80" s="56" t="b">
        <f>IF(OR(AND($H$6="Medicaid",MID($A80,1,FIND(".",$A80,1)-1)="II"),AND($H$6="CHIP",MID($A80,1,FIND(".",$A80,1)-1)="I")),TRUE,FALSE)</f>
        <v>0</v>
      </c>
      <c r="X80" s="126" t="b">
        <f>IF(OR(Y80=TRUE),TRUE,FALSE)</f>
        <v>0</v>
      </c>
      <c r="Y80" s="126" t="b">
        <f>IF(SUM(Z80:AE80)&lt;1,TRUE,FALSE)</f>
        <v>0</v>
      </c>
      <c r="Z80" s="126">
        <f>IF($Z$2=I80,1,0)</f>
        <v>1</v>
      </c>
      <c r="AA80" s="126">
        <f>IF($AA$2=J80,1,0)</f>
        <v>0</v>
      </c>
      <c r="AB80" s="126">
        <f>IF($AB$2=K80,1,0)</f>
        <v>0</v>
      </c>
      <c r="AC80" s="126">
        <f>IF($AC$2=L80,1,0)</f>
        <v>0</v>
      </c>
      <c r="AD80" s="126">
        <f>IF($AD$2=M80,1,0)</f>
        <v>0</v>
      </c>
      <c r="AE80" s="126">
        <f>IF($AE$2=O80,1,0)</f>
        <v>0</v>
      </c>
      <c r="AM80" s="69" t="str">
        <f>IF(AL80=1,1,"")</f>
        <v/>
      </c>
      <c r="AU80">
        <v>0</v>
      </c>
    </row>
    <row r="81" spans="1:47" ht="15.75" thickBot="1" x14ac:dyDescent="0.3">
      <c r="A81" s="450"/>
      <c r="B81" s="451"/>
      <c r="C81" s="452" t="s">
        <v>20</v>
      </c>
      <c r="D81" s="442"/>
      <c r="E81" s="443"/>
      <c r="F81" s="444"/>
      <c r="G81" s="444"/>
      <c r="H81" s="445"/>
      <c r="I81" s="132"/>
      <c r="J81" s="132"/>
      <c r="K81" s="132"/>
      <c r="L81" s="133"/>
      <c r="M81" s="134"/>
      <c r="N81" s="141"/>
      <c r="O81" s="141"/>
      <c r="P81" s="135"/>
      <c r="Q81" s="135"/>
      <c r="R81" s="120"/>
      <c r="S81" s="120"/>
      <c r="T81" s="120"/>
      <c r="U81" s="126"/>
      <c r="Z81" s="126"/>
      <c r="AA81" s="126"/>
      <c r="AB81" s="126"/>
      <c r="AC81" s="126"/>
      <c r="AD81" s="126"/>
      <c r="AE81" s="126"/>
    </row>
    <row r="82" spans="1:47" ht="30" customHeight="1" x14ac:dyDescent="0.25">
      <c r="A82" s="294" t="s">
        <v>735</v>
      </c>
      <c r="B82" s="295" t="s">
        <v>736</v>
      </c>
      <c r="C82" s="295" t="s">
        <v>737</v>
      </c>
      <c r="D82" s="446"/>
      <c r="E82" s="297"/>
      <c r="F82" s="297"/>
      <c r="G82" s="297"/>
      <c r="H82" s="214"/>
      <c r="I82" s="92" t="s">
        <v>168</v>
      </c>
      <c r="J82" s="92" t="s">
        <v>178</v>
      </c>
      <c r="K82" s="92" t="s">
        <v>185</v>
      </c>
      <c r="L82" s="71" t="s">
        <v>190</v>
      </c>
      <c r="M82" s="71" t="s">
        <v>195</v>
      </c>
      <c r="N82" s="71"/>
      <c r="O82" s="71"/>
      <c r="P82" s="71" t="s">
        <v>380</v>
      </c>
      <c r="Q82" s="71"/>
      <c r="R82" s="64"/>
      <c r="S82" s="64"/>
      <c r="T82" s="64"/>
      <c r="U82" s="97">
        <f>IF(OR($E$81="N/A",AND(AU82=0,'Cover Sheet'!$B$29="Streamlined Review"),AND(E82="Met",F82&lt;&gt;""),AND(E82="Not met",G82&lt;&gt;""),AND(E82="Unsure",G82&lt;&gt;""),AND(E82="N/A",H82&lt;&gt;""),AND(Y82=TRUE)),1,0)</f>
        <v>0</v>
      </c>
      <c r="W82" s="56" t="b">
        <f t="shared" ref="W82:W88" si="20">IF(OR(AND($H$6="Medicaid",MID($A82,1,FIND(".",$A82,1)-1)="II"),AND($H$6="CHIP",MID($A82,1,FIND(".",$A82,1)-1)="I")),TRUE,FALSE)</f>
        <v>0</v>
      </c>
      <c r="X82" s="126" t="b">
        <f t="shared" ref="X82:X88" si="21">IF(OR(Y82=TRUE),TRUE,FALSE)</f>
        <v>0</v>
      </c>
      <c r="Y82" s="126" t="b">
        <f>IF(SUM(Z82:AE82)&lt;1,TRUE,FALSE)</f>
        <v>0</v>
      </c>
      <c r="Z82" s="126">
        <f t="shared" ref="Z82:Z88" si="22">IF($Z$2=I82,1,0)</f>
        <v>1</v>
      </c>
      <c r="AA82" s="126">
        <f t="shared" ref="AA82:AA88" si="23">IF($AA$2=J82,1,0)</f>
        <v>0</v>
      </c>
      <c r="AB82" s="126">
        <f t="shared" ref="AB82:AB88" si="24">IF($AB$2=K82,1,0)</f>
        <v>0</v>
      </c>
      <c r="AC82" s="126">
        <f t="shared" ref="AC82:AC88" si="25">IF($AC$2=L82,1,0)</f>
        <v>0</v>
      </c>
      <c r="AD82" s="126">
        <f t="shared" ref="AD82:AD88" si="26">IF($AD$2=M82,1,0)</f>
        <v>0</v>
      </c>
      <c r="AE82" s="126">
        <f t="shared" ref="AE82:AE88" si="27">IF($AE$2=O82,1,0)</f>
        <v>0</v>
      </c>
      <c r="AM82" s="69" t="str">
        <f t="shared" ref="AM82:AM88" si="28">IF(AL82=1,1,"")</f>
        <v/>
      </c>
      <c r="AU82">
        <v>0</v>
      </c>
    </row>
    <row r="83" spans="1:47" ht="30.75" customHeight="1" x14ac:dyDescent="0.25">
      <c r="A83" s="294" t="s">
        <v>738</v>
      </c>
      <c r="B83" s="295" t="s">
        <v>739</v>
      </c>
      <c r="C83" s="295" t="s">
        <v>740</v>
      </c>
      <c r="D83" s="446"/>
      <c r="E83" s="297"/>
      <c r="F83" s="297"/>
      <c r="G83" s="297"/>
      <c r="H83" s="214"/>
      <c r="I83" s="92" t="s">
        <v>168</v>
      </c>
      <c r="J83" s="92" t="s">
        <v>178</v>
      </c>
      <c r="K83" s="92" t="s">
        <v>185</v>
      </c>
      <c r="L83" s="71" t="s">
        <v>190</v>
      </c>
      <c r="M83" s="71" t="s">
        <v>195</v>
      </c>
      <c r="N83" s="71"/>
      <c r="O83" s="71"/>
      <c r="P83" s="71" t="s">
        <v>380</v>
      </c>
      <c r="Q83" s="71"/>
      <c r="R83" s="64"/>
      <c r="S83" s="64"/>
      <c r="T83" s="64"/>
      <c r="U83" s="97">
        <f>IF(OR($E$81="N/A",AND(AU83=0,'Cover Sheet'!$B$29="Streamlined Review"),AND(E83="Met",F83&lt;&gt;""),AND(E83="Not met",G83&lt;&gt;""),AND(E83="Unsure",G83&lt;&gt;""),AND(E83="N/A",H83&lt;&gt;""),AND(Y83=TRUE)),1,0)</f>
        <v>0</v>
      </c>
      <c r="W83" s="56" t="b">
        <f t="shared" si="20"/>
        <v>0</v>
      </c>
      <c r="X83" s="126" t="b">
        <f t="shared" si="21"/>
        <v>0</v>
      </c>
      <c r="Y83" s="126" t="b">
        <f t="shared" ref="Y83:Y88" si="29">IF(SUM(Z83:AE83)&lt;1,TRUE,FALSE)</f>
        <v>0</v>
      </c>
      <c r="Z83" s="126">
        <f t="shared" si="22"/>
        <v>1</v>
      </c>
      <c r="AA83" s="126">
        <f t="shared" si="23"/>
        <v>0</v>
      </c>
      <c r="AB83" s="126">
        <f t="shared" si="24"/>
        <v>0</v>
      </c>
      <c r="AC83" s="126">
        <f t="shared" si="25"/>
        <v>0</v>
      </c>
      <c r="AD83" s="126">
        <f t="shared" si="26"/>
        <v>0</v>
      </c>
      <c r="AE83" s="126">
        <f t="shared" si="27"/>
        <v>0</v>
      </c>
      <c r="AM83" s="69" t="str">
        <f t="shared" si="28"/>
        <v/>
      </c>
      <c r="AU83">
        <v>0</v>
      </c>
    </row>
    <row r="84" spans="1:47" ht="31.5" customHeight="1" x14ac:dyDescent="0.25">
      <c r="A84" s="294" t="s">
        <v>741</v>
      </c>
      <c r="B84" s="295" t="s">
        <v>742</v>
      </c>
      <c r="C84" s="295" t="s">
        <v>743</v>
      </c>
      <c r="D84" s="447">
        <v>9</v>
      </c>
      <c r="E84" s="297"/>
      <c r="F84" s="297"/>
      <c r="G84" s="297"/>
      <c r="H84" s="214"/>
      <c r="I84" s="92" t="s">
        <v>168</v>
      </c>
      <c r="J84" s="92" t="s">
        <v>178</v>
      </c>
      <c r="K84" s="92" t="s">
        <v>185</v>
      </c>
      <c r="L84" s="71" t="s">
        <v>190</v>
      </c>
      <c r="M84" s="71" t="s">
        <v>195</v>
      </c>
      <c r="N84" s="71"/>
      <c r="O84" s="71"/>
      <c r="P84" s="71" t="s">
        <v>380</v>
      </c>
      <c r="Q84" s="71"/>
      <c r="R84" s="64"/>
      <c r="S84" s="64"/>
      <c r="T84" s="64"/>
      <c r="U84" s="97">
        <f>IF(OR($E$81="N/A",AND(AU84=0,'Cover Sheet'!$B$29="Streamlined Review"),AND(E84="Met",F84&lt;&gt;""),AND(E84="Not met",G84&lt;&gt;""),AND(E84="Unsure",G84&lt;&gt;""),AND(E84="N/A",H84&lt;&gt;""),AND(Y84=TRUE)),1,0)</f>
        <v>0</v>
      </c>
      <c r="W84" s="56" t="b">
        <f t="shared" si="20"/>
        <v>0</v>
      </c>
      <c r="X84" s="126" t="b">
        <f t="shared" si="21"/>
        <v>0</v>
      </c>
      <c r="Y84" s="126" t="b">
        <f t="shared" si="29"/>
        <v>0</v>
      </c>
      <c r="Z84" s="126">
        <f t="shared" si="22"/>
        <v>1</v>
      </c>
      <c r="AA84" s="126">
        <f t="shared" si="23"/>
        <v>0</v>
      </c>
      <c r="AB84" s="126">
        <f t="shared" si="24"/>
        <v>0</v>
      </c>
      <c r="AC84" s="126">
        <f t="shared" si="25"/>
        <v>0</v>
      </c>
      <c r="AD84" s="126">
        <f t="shared" si="26"/>
        <v>0</v>
      </c>
      <c r="AE84" s="126">
        <f t="shared" si="27"/>
        <v>0</v>
      </c>
      <c r="AM84" s="69" t="str">
        <f t="shared" si="28"/>
        <v/>
      </c>
      <c r="AU84">
        <v>0</v>
      </c>
    </row>
    <row r="85" spans="1:47" ht="30" customHeight="1" x14ac:dyDescent="0.25">
      <c r="A85" s="294" t="s">
        <v>744</v>
      </c>
      <c r="B85" s="295" t="s">
        <v>745</v>
      </c>
      <c r="C85" s="295" t="s">
        <v>746</v>
      </c>
      <c r="D85" s="446"/>
      <c r="E85" s="297"/>
      <c r="F85" s="297"/>
      <c r="G85" s="297"/>
      <c r="H85" s="214"/>
      <c r="I85" s="92" t="s">
        <v>168</v>
      </c>
      <c r="J85" s="92" t="s">
        <v>178</v>
      </c>
      <c r="K85" s="92" t="s">
        <v>185</v>
      </c>
      <c r="L85" s="71" t="s">
        <v>190</v>
      </c>
      <c r="M85" s="71" t="s">
        <v>195</v>
      </c>
      <c r="N85" s="71"/>
      <c r="O85" s="71"/>
      <c r="P85" s="71" t="s">
        <v>380</v>
      </c>
      <c r="Q85" s="71"/>
      <c r="R85" s="64"/>
      <c r="S85" s="64"/>
      <c r="T85" s="64"/>
      <c r="U85" s="97">
        <f>IF(OR($E$81="N/A",AND(AU85=0,'Cover Sheet'!$B$29="Streamlined Review"),AND(E85="Met",F85&lt;&gt;""),AND(E85="Not met",G85&lt;&gt;""),AND(E85="Unsure",G85&lt;&gt;""),AND(E85="N/A",H85&lt;&gt;""),AND(Y85=TRUE)),1,0)</f>
        <v>0</v>
      </c>
      <c r="W85" s="56" t="b">
        <f t="shared" si="20"/>
        <v>0</v>
      </c>
      <c r="X85" s="126" t="b">
        <f t="shared" si="21"/>
        <v>0</v>
      </c>
      <c r="Y85" s="126" t="b">
        <f t="shared" si="29"/>
        <v>0</v>
      </c>
      <c r="Z85" s="126">
        <f t="shared" si="22"/>
        <v>1</v>
      </c>
      <c r="AA85" s="126">
        <f t="shared" si="23"/>
        <v>0</v>
      </c>
      <c r="AB85" s="126">
        <f t="shared" si="24"/>
        <v>0</v>
      </c>
      <c r="AC85" s="126">
        <f t="shared" si="25"/>
        <v>0</v>
      </c>
      <c r="AD85" s="126">
        <f t="shared" si="26"/>
        <v>0</v>
      </c>
      <c r="AE85" s="126">
        <f t="shared" si="27"/>
        <v>0</v>
      </c>
      <c r="AM85" s="69" t="str">
        <f t="shared" si="28"/>
        <v/>
      </c>
      <c r="AU85">
        <v>0</v>
      </c>
    </row>
    <row r="86" spans="1:47" ht="42" customHeight="1" x14ac:dyDescent="0.25">
      <c r="A86" s="294" t="s">
        <v>747</v>
      </c>
      <c r="B86" s="295" t="s">
        <v>748</v>
      </c>
      <c r="C86" s="295" t="s">
        <v>749</v>
      </c>
      <c r="D86" s="446"/>
      <c r="E86" s="297"/>
      <c r="F86" s="297"/>
      <c r="G86" s="297"/>
      <c r="H86" s="214"/>
      <c r="I86" s="92" t="s">
        <v>168</v>
      </c>
      <c r="J86" s="92" t="s">
        <v>178</v>
      </c>
      <c r="K86" s="92" t="s">
        <v>185</v>
      </c>
      <c r="L86" s="71" t="s">
        <v>190</v>
      </c>
      <c r="M86" s="71" t="s">
        <v>195</v>
      </c>
      <c r="N86" s="71"/>
      <c r="O86" s="71"/>
      <c r="P86" s="71" t="s">
        <v>380</v>
      </c>
      <c r="Q86" s="71"/>
      <c r="R86" s="64"/>
      <c r="S86" s="64"/>
      <c r="T86" s="64"/>
      <c r="U86" s="97">
        <f>IF(OR($E$81="N/A",AND(AU86=0,'Cover Sheet'!$B$29="Streamlined Review"),AND(E86="Met",F86&lt;&gt;""),AND(E86="Not met",G86&lt;&gt;""),AND(E86="Unsure",G86&lt;&gt;""),AND(E86="N/A",H86&lt;&gt;""),AND(Y86=TRUE)),1,0)</f>
        <v>0</v>
      </c>
      <c r="W86" s="56" t="b">
        <f t="shared" si="20"/>
        <v>0</v>
      </c>
      <c r="X86" s="126" t="b">
        <f t="shared" si="21"/>
        <v>0</v>
      </c>
      <c r="Y86" s="126" t="b">
        <f t="shared" si="29"/>
        <v>0</v>
      </c>
      <c r="Z86" s="126">
        <f t="shared" si="22"/>
        <v>1</v>
      </c>
      <c r="AA86" s="126">
        <f t="shared" si="23"/>
        <v>0</v>
      </c>
      <c r="AB86" s="126">
        <f t="shared" si="24"/>
        <v>0</v>
      </c>
      <c r="AC86" s="126">
        <f t="shared" si="25"/>
        <v>0</v>
      </c>
      <c r="AD86" s="126">
        <f t="shared" si="26"/>
        <v>0</v>
      </c>
      <c r="AE86" s="126">
        <f t="shared" si="27"/>
        <v>0</v>
      </c>
      <c r="AM86" s="69" t="str">
        <f t="shared" si="28"/>
        <v/>
      </c>
      <c r="AU86">
        <v>0</v>
      </c>
    </row>
    <row r="87" spans="1:47" ht="44.25" customHeight="1" x14ac:dyDescent="0.25">
      <c r="A87" s="294" t="s">
        <v>750</v>
      </c>
      <c r="B87" s="295" t="s">
        <v>751</v>
      </c>
      <c r="C87" s="295" t="s">
        <v>752</v>
      </c>
      <c r="D87" s="446"/>
      <c r="E87" s="297"/>
      <c r="F87" s="297"/>
      <c r="G87" s="297"/>
      <c r="H87" s="214"/>
      <c r="I87" s="92" t="s">
        <v>168</v>
      </c>
      <c r="J87" s="92" t="s">
        <v>178</v>
      </c>
      <c r="K87" s="92" t="s">
        <v>185</v>
      </c>
      <c r="L87" s="71" t="s">
        <v>190</v>
      </c>
      <c r="M87" s="71" t="s">
        <v>195</v>
      </c>
      <c r="N87" s="71"/>
      <c r="O87" s="71"/>
      <c r="P87" s="71" t="s">
        <v>380</v>
      </c>
      <c r="Q87" s="71"/>
      <c r="R87" s="64"/>
      <c r="S87" s="64"/>
      <c r="T87" s="64"/>
      <c r="U87" s="97">
        <f>IF(OR($E$81="N/A",AND(AU87=0,'Cover Sheet'!$B$29="Streamlined Review"),AND(E87="Met",F87&lt;&gt;""),AND(E87="Not met",G87&lt;&gt;""),AND(E87="Unsure",G87&lt;&gt;""),AND(E87="N/A",H87&lt;&gt;""),AND(Y87=TRUE)),1,0)</f>
        <v>0</v>
      </c>
      <c r="W87" s="56" t="b">
        <f t="shared" si="20"/>
        <v>0</v>
      </c>
      <c r="X87" s="126" t="b">
        <f t="shared" si="21"/>
        <v>0</v>
      </c>
      <c r="Y87" s="126" t="b">
        <f t="shared" si="29"/>
        <v>0</v>
      </c>
      <c r="Z87" s="126">
        <f t="shared" si="22"/>
        <v>1</v>
      </c>
      <c r="AA87" s="126">
        <f t="shared" si="23"/>
        <v>0</v>
      </c>
      <c r="AB87" s="126">
        <f t="shared" si="24"/>
        <v>0</v>
      </c>
      <c r="AC87" s="126">
        <f t="shared" si="25"/>
        <v>0</v>
      </c>
      <c r="AD87" s="126">
        <f t="shared" si="26"/>
        <v>0</v>
      </c>
      <c r="AE87" s="126">
        <f t="shared" si="27"/>
        <v>0</v>
      </c>
      <c r="AM87" s="69" t="str">
        <f t="shared" si="28"/>
        <v/>
      </c>
      <c r="AU87">
        <v>0</v>
      </c>
    </row>
    <row r="88" spans="1:47" ht="39" thickBot="1" x14ac:dyDescent="0.3">
      <c r="A88" s="308" t="s">
        <v>753</v>
      </c>
      <c r="B88" s="309" t="s">
        <v>754</v>
      </c>
      <c r="C88" s="309" t="s">
        <v>755</v>
      </c>
      <c r="D88" s="471"/>
      <c r="E88" s="297"/>
      <c r="F88" s="297"/>
      <c r="G88" s="311"/>
      <c r="H88" s="312"/>
      <c r="I88" s="92" t="s">
        <v>168</v>
      </c>
      <c r="J88" s="92" t="s">
        <v>178</v>
      </c>
      <c r="K88" s="92" t="s">
        <v>185</v>
      </c>
      <c r="L88" s="71" t="s">
        <v>190</v>
      </c>
      <c r="M88" s="71" t="s">
        <v>195</v>
      </c>
      <c r="N88" s="71"/>
      <c r="O88" s="71"/>
      <c r="P88" s="71" t="s">
        <v>380</v>
      </c>
      <c r="Q88" s="71"/>
      <c r="R88" s="64"/>
      <c r="S88" s="64"/>
      <c r="T88" s="64"/>
      <c r="U88" s="97">
        <f>IF(OR($E$81="N/A",AND(AU88=0,'Cover Sheet'!$B$29="Streamlined Review"),AND(E88="Met",F88&lt;&gt;""),AND(E88="Not met",G88&lt;&gt;""),AND(E88="Unsure",G88&lt;&gt;""),AND(E88="N/A",H88&lt;&gt;""),AND(Y88=TRUE)),1,0)</f>
        <v>0</v>
      </c>
      <c r="W88" s="56" t="b">
        <f t="shared" si="20"/>
        <v>0</v>
      </c>
      <c r="X88" s="126" t="b">
        <f t="shared" si="21"/>
        <v>0</v>
      </c>
      <c r="Y88" s="126" t="b">
        <f t="shared" si="29"/>
        <v>0</v>
      </c>
      <c r="Z88" s="126">
        <f t="shared" si="22"/>
        <v>1</v>
      </c>
      <c r="AA88" s="126">
        <f t="shared" si="23"/>
        <v>0</v>
      </c>
      <c r="AB88" s="126">
        <f t="shared" si="24"/>
        <v>0</v>
      </c>
      <c r="AC88" s="126">
        <f t="shared" si="25"/>
        <v>0</v>
      </c>
      <c r="AD88" s="126">
        <f t="shared" si="26"/>
        <v>0</v>
      </c>
      <c r="AE88" s="126">
        <f t="shared" si="27"/>
        <v>0</v>
      </c>
      <c r="AM88" s="69" t="str">
        <f t="shared" si="28"/>
        <v/>
      </c>
      <c r="AU88">
        <v>0</v>
      </c>
    </row>
    <row r="89" spans="1:47" ht="15.75" thickBot="1" x14ac:dyDescent="0.3">
      <c r="A89" s="454"/>
      <c r="B89" s="455"/>
      <c r="C89" s="456" t="s">
        <v>21</v>
      </c>
      <c r="D89" s="474"/>
      <c r="E89" s="443"/>
      <c r="F89" s="472"/>
      <c r="G89" s="475"/>
      <c r="H89" s="476"/>
      <c r="I89" s="132"/>
      <c r="J89" s="132"/>
      <c r="K89" s="132"/>
      <c r="L89" s="133"/>
      <c r="M89" s="134"/>
      <c r="N89" s="141"/>
      <c r="O89" s="141"/>
      <c r="P89" s="135"/>
      <c r="Q89" s="135"/>
      <c r="R89" s="120"/>
      <c r="S89" s="120"/>
      <c r="T89" s="120"/>
      <c r="U89" s="126"/>
      <c r="Z89" s="126"/>
      <c r="AA89" s="126"/>
      <c r="AB89" s="126"/>
      <c r="AC89" s="126"/>
      <c r="AD89" s="126"/>
      <c r="AE89" s="126"/>
    </row>
    <row r="90" spans="1:47" ht="30" customHeight="1" x14ac:dyDescent="0.25">
      <c r="A90" s="254" t="s">
        <v>756</v>
      </c>
      <c r="B90" s="255" t="s">
        <v>757</v>
      </c>
      <c r="C90" s="255" t="s">
        <v>758</v>
      </c>
      <c r="D90" s="477">
        <v>10</v>
      </c>
      <c r="E90" s="297"/>
      <c r="F90" s="313"/>
      <c r="G90" s="313"/>
      <c r="H90" s="314"/>
      <c r="I90" s="92" t="s">
        <v>168</v>
      </c>
      <c r="J90" s="92" t="s">
        <v>178</v>
      </c>
      <c r="K90" s="92" t="s">
        <v>185</v>
      </c>
      <c r="L90" s="71" t="s">
        <v>190</v>
      </c>
      <c r="M90" s="71" t="s">
        <v>195</v>
      </c>
      <c r="N90" s="71"/>
      <c r="O90" s="71" t="s">
        <v>200</v>
      </c>
      <c r="P90" s="71" t="s">
        <v>380</v>
      </c>
      <c r="Q90" s="71"/>
      <c r="R90" s="64">
        <v>42917</v>
      </c>
      <c r="S90" s="64"/>
      <c r="T90" s="64"/>
      <c r="U90" s="97">
        <f>IF(OR($E$89="N/A",AND(AU90=0,'Cover Sheet'!$B$29="Streamlined Review"),AND(E90="Met",F90&lt;&gt;""),AND(E90="Not met",G90&lt;&gt;""),AND(E90="Unsure",G90&lt;&gt;""),AND(E90="N/A",H90&lt;&gt;""),AND(Y90=TRUE)),1,0)</f>
        <v>0</v>
      </c>
      <c r="W90" s="56" t="b">
        <f t="shared" ref="W90:W133" si="30">IF(OR(AND($H$6="Medicaid",MID($A90,1,FIND(".",$A90,1)-1)="II"),AND($H$6="CHIP",MID($A90,1,FIND(".",$A90,1)-1)="I")),TRUE,FALSE)</f>
        <v>0</v>
      </c>
      <c r="X90" s="126" t="b">
        <f t="shared" ref="X90:X133" si="31">IF(OR(Y90=TRUE),TRUE,FALSE)</f>
        <v>0</v>
      </c>
      <c r="Y90" s="126" t="b">
        <f>IF(SUM(Z90:AE90)&lt;1,TRUE,FALSE)</f>
        <v>0</v>
      </c>
      <c r="Z90" s="126">
        <f t="shared" ref="Z90:Z133" si="32">IF($Z$2=I90,1,0)</f>
        <v>1</v>
      </c>
      <c r="AA90" s="126">
        <f t="shared" ref="AA90:AA133" si="33">IF($AA$2=J90,1,0)</f>
        <v>0</v>
      </c>
      <c r="AB90" s="126">
        <f t="shared" ref="AB90:AB133" si="34">IF($AB$2=K90,1,0)</f>
        <v>0</v>
      </c>
      <c r="AC90" s="126">
        <f t="shared" ref="AC90:AC133" si="35">IF($AC$2=L90,1,0)</f>
        <v>0</v>
      </c>
      <c r="AD90" s="126">
        <f t="shared" ref="AD90:AD133" si="36">IF($AD$2=M90,1,0)</f>
        <v>0</v>
      </c>
      <c r="AE90" s="126">
        <f t="shared" ref="AE90:AE133" si="37">IF($AE$2=O90,1,0)</f>
        <v>0</v>
      </c>
      <c r="AM90" s="69" t="str">
        <f t="shared" ref="AM90:AM133" si="38">IF(AL90=1,1,"")</f>
        <v/>
      </c>
      <c r="AU90">
        <v>0</v>
      </c>
    </row>
    <row r="91" spans="1:47" ht="43.5" customHeight="1" x14ac:dyDescent="0.25">
      <c r="A91" s="294" t="s">
        <v>759</v>
      </c>
      <c r="B91" s="295" t="s">
        <v>760</v>
      </c>
      <c r="C91" s="295" t="s">
        <v>761</v>
      </c>
      <c r="D91" s="477">
        <v>10</v>
      </c>
      <c r="E91" s="297"/>
      <c r="F91" s="313"/>
      <c r="G91" s="297"/>
      <c r="H91" s="214"/>
      <c r="I91" s="92" t="s">
        <v>168</v>
      </c>
      <c r="J91" s="92" t="s">
        <v>178</v>
      </c>
      <c r="K91" s="92" t="s">
        <v>185</v>
      </c>
      <c r="L91" s="71" t="s">
        <v>190</v>
      </c>
      <c r="M91" s="71" t="s">
        <v>195</v>
      </c>
      <c r="N91" s="71"/>
      <c r="O91" s="71" t="s">
        <v>200</v>
      </c>
      <c r="P91" s="71" t="s">
        <v>380</v>
      </c>
      <c r="Q91" s="71"/>
      <c r="R91" s="64">
        <v>42917</v>
      </c>
      <c r="S91" s="64"/>
      <c r="T91" s="64"/>
      <c r="U91" s="97">
        <f>IF(OR($E$89="N/A",AND(AU91=0,'Cover Sheet'!$B$29="Streamlined Review"),AND(E91="Met",F91&lt;&gt;""),AND(E91="Not met",G91&lt;&gt;""),AND(E91="Unsure",G91&lt;&gt;""),AND(E91="N/A",H91&lt;&gt;""),AND(Y91=TRUE)),1,0)</f>
        <v>0</v>
      </c>
      <c r="W91" s="56" t="b">
        <f t="shared" si="30"/>
        <v>0</v>
      </c>
      <c r="X91" s="126" t="b">
        <f t="shared" si="31"/>
        <v>0</v>
      </c>
      <c r="Y91" s="126" t="b">
        <f t="shared" ref="Y91:Y110" si="39">IF(SUM(Z91:AE91)&lt;1,TRUE,FALSE)</f>
        <v>0</v>
      </c>
      <c r="Z91" s="126">
        <f t="shared" si="32"/>
        <v>1</v>
      </c>
      <c r="AA91" s="126">
        <f t="shared" si="33"/>
        <v>0</v>
      </c>
      <c r="AB91" s="126">
        <f t="shared" si="34"/>
        <v>0</v>
      </c>
      <c r="AC91" s="126">
        <f t="shared" si="35"/>
        <v>0</v>
      </c>
      <c r="AD91" s="126">
        <f t="shared" si="36"/>
        <v>0</v>
      </c>
      <c r="AE91" s="126">
        <f t="shared" si="37"/>
        <v>0</v>
      </c>
      <c r="AM91" s="69" t="str">
        <f t="shared" si="38"/>
        <v/>
      </c>
      <c r="AU91">
        <v>0</v>
      </c>
    </row>
    <row r="92" spans="1:47" ht="44.25" customHeight="1" x14ac:dyDescent="0.25">
      <c r="A92" s="294" t="s">
        <v>762</v>
      </c>
      <c r="B92" s="295" t="s">
        <v>763</v>
      </c>
      <c r="C92" s="295" t="s">
        <v>764</v>
      </c>
      <c r="D92" s="477">
        <v>10</v>
      </c>
      <c r="E92" s="297"/>
      <c r="F92" s="313"/>
      <c r="G92" s="297"/>
      <c r="H92" s="214"/>
      <c r="I92" s="92" t="s">
        <v>168</v>
      </c>
      <c r="J92" s="92" t="s">
        <v>178</v>
      </c>
      <c r="K92" s="92" t="s">
        <v>185</v>
      </c>
      <c r="L92" s="71" t="s">
        <v>190</v>
      </c>
      <c r="M92" s="71" t="s">
        <v>195</v>
      </c>
      <c r="N92" s="71"/>
      <c r="O92" s="71" t="s">
        <v>200</v>
      </c>
      <c r="P92" s="71" t="s">
        <v>380</v>
      </c>
      <c r="Q92" s="71"/>
      <c r="R92" s="64">
        <v>42917</v>
      </c>
      <c r="S92" s="64"/>
      <c r="T92" s="64"/>
      <c r="U92" s="97">
        <f>IF(OR($E$89="N/A",AND(AU92=0,'Cover Sheet'!$B$29="Streamlined Review"),AND(E92="Met",F92&lt;&gt;""),AND(E92="Not met",G92&lt;&gt;""),AND(E92="Unsure",G92&lt;&gt;""),AND(E92="N/A",H92&lt;&gt;""),AND(Y92=TRUE)),1,0)</f>
        <v>0</v>
      </c>
      <c r="W92" s="56" t="b">
        <f t="shared" si="30"/>
        <v>0</v>
      </c>
      <c r="X92" s="126" t="b">
        <f t="shared" si="31"/>
        <v>0</v>
      </c>
      <c r="Y92" s="126" t="b">
        <f t="shared" si="39"/>
        <v>0</v>
      </c>
      <c r="Z92" s="126">
        <f t="shared" si="32"/>
        <v>1</v>
      </c>
      <c r="AA92" s="126">
        <f t="shared" si="33"/>
        <v>0</v>
      </c>
      <c r="AB92" s="126">
        <f t="shared" si="34"/>
        <v>0</v>
      </c>
      <c r="AC92" s="126">
        <f t="shared" si="35"/>
        <v>0</v>
      </c>
      <c r="AD92" s="126">
        <f t="shared" si="36"/>
        <v>0</v>
      </c>
      <c r="AE92" s="126">
        <f t="shared" si="37"/>
        <v>0</v>
      </c>
      <c r="AM92" s="69" t="str">
        <f t="shared" si="38"/>
        <v/>
      </c>
      <c r="AU92">
        <v>0</v>
      </c>
    </row>
    <row r="93" spans="1:47" ht="38.25" x14ac:dyDescent="0.25">
      <c r="A93" s="294" t="s">
        <v>765</v>
      </c>
      <c r="B93" s="295" t="s">
        <v>766</v>
      </c>
      <c r="C93" s="295" t="s">
        <v>767</v>
      </c>
      <c r="D93" s="477">
        <v>10</v>
      </c>
      <c r="E93" s="297"/>
      <c r="F93" s="313"/>
      <c r="G93" s="297"/>
      <c r="H93" s="214"/>
      <c r="I93" s="92" t="s">
        <v>168</v>
      </c>
      <c r="J93" s="92" t="s">
        <v>178</v>
      </c>
      <c r="K93" s="92" t="s">
        <v>185</v>
      </c>
      <c r="L93" s="71" t="s">
        <v>190</v>
      </c>
      <c r="M93" s="71" t="s">
        <v>195</v>
      </c>
      <c r="N93" s="71"/>
      <c r="O93" s="71" t="s">
        <v>200</v>
      </c>
      <c r="P93" s="71" t="s">
        <v>380</v>
      </c>
      <c r="Q93" s="71"/>
      <c r="R93" s="64">
        <v>42917</v>
      </c>
      <c r="S93" s="64"/>
      <c r="T93" s="64"/>
      <c r="U93" s="97">
        <f>IF(OR($E$89="N/A",AND(AU93=0,'Cover Sheet'!$B$29="Streamlined Review"),AND(E93="Met",F93&lt;&gt;""),AND(E93="Not met",G93&lt;&gt;""),AND(E93="Unsure",G93&lt;&gt;""),AND(E93="N/A",H93&lt;&gt;""),AND(Y93=TRUE)),1,0)</f>
        <v>0</v>
      </c>
      <c r="W93" s="56" t="b">
        <f t="shared" si="30"/>
        <v>0</v>
      </c>
      <c r="X93" s="126" t="b">
        <f t="shared" si="31"/>
        <v>0</v>
      </c>
      <c r="Y93" s="126" t="b">
        <f t="shared" si="39"/>
        <v>0</v>
      </c>
      <c r="Z93" s="126">
        <f t="shared" si="32"/>
        <v>1</v>
      </c>
      <c r="AA93" s="126">
        <f t="shared" si="33"/>
        <v>0</v>
      </c>
      <c r="AB93" s="126">
        <f t="shared" si="34"/>
        <v>0</v>
      </c>
      <c r="AC93" s="126">
        <f t="shared" si="35"/>
        <v>0</v>
      </c>
      <c r="AD93" s="126">
        <f t="shared" si="36"/>
        <v>0</v>
      </c>
      <c r="AE93" s="126">
        <f t="shared" si="37"/>
        <v>0</v>
      </c>
      <c r="AM93" s="69" t="str">
        <f t="shared" si="38"/>
        <v/>
      </c>
      <c r="AU93">
        <v>0</v>
      </c>
    </row>
    <row r="94" spans="1:47" ht="42" customHeight="1" x14ac:dyDescent="0.25">
      <c r="A94" s="294" t="s">
        <v>768</v>
      </c>
      <c r="B94" s="295" t="s">
        <v>769</v>
      </c>
      <c r="C94" s="295" t="s">
        <v>770</v>
      </c>
      <c r="D94" s="477">
        <v>10</v>
      </c>
      <c r="E94" s="297"/>
      <c r="F94" s="313"/>
      <c r="G94" s="297"/>
      <c r="H94" s="214"/>
      <c r="I94" s="92" t="s">
        <v>168</v>
      </c>
      <c r="J94" s="92" t="s">
        <v>178</v>
      </c>
      <c r="K94" s="92" t="s">
        <v>185</v>
      </c>
      <c r="L94" s="71" t="s">
        <v>190</v>
      </c>
      <c r="M94" s="71" t="s">
        <v>195</v>
      </c>
      <c r="N94" s="71"/>
      <c r="O94" s="71" t="s">
        <v>200</v>
      </c>
      <c r="P94" s="71" t="s">
        <v>380</v>
      </c>
      <c r="Q94" s="71"/>
      <c r="R94" s="64">
        <v>42917</v>
      </c>
      <c r="S94" s="64"/>
      <c r="T94" s="64"/>
      <c r="U94" s="97">
        <f>IF(OR($E$89="N/A",AND(AU94=0,'Cover Sheet'!$B$29="Streamlined Review"),AND(E94="Met",F94&lt;&gt;""),AND(E94="Not met",G94&lt;&gt;""),AND(E94="Unsure",G94&lt;&gt;""),AND(E94="N/A",H94&lt;&gt;""),AND(Y94=TRUE)),1,0)</f>
        <v>0</v>
      </c>
      <c r="W94" s="56" t="b">
        <f t="shared" si="30"/>
        <v>0</v>
      </c>
      <c r="X94" s="126" t="b">
        <f t="shared" si="31"/>
        <v>0</v>
      </c>
      <c r="Y94" s="126" t="b">
        <f t="shared" si="39"/>
        <v>0</v>
      </c>
      <c r="Z94" s="126">
        <f t="shared" si="32"/>
        <v>1</v>
      </c>
      <c r="AA94" s="126">
        <f t="shared" si="33"/>
        <v>0</v>
      </c>
      <c r="AB94" s="126">
        <f t="shared" si="34"/>
        <v>0</v>
      </c>
      <c r="AC94" s="126">
        <f t="shared" si="35"/>
        <v>0</v>
      </c>
      <c r="AD94" s="126">
        <f t="shared" si="36"/>
        <v>0</v>
      </c>
      <c r="AE94" s="126">
        <f t="shared" si="37"/>
        <v>0</v>
      </c>
      <c r="AM94" s="69" t="str">
        <f t="shared" si="38"/>
        <v/>
      </c>
      <c r="AU94">
        <v>0</v>
      </c>
    </row>
    <row r="95" spans="1:47" ht="42.75" customHeight="1" x14ac:dyDescent="0.25">
      <c r="A95" s="294" t="s">
        <v>771</v>
      </c>
      <c r="B95" s="295" t="s">
        <v>769</v>
      </c>
      <c r="C95" s="295" t="s">
        <v>772</v>
      </c>
      <c r="D95" s="477">
        <v>10</v>
      </c>
      <c r="E95" s="297"/>
      <c r="F95" s="313"/>
      <c r="G95" s="297"/>
      <c r="H95" s="214"/>
      <c r="I95" s="92" t="s">
        <v>168</v>
      </c>
      <c r="J95" s="92" t="s">
        <v>178</v>
      </c>
      <c r="K95" s="92" t="s">
        <v>185</v>
      </c>
      <c r="L95" s="71" t="s">
        <v>190</v>
      </c>
      <c r="M95" s="71" t="s">
        <v>195</v>
      </c>
      <c r="N95" s="71"/>
      <c r="O95" s="71" t="s">
        <v>200</v>
      </c>
      <c r="P95" s="71" t="s">
        <v>380</v>
      </c>
      <c r="Q95" s="71"/>
      <c r="R95" s="64">
        <v>42917</v>
      </c>
      <c r="S95" s="64"/>
      <c r="T95" s="64"/>
      <c r="U95" s="97">
        <f>IF(OR($E$89="N/A",AND(AU95=0,'Cover Sheet'!$B$29="Streamlined Review"),AND(E95="Met",F95&lt;&gt;""),AND(E95="Not met",G95&lt;&gt;""),AND(E95="Unsure",G95&lt;&gt;""),AND(E95="N/A",H95&lt;&gt;""),AND(Y95=TRUE)),1,0)</f>
        <v>0</v>
      </c>
      <c r="W95" s="56" t="b">
        <f t="shared" si="30"/>
        <v>0</v>
      </c>
      <c r="X95" s="126" t="b">
        <f t="shared" si="31"/>
        <v>0</v>
      </c>
      <c r="Y95" s="126" t="b">
        <f t="shared" si="39"/>
        <v>0</v>
      </c>
      <c r="Z95" s="126">
        <f t="shared" si="32"/>
        <v>1</v>
      </c>
      <c r="AA95" s="126">
        <f t="shared" si="33"/>
        <v>0</v>
      </c>
      <c r="AB95" s="126">
        <f t="shared" si="34"/>
        <v>0</v>
      </c>
      <c r="AC95" s="126">
        <f t="shared" si="35"/>
        <v>0</v>
      </c>
      <c r="AD95" s="126">
        <f t="shared" si="36"/>
        <v>0</v>
      </c>
      <c r="AE95" s="126">
        <f t="shared" si="37"/>
        <v>0</v>
      </c>
      <c r="AM95" s="69" t="str">
        <f t="shared" si="38"/>
        <v/>
      </c>
      <c r="AU95">
        <v>0</v>
      </c>
    </row>
    <row r="96" spans="1:47" ht="29.25" customHeight="1" x14ac:dyDescent="0.25">
      <c r="A96" s="294" t="s">
        <v>773</v>
      </c>
      <c r="B96" s="295" t="s">
        <v>774</v>
      </c>
      <c r="C96" s="295" t="s">
        <v>775</v>
      </c>
      <c r="D96" s="446"/>
      <c r="E96" s="297"/>
      <c r="F96" s="313"/>
      <c r="G96" s="297"/>
      <c r="H96" s="214"/>
      <c r="I96" s="92" t="s">
        <v>168</v>
      </c>
      <c r="J96" s="92" t="s">
        <v>178</v>
      </c>
      <c r="K96" s="92" t="s">
        <v>185</v>
      </c>
      <c r="L96" s="71" t="s">
        <v>190</v>
      </c>
      <c r="M96" s="71"/>
      <c r="N96" s="71"/>
      <c r="O96" s="71"/>
      <c r="P96" s="71" t="s">
        <v>380</v>
      </c>
      <c r="Q96" s="71"/>
      <c r="R96" s="64"/>
      <c r="S96" s="64"/>
      <c r="T96" s="64"/>
      <c r="U96" s="97">
        <f>IF(OR($E$89="N/A",AND(AU96=0,'Cover Sheet'!$B$29="Streamlined Review"),AND(E96="Met",F96&lt;&gt;""),AND(E96="Not met",G96&lt;&gt;""),AND(E96="Unsure",G96&lt;&gt;""),AND(E96="N/A",H96&lt;&gt;""),AND(Y96=TRUE)),1,0)</f>
        <v>0</v>
      </c>
      <c r="W96" s="56" t="b">
        <f t="shared" si="30"/>
        <v>0</v>
      </c>
      <c r="X96" s="126" t="b">
        <f t="shared" si="31"/>
        <v>0</v>
      </c>
      <c r="Y96" s="126" t="b">
        <f t="shared" si="39"/>
        <v>0</v>
      </c>
      <c r="Z96" s="126">
        <f t="shared" si="32"/>
        <v>1</v>
      </c>
      <c r="AA96" s="126">
        <f t="shared" si="33"/>
        <v>0</v>
      </c>
      <c r="AB96" s="126">
        <f t="shared" si="34"/>
        <v>0</v>
      </c>
      <c r="AC96" s="126">
        <f t="shared" si="35"/>
        <v>0</v>
      </c>
      <c r="AD96" s="126">
        <f t="shared" si="36"/>
        <v>0</v>
      </c>
      <c r="AE96" s="126">
        <f t="shared" si="37"/>
        <v>0</v>
      </c>
      <c r="AL96" s="69">
        <v>1</v>
      </c>
      <c r="AM96" s="69">
        <f t="shared" si="38"/>
        <v>1</v>
      </c>
      <c r="AU96">
        <v>0</v>
      </c>
    </row>
    <row r="97" spans="1:47" ht="45.75" customHeight="1" x14ac:dyDescent="0.25">
      <c r="A97" s="294" t="s">
        <v>776</v>
      </c>
      <c r="B97" s="295" t="s">
        <v>777</v>
      </c>
      <c r="C97" s="295" t="s">
        <v>778</v>
      </c>
      <c r="D97" s="446"/>
      <c r="E97" s="297"/>
      <c r="F97" s="313"/>
      <c r="G97" s="297"/>
      <c r="H97" s="214"/>
      <c r="I97" s="92" t="s">
        <v>168</v>
      </c>
      <c r="J97" s="92" t="s">
        <v>178</v>
      </c>
      <c r="K97" s="92" t="s">
        <v>185</v>
      </c>
      <c r="L97" s="71" t="s">
        <v>190</v>
      </c>
      <c r="M97" s="71"/>
      <c r="N97" s="71"/>
      <c r="O97" s="71"/>
      <c r="P97" s="71" t="s">
        <v>380</v>
      </c>
      <c r="Q97" s="71"/>
      <c r="R97" s="64"/>
      <c r="S97" s="64"/>
      <c r="T97" s="64"/>
      <c r="U97" s="97">
        <f>IF(OR($E$89="N/A",AND(AU97=0,'Cover Sheet'!$B$29="Streamlined Review"),AND(E97="Met",F97&lt;&gt;""),AND(E97="Not met",G97&lt;&gt;""),AND(E97="Unsure",G97&lt;&gt;""),AND(E97="N/A",H97&lt;&gt;""),AND(Y97=TRUE)),1,0)</f>
        <v>0</v>
      </c>
      <c r="W97" s="56" t="b">
        <f t="shared" si="30"/>
        <v>0</v>
      </c>
      <c r="X97" s="126" t="b">
        <f t="shared" si="31"/>
        <v>0</v>
      </c>
      <c r="Y97" s="126" t="b">
        <f t="shared" si="39"/>
        <v>0</v>
      </c>
      <c r="Z97" s="126">
        <f t="shared" si="32"/>
        <v>1</v>
      </c>
      <c r="AA97" s="126">
        <f t="shared" si="33"/>
        <v>0</v>
      </c>
      <c r="AB97" s="126">
        <f t="shared" si="34"/>
        <v>0</v>
      </c>
      <c r="AC97" s="126">
        <f t="shared" si="35"/>
        <v>0</v>
      </c>
      <c r="AD97" s="126">
        <f t="shared" si="36"/>
        <v>0</v>
      </c>
      <c r="AE97" s="126">
        <f t="shared" si="37"/>
        <v>0</v>
      </c>
      <c r="AL97" s="69">
        <v>1</v>
      </c>
      <c r="AM97" s="69">
        <f t="shared" si="38"/>
        <v>1</v>
      </c>
      <c r="AU97">
        <v>0</v>
      </c>
    </row>
    <row r="98" spans="1:47" ht="44.25" customHeight="1" x14ac:dyDescent="0.25">
      <c r="A98" s="294" t="s">
        <v>779</v>
      </c>
      <c r="B98" s="295" t="s">
        <v>780</v>
      </c>
      <c r="C98" s="295" t="s">
        <v>781</v>
      </c>
      <c r="D98" s="446"/>
      <c r="E98" s="297"/>
      <c r="F98" s="313"/>
      <c r="G98" s="297"/>
      <c r="H98" s="214"/>
      <c r="I98" s="92" t="s">
        <v>168</v>
      </c>
      <c r="J98" s="92" t="s">
        <v>178</v>
      </c>
      <c r="K98" s="92" t="s">
        <v>185</v>
      </c>
      <c r="L98" s="71" t="s">
        <v>190</v>
      </c>
      <c r="M98" s="71"/>
      <c r="N98" s="71"/>
      <c r="O98" s="71"/>
      <c r="P98" s="71" t="s">
        <v>380</v>
      </c>
      <c r="Q98" s="71"/>
      <c r="R98" s="64"/>
      <c r="S98" s="64"/>
      <c r="T98" s="64"/>
      <c r="U98" s="97">
        <f>IF(OR($E$89="N/A",AND(AU98=0,'Cover Sheet'!$B$29="Streamlined Review"),AND(E98="Met",F98&lt;&gt;""),AND(E98="Not met",G98&lt;&gt;""),AND(E98="Unsure",G98&lt;&gt;""),AND(E98="N/A",H98&lt;&gt;""),AND(Y98=TRUE)),1,0)</f>
        <v>0</v>
      </c>
      <c r="W98" s="56" t="b">
        <f t="shared" si="30"/>
        <v>0</v>
      </c>
      <c r="X98" s="126" t="b">
        <f t="shared" si="31"/>
        <v>0</v>
      </c>
      <c r="Y98" s="126" t="b">
        <f t="shared" si="39"/>
        <v>0</v>
      </c>
      <c r="Z98" s="126">
        <f t="shared" si="32"/>
        <v>1</v>
      </c>
      <c r="AA98" s="126">
        <f t="shared" si="33"/>
        <v>0</v>
      </c>
      <c r="AB98" s="126">
        <f t="shared" si="34"/>
        <v>0</v>
      </c>
      <c r="AC98" s="126">
        <f t="shared" si="35"/>
        <v>0</v>
      </c>
      <c r="AD98" s="126">
        <f t="shared" si="36"/>
        <v>0</v>
      </c>
      <c r="AE98" s="126">
        <f t="shared" si="37"/>
        <v>0</v>
      </c>
      <c r="AM98" s="69" t="str">
        <f t="shared" si="38"/>
        <v/>
      </c>
      <c r="AU98">
        <v>0</v>
      </c>
    </row>
    <row r="99" spans="1:47" ht="25.5" x14ac:dyDescent="0.25">
      <c r="A99" s="294" t="s">
        <v>782</v>
      </c>
      <c r="B99" s="295" t="s">
        <v>783</v>
      </c>
      <c r="C99" s="295" t="s">
        <v>784</v>
      </c>
      <c r="D99" s="447"/>
      <c r="E99" s="297"/>
      <c r="F99" s="313"/>
      <c r="G99" s="297"/>
      <c r="H99" s="214"/>
      <c r="I99" s="92" t="s">
        <v>168</v>
      </c>
      <c r="J99" s="92" t="s">
        <v>178</v>
      </c>
      <c r="K99" s="92" t="s">
        <v>185</v>
      </c>
      <c r="L99" s="71" t="s">
        <v>190</v>
      </c>
      <c r="M99" s="71"/>
      <c r="N99" s="71"/>
      <c r="O99" s="71" t="s">
        <v>200</v>
      </c>
      <c r="P99" s="71" t="s">
        <v>380</v>
      </c>
      <c r="Q99" s="71"/>
      <c r="R99" s="64">
        <v>42917</v>
      </c>
      <c r="S99" s="64"/>
      <c r="T99" s="64"/>
      <c r="U99" s="97">
        <f>IF(OR($E$89="N/A",AND(AU99=0,'Cover Sheet'!$B$29="Streamlined Review"),AND(E99="Met",F99&lt;&gt;""),AND(E99="Not met",G99&lt;&gt;""),AND(E99="Unsure",G99&lt;&gt;""),AND(E99="N/A",H99&lt;&gt;""),AND(Y99=TRUE)),1,0)</f>
        <v>0</v>
      </c>
      <c r="W99" s="56" t="b">
        <f t="shared" si="30"/>
        <v>0</v>
      </c>
      <c r="X99" s="126" t="b">
        <f t="shared" si="31"/>
        <v>0</v>
      </c>
      <c r="Y99" s="126" t="b">
        <f t="shared" si="39"/>
        <v>0</v>
      </c>
      <c r="Z99" s="126">
        <f t="shared" si="32"/>
        <v>1</v>
      </c>
      <c r="AA99" s="126">
        <f t="shared" si="33"/>
        <v>0</v>
      </c>
      <c r="AB99" s="126">
        <f t="shared" si="34"/>
        <v>0</v>
      </c>
      <c r="AC99" s="126">
        <f t="shared" si="35"/>
        <v>0</v>
      </c>
      <c r="AD99" s="126">
        <f t="shared" si="36"/>
        <v>0</v>
      </c>
      <c r="AE99" s="126">
        <f t="shared" si="37"/>
        <v>0</v>
      </c>
      <c r="AM99" s="69" t="str">
        <f t="shared" si="38"/>
        <v/>
      </c>
      <c r="AU99">
        <v>0</v>
      </c>
    </row>
    <row r="100" spans="1:47" ht="30.75" customHeight="1" x14ac:dyDescent="0.25">
      <c r="A100" s="294" t="s">
        <v>785</v>
      </c>
      <c r="B100" s="295" t="s">
        <v>783</v>
      </c>
      <c r="C100" s="295" t="s">
        <v>786</v>
      </c>
      <c r="D100" s="447"/>
      <c r="E100" s="297"/>
      <c r="F100" s="313"/>
      <c r="G100" s="297"/>
      <c r="H100" s="214"/>
      <c r="I100" s="92" t="s">
        <v>168</v>
      </c>
      <c r="J100" s="92" t="s">
        <v>178</v>
      </c>
      <c r="K100" s="92" t="s">
        <v>185</v>
      </c>
      <c r="L100" s="71" t="s">
        <v>190</v>
      </c>
      <c r="M100" s="71"/>
      <c r="N100" s="71"/>
      <c r="O100" s="71" t="s">
        <v>200</v>
      </c>
      <c r="P100" s="71" t="s">
        <v>380</v>
      </c>
      <c r="Q100" s="71"/>
      <c r="R100" s="64">
        <v>42917</v>
      </c>
      <c r="S100" s="64"/>
      <c r="T100" s="64"/>
      <c r="U100" s="97">
        <f>IF(OR($E$89="N/A",AND(AU100=0,'Cover Sheet'!$B$29="Streamlined Review"),AND(E100="Met",F100&lt;&gt;""),AND(E100="Not met",G100&lt;&gt;""),AND(E100="Unsure",G100&lt;&gt;""),AND(E100="N/A",H100&lt;&gt;""),AND(Y100=TRUE)),1,0)</f>
        <v>0</v>
      </c>
      <c r="W100" s="56" t="b">
        <f t="shared" si="30"/>
        <v>0</v>
      </c>
      <c r="X100" s="126" t="b">
        <f t="shared" si="31"/>
        <v>0</v>
      </c>
      <c r="Y100" s="126" t="b">
        <f t="shared" si="39"/>
        <v>0</v>
      </c>
      <c r="Z100" s="126">
        <f t="shared" si="32"/>
        <v>1</v>
      </c>
      <c r="AA100" s="126">
        <f t="shared" si="33"/>
        <v>0</v>
      </c>
      <c r="AB100" s="126">
        <f t="shared" si="34"/>
        <v>0</v>
      </c>
      <c r="AC100" s="126">
        <f t="shared" si="35"/>
        <v>0</v>
      </c>
      <c r="AD100" s="126">
        <f t="shared" si="36"/>
        <v>0</v>
      </c>
      <c r="AE100" s="126">
        <f t="shared" si="37"/>
        <v>0</v>
      </c>
      <c r="AM100" s="69" t="str">
        <f t="shared" si="38"/>
        <v/>
      </c>
      <c r="AU100">
        <v>0</v>
      </c>
    </row>
    <row r="101" spans="1:47" ht="31.5" customHeight="1" x14ac:dyDescent="0.25">
      <c r="A101" s="294" t="s">
        <v>787</v>
      </c>
      <c r="B101" s="295" t="s">
        <v>783</v>
      </c>
      <c r="C101" s="295" t="s">
        <v>788</v>
      </c>
      <c r="D101" s="447"/>
      <c r="E101" s="297"/>
      <c r="F101" s="313"/>
      <c r="G101" s="297"/>
      <c r="H101" s="214"/>
      <c r="I101" s="92" t="s">
        <v>168</v>
      </c>
      <c r="J101" s="92" t="s">
        <v>178</v>
      </c>
      <c r="K101" s="92" t="s">
        <v>185</v>
      </c>
      <c r="L101" s="71" t="s">
        <v>190</v>
      </c>
      <c r="M101" s="71"/>
      <c r="N101" s="71"/>
      <c r="O101" s="71" t="s">
        <v>200</v>
      </c>
      <c r="P101" s="71" t="s">
        <v>380</v>
      </c>
      <c r="Q101" s="71"/>
      <c r="R101" s="64">
        <v>42917</v>
      </c>
      <c r="S101" s="64"/>
      <c r="T101" s="64"/>
      <c r="U101" s="97">
        <f>IF(OR($E$89="N/A",AND(AU101=0,'Cover Sheet'!$B$29="Streamlined Review"),AND(E101="Met",F101&lt;&gt;""),AND(E101="Not met",G101&lt;&gt;""),AND(E101="Unsure",G101&lt;&gt;""),AND(E101="N/A",H101&lt;&gt;""),AND(Y101=TRUE)),1,0)</f>
        <v>0</v>
      </c>
      <c r="W101" s="56" t="b">
        <f t="shared" si="30"/>
        <v>0</v>
      </c>
      <c r="X101" s="126" t="b">
        <f t="shared" si="31"/>
        <v>0</v>
      </c>
      <c r="Y101" s="126" t="b">
        <f t="shared" si="39"/>
        <v>0</v>
      </c>
      <c r="Z101" s="126">
        <f t="shared" si="32"/>
        <v>1</v>
      </c>
      <c r="AA101" s="126">
        <f t="shared" si="33"/>
        <v>0</v>
      </c>
      <c r="AB101" s="126">
        <f t="shared" si="34"/>
        <v>0</v>
      </c>
      <c r="AC101" s="126">
        <f t="shared" si="35"/>
        <v>0</v>
      </c>
      <c r="AD101" s="126">
        <f t="shared" si="36"/>
        <v>0</v>
      </c>
      <c r="AE101" s="126">
        <f t="shared" si="37"/>
        <v>0</v>
      </c>
      <c r="AM101" s="69" t="str">
        <f t="shared" si="38"/>
        <v/>
      </c>
      <c r="AU101">
        <v>0</v>
      </c>
    </row>
    <row r="102" spans="1:47" ht="30" customHeight="1" x14ac:dyDescent="0.25">
      <c r="A102" s="294" t="s">
        <v>789</v>
      </c>
      <c r="B102" s="295" t="s">
        <v>783</v>
      </c>
      <c r="C102" s="295" t="s">
        <v>790</v>
      </c>
      <c r="D102" s="447"/>
      <c r="E102" s="297"/>
      <c r="F102" s="313"/>
      <c r="G102" s="297"/>
      <c r="H102" s="214"/>
      <c r="I102" s="92" t="s">
        <v>168</v>
      </c>
      <c r="J102" s="92" t="s">
        <v>178</v>
      </c>
      <c r="K102" s="92" t="s">
        <v>185</v>
      </c>
      <c r="L102" s="71" t="s">
        <v>190</v>
      </c>
      <c r="M102" s="71"/>
      <c r="N102" s="71"/>
      <c r="O102" s="71" t="s">
        <v>200</v>
      </c>
      <c r="P102" s="71" t="s">
        <v>380</v>
      </c>
      <c r="Q102" s="71"/>
      <c r="R102" s="64">
        <v>42917</v>
      </c>
      <c r="S102" s="64"/>
      <c r="T102" s="64"/>
      <c r="U102" s="97">
        <f>IF(OR($E$89="N/A",AND(AU102=0,'Cover Sheet'!$B$29="Streamlined Review"),AND(E102="Met",F102&lt;&gt;""),AND(E102="Not met",G102&lt;&gt;""),AND(E102="Unsure",G102&lt;&gt;""),AND(E102="N/A",H102&lt;&gt;""),AND(Y102=TRUE)),1,0)</f>
        <v>0</v>
      </c>
      <c r="W102" s="56" t="b">
        <f t="shared" si="30"/>
        <v>0</v>
      </c>
      <c r="X102" s="126" t="b">
        <f t="shared" si="31"/>
        <v>0</v>
      </c>
      <c r="Y102" s="126" t="b">
        <f t="shared" si="39"/>
        <v>0</v>
      </c>
      <c r="Z102" s="126">
        <f t="shared" si="32"/>
        <v>1</v>
      </c>
      <c r="AA102" s="126">
        <f t="shared" si="33"/>
        <v>0</v>
      </c>
      <c r="AB102" s="126">
        <f t="shared" si="34"/>
        <v>0</v>
      </c>
      <c r="AC102" s="126">
        <f t="shared" si="35"/>
        <v>0</v>
      </c>
      <c r="AD102" s="126">
        <f t="shared" si="36"/>
        <v>0</v>
      </c>
      <c r="AE102" s="126">
        <f t="shared" si="37"/>
        <v>0</v>
      </c>
      <c r="AM102" s="69" t="str">
        <f t="shared" si="38"/>
        <v/>
      </c>
      <c r="AU102">
        <v>0</v>
      </c>
    </row>
    <row r="103" spans="1:47" ht="30" customHeight="1" x14ac:dyDescent="0.25">
      <c r="A103" s="294" t="s">
        <v>791</v>
      </c>
      <c r="B103" s="295" t="s">
        <v>783</v>
      </c>
      <c r="C103" s="295" t="s">
        <v>792</v>
      </c>
      <c r="D103" s="447"/>
      <c r="E103" s="297"/>
      <c r="F103" s="313"/>
      <c r="G103" s="297"/>
      <c r="H103" s="214"/>
      <c r="I103" s="92" t="s">
        <v>168</v>
      </c>
      <c r="J103" s="92" t="s">
        <v>178</v>
      </c>
      <c r="K103" s="92" t="s">
        <v>185</v>
      </c>
      <c r="L103" s="71" t="s">
        <v>190</v>
      </c>
      <c r="M103" s="71"/>
      <c r="N103" s="71"/>
      <c r="O103" s="71" t="s">
        <v>200</v>
      </c>
      <c r="P103" s="71" t="s">
        <v>380</v>
      </c>
      <c r="Q103" s="71"/>
      <c r="R103" s="64">
        <v>42917</v>
      </c>
      <c r="S103" s="64"/>
      <c r="T103" s="64"/>
      <c r="U103" s="97">
        <f>IF(OR($E$89="N/A",AND(AU103=0,'Cover Sheet'!$B$29="Streamlined Review"),AND(E103="Met",F103&lt;&gt;""),AND(E103="Not met",G103&lt;&gt;""),AND(E103="Unsure",G103&lt;&gt;""),AND(E103="N/A",H103&lt;&gt;""),AND(Y103=TRUE)),1,0)</f>
        <v>0</v>
      </c>
      <c r="W103" s="56" t="b">
        <f t="shared" si="30"/>
        <v>0</v>
      </c>
      <c r="X103" s="126" t="b">
        <f t="shared" si="31"/>
        <v>0</v>
      </c>
      <c r="Y103" s="126" t="b">
        <f t="shared" si="39"/>
        <v>0</v>
      </c>
      <c r="Z103" s="126">
        <f t="shared" si="32"/>
        <v>1</v>
      </c>
      <c r="AA103" s="126">
        <f t="shared" si="33"/>
        <v>0</v>
      </c>
      <c r="AB103" s="126">
        <f t="shared" si="34"/>
        <v>0</v>
      </c>
      <c r="AC103" s="126">
        <f t="shared" si="35"/>
        <v>0</v>
      </c>
      <c r="AD103" s="126">
        <f t="shared" si="36"/>
        <v>0</v>
      </c>
      <c r="AE103" s="126">
        <f t="shared" si="37"/>
        <v>0</v>
      </c>
      <c r="AM103" s="69" t="str">
        <f t="shared" si="38"/>
        <v/>
      </c>
      <c r="AU103">
        <v>0</v>
      </c>
    </row>
    <row r="104" spans="1:47" ht="29.25" customHeight="1" x14ac:dyDescent="0.25">
      <c r="A104" s="294" t="s">
        <v>793</v>
      </c>
      <c r="B104" s="295" t="s">
        <v>783</v>
      </c>
      <c r="C104" s="295" t="s">
        <v>794</v>
      </c>
      <c r="D104" s="447"/>
      <c r="E104" s="297"/>
      <c r="F104" s="313"/>
      <c r="G104" s="297"/>
      <c r="H104" s="214"/>
      <c r="I104" s="92" t="s">
        <v>168</v>
      </c>
      <c r="J104" s="92" t="s">
        <v>178</v>
      </c>
      <c r="K104" s="92" t="s">
        <v>185</v>
      </c>
      <c r="L104" s="71" t="s">
        <v>190</v>
      </c>
      <c r="M104" s="71"/>
      <c r="N104" s="71"/>
      <c r="O104" s="71" t="s">
        <v>200</v>
      </c>
      <c r="P104" s="71" t="s">
        <v>380</v>
      </c>
      <c r="Q104" s="71"/>
      <c r="R104" s="64">
        <v>42917</v>
      </c>
      <c r="S104" s="64"/>
      <c r="T104" s="64"/>
      <c r="U104" s="97">
        <f>IF(OR($E$89="N/A",AND(AU104=0,'Cover Sheet'!$B$29="Streamlined Review"),AND(E104="Met",F104&lt;&gt;""),AND(E104="Not met",G104&lt;&gt;""),AND(E104="Unsure",G104&lt;&gt;""),AND(E104="N/A",H104&lt;&gt;""),AND(Y104=TRUE)),1,0)</f>
        <v>0</v>
      </c>
      <c r="W104" s="56" t="b">
        <f t="shared" si="30"/>
        <v>0</v>
      </c>
      <c r="X104" s="126" t="b">
        <f t="shared" si="31"/>
        <v>0</v>
      </c>
      <c r="Y104" s="126" t="b">
        <f t="shared" si="39"/>
        <v>0</v>
      </c>
      <c r="Z104" s="126">
        <f t="shared" si="32"/>
        <v>1</v>
      </c>
      <c r="AA104" s="126">
        <f t="shared" si="33"/>
        <v>0</v>
      </c>
      <c r="AB104" s="126">
        <f t="shared" si="34"/>
        <v>0</v>
      </c>
      <c r="AC104" s="126">
        <f t="shared" si="35"/>
        <v>0</v>
      </c>
      <c r="AD104" s="126">
        <f t="shared" si="36"/>
        <v>0</v>
      </c>
      <c r="AE104" s="126">
        <f t="shared" si="37"/>
        <v>0</v>
      </c>
      <c r="AM104" s="69" t="str">
        <f t="shared" si="38"/>
        <v/>
      </c>
      <c r="AU104">
        <v>0</v>
      </c>
    </row>
    <row r="105" spans="1:47" ht="30" customHeight="1" x14ac:dyDescent="0.25">
      <c r="A105" s="294" t="s">
        <v>795</v>
      </c>
      <c r="B105" s="295" t="s">
        <v>783</v>
      </c>
      <c r="C105" s="295" t="s">
        <v>796</v>
      </c>
      <c r="D105" s="447"/>
      <c r="E105" s="297"/>
      <c r="F105" s="313"/>
      <c r="G105" s="297"/>
      <c r="H105" s="214"/>
      <c r="I105" s="92" t="s">
        <v>168</v>
      </c>
      <c r="J105" s="92" t="s">
        <v>178</v>
      </c>
      <c r="K105" s="92" t="s">
        <v>185</v>
      </c>
      <c r="L105" s="71" t="s">
        <v>190</v>
      </c>
      <c r="M105" s="71"/>
      <c r="N105" s="71"/>
      <c r="O105" s="71" t="s">
        <v>200</v>
      </c>
      <c r="P105" s="71" t="s">
        <v>380</v>
      </c>
      <c r="Q105" s="71"/>
      <c r="R105" s="64">
        <v>42917</v>
      </c>
      <c r="S105" s="64"/>
      <c r="T105" s="64"/>
      <c r="U105" s="97">
        <f>IF(OR($E$89="N/A",AND(AU105=0,'Cover Sheet'!$B$29="Streamlined Review"),AND(E105="Met",F105&lt;&gt;""),AND(E105="Not met",G105&lt;&gt;""),AND(E105="Unsure",G105&lt;&gt;""),AND(E105="N/A",H105&lt;&gt;""),AND(Y105=TRUE)),1,0)</f>
        <v>0</v>
      </c>
      <c r="W105" s="56" t="b">
        <f t="shared" si="30"/>
        <v>0</v>
      </c>
      <c r="X105" s="126" t="b">
        <f t="shared" si="31"/>
        <v>0</v>
      </c>
      <c r="Y105" s="126" t="b">
        <f t="shared" si="39"/>
        <v>0</v>
      </c>
      <c r="Z105" s="126">
        <f t="shared" si="32"/>
        <v>1</v>
      </c>
      <c r="AA105" s="126">
        <f t="shared" si="33"/>
        <v>0</v>
      </c>
      <c r="AB105" s="126">
        <f t="shared" si="34"/>
        <v>0</v>
      </c>
      <c r="AC105" s="126">
        <f t="shared" si="35"/>
        <v>0</v>
      </c>
      <c r="AD105" s="126">
        <f t="shared" si="36"/>
        <v>0</v>
      </c>
      <c r="AE105" s="126">
        <f t="shared" si="37"/>
        <v>0</v>
      </c>
      <c r="AM105" s="69" t="str">
        <f t="shared" si="38"/>
        <v/>
      </c>
      <c r="AU105">
        <v>0</v>
      </c>
    </row>
    <row r="106" spans="1:47" ht="28.5" customHeight="1" x14ac:dyDescent="0.25">
      <c r="A106" s="294" t="s">
        <v>797</v>
      </c>
      <c r="B106" s="295" t="s">
        <v>783</v>
      </c>
      <c r="C106" s="295" t="s">
        <v>798</v>
      </c>
      <c r="D106" s="447"/>
      <c r="E106" s="297"/>
      <c r="F106" s="313"/>
      <c r="G106" s="297"/>
      <c r="H106" s="214"/>
      <c r="I106" s="92" t="s">
        <v>168</v>
      </c>
      <c r="J106" s="92" t="s">
        <v>178</v>
      </c>
      <c r="K106" s="92" t="s">
        <v>185</v>
      </c>
      <c r="L106" s="71" t="s">
        <v>190</v>
      </c>
      <c r="M106" s="71"/>
      <c r="N106" s="71"/>
      <c r="O106" s="71" t="s">
        <v>200</v>
      </c>
      <c r="P106" s="71" t="s">
        <v>380</v>
      </c>
      <c r="Q106" s="71"/>
      <c r="R106" s="64">
        <v>42917</v>
      </c>
      <c r="S106" s="64"/>
      <c r="T106" s="64"/>
      <c r="U106" s="97">
        <f>IF(OR($E$89="N/A",AND(AU106=0,'Cover Sheet'!$B$29="Streamlined Review"),AND(E106="Met",F106&lt;&gt;""),AND(E106="Not met",G106&lt;&gt;""),AND(E106="Unsure",G106&lt;&gt;""),AND(E106="N/A",H106&lt;&gt;""),AND(Y106=TRUE)),1,0)</f>
        <v>0</v>
      </c>
      <c r="W106" s="56" t="b">
        <f t="shared" si="30"/>
        <v>0</v>
      </c>
      <c r="X106" s="126" t="b">
        <f t="shared" si="31"/>
        <v>0</v>
      </c>
      <c r="Y106" s="126" t="b">
        <f t="shared" si="39"/>
        <v>0</v>
      </c>
      <c r="Z106" s="126">
        <f t="shared" si="32"/>
        <v>1</v>
      </c>
      <c r="AA106" s="126">
        <f t="shared" si="33"/>
        <v>0</v>
      </c>
      <c r="AB106" s="126">
        <f t="shared" si="34"/>
        <v>0</v>
      </c>
      <c r="AC106" s="126">
        <f t="shared" si="35"/>
        <v>0</v>
      </c>
      <c r="AD106" s="126">
        <f t="shared" si="36"/>
        <v>0</v>
      </c>
      <c r="AE106" s="126">
        <f t="shared" si="37"/>
        <v>0</v>
      </c>
      <c r="AM106" s="69" t="str">
        <f t="shared" si="38"/>
        <v/>
      </c>
      <c r="AU106">
        <v>0</v>
      </c>
    </row>
    <row r="107" spans="1:47" ht="30" customHeight="1" x14ac:dyDescent="0.25">
      <c r="A107" s="294" t="s">
        <v>799</v>
      </c>
      <c r="B107" s="295" t="s">
        <v>783</v>
      </c>
      <c r="C107" s="295" t="s">
        <v>800</v>
      </c>
      <c r="D107" s="447"/>
      <c r="E107" s="297"/>
      <c r="F107" s="313"/>
      <c r="G107" s="297"/>
      <c r="H107" s="214"/>
      <c r="I107" s="92" t="s">
        <v>168</v>
      </c>
      <c r="J107" s="92" t="s">
        <v>178</v>
      </c>
      <c r="K107" s="92" t="s">
        <v>185</v>
      </c>
      <c r="L107" s="71" t="s">
        <v>190</v>
      </c>
      <c r="M107" s="71"/>
      <c r="N107" s="71"/>
      <c r="O107" s="71" t="s">
        <v>200</v>
      </c>
      <c r="P107" s="71" t="s">
        <v>380</v>
      </c>
      <c r="Q107" s="71"/>
      <c r="R107" s="64">
        <v>42917</v>
      </c>
      <c r="S107" s="64"/>
      <c r="T107" s="64"/>
      <c r="U107" s="97">
        <f>IF(OR($E$89="N/A",AND(AU107=0,'Cover Sheet'!$B$29="Streamlined Review"),AND(E107="Met",F107&lt;&gt;""),AND(E107="Not met",G107&lt;&gt;""),AND(E107="Unsure",G107&lt;&gt;""),AND(E107="N/A",H107&lt;&gt;""),AND(Y107=TRUE)),1,0)</f>
        <v>0</v>
      </c>
      <c r="W107" s="56" t="b">
        <f t="shared" si="30"/>
        <v>0</v>
      </c>
      <c r="X107" s="126" t="b">
        <f t="shared" si="31"/>
        <v>0</v>
      </c>
      <c r="Y107" s="126" t="b">
        <f t="shared" si="39"/>
        <v>0</v>
      </c>
      <c r="Z107" s="126">
        <f t="shared" si="32"/>
        <v>1</v>
      </c>
      <c r="AA107" s="126">
        <f t="shared" si="33"/>
        <v>0</v>
      </c>
      <c r="AB107" s="126">
        <f t="shared" si="34"/>
        <v>0</v>
      </c>
      <c r="AC107" s="126">
        <f t="shared" si="35"/>
        <v>0</v>
      </c>
      <c r="AD107" s="126">
        <f t="shared" si="36"/>
        <v>0</v>
      </c>
      <c r="AE107" s="126">
        <f t="shared" si="37"/>
        <v>0</v>
      </c>
      <c r="AM107" s="69" t="str">
        <f t="shared" si="38"/>
        <v/>
      </c>
      <c r="AU107">
        <v>0</v>
      </c>
    </row>
    <row r="108" spans="1:47" ht="28.5" customHeight="1" x14ac:dyDescent="0.25">
      <c r="A108" s="294" t="s">
        <v>801</v>
      </c>
      <c r="B108" s="295" t="s">
        <v>783</v>
      </c>
      <c r="C108" s="295" t="s">
        <v>802</v>
      </c>
      <c r="D108" s="447"/>
      <c r="E108" s="297"/>
      <c r="F108" s="313"/>
      <c r="G108" s="297"/>
      <c r="H108" s="214"/>
      <c r="I108" s="92" t="s">
        <v>168</v>
      </c>
      <c r="J108" s="92" t="s">
        <v>178</v>
      </c>
      <c r="K108" s="92" t="s">
        <v>185</v>
      </c>
      <c r="L108" s="71" t="s">
        <v>190</v>
      </c>
      <c r="M108" s="71"/>
      <c r="N108" s="71"/>
      <c r="O108" s="71" t="s">
        <v>200</v>
      </c>
      <c r="P108" s="71" t="s">
        <v>380</v>
      </c>
      <c r="Q108" s="71"/>
      <c r="R108" s="64">
        <v>42917</v>
      </c>
      <c r="S108" s="64"/>
      <c r="T108" s="64"/>
      <c r="U108" s="97">
        <f>IF(OR($E$89="N/A",AND(AU108=0,'Cover Sheet'!$B$29="Streamlined Review"),AND(E108="Met",F108&lt;&gt;""),AND(E108="Not met",G108&lt;&gt;""),AND(E108="Unsure",G108&lt;&gt;""),AND(E108="N/A",H108&lt;&gt;""),AND(Y108=TRUE)),1,0)</f>
        <v>0</v>
      </c>
      <c r="W108" s="56" t="b">
        <f t="shared" si="30"/>
        <v>0</v>
      </c>
      <c r="X108" s="126" t="b">
        <f t="shared" si="31"/>
        <v>0</v>
      </c>
      <c r="Y108" s="126" t="b">
        <f t="shared" si="39"/>
        <v>0</v>
      </c>
      <c r="Z108" s="126">
        <f t="shared" si="32"/>
        <v>1</v>
      </c>
      <c r="AA108" s="126">
        <f t="shared" si="33"/>
        <v>0</v>
      </c>
      <c r="AB108" s="126">
        <f t="shared" si="34"/>
        <v>0</v>
      </c>
      <c r="AC108" s="126">
        <f t="shared" si="35"/>
        <v>0</v>
      </c>
      <c r="AD108" s="126">
        <f t="shared" si="36"/>
        <v>0</v>
      </c>
      <c r="AE108" s="126">
        <f t="shared" si="37"/>
        <v>0</v>
      </c>
      <c r="AM108" s="69" t="str">
        <f t="shared" si="38"/>
        <v/>
      </c>
      <c r="AU108">
        <v>0</v>
      </c>
    </row>
    <row r="109" spans="1:47" ht="29.25" customHeight="1" x14ac:dyDescent="0.25">
      <c r="A109" s="294" t="s">
        <v>803</v>
      </c>
      <c r="B109" s="295" t="s">
        <v>783</v>
      </c>
      <c r="C109" s="295" t="s">
        <v>804</v>
      </c>
      <c r="D109" s="447"/>
      <c r="E109" s="297"/>
      <c r="F109" s="313"/>
      <c r="G109" s="297"/>
      <c r="H109" s="214"/>
      <c r="I109" s="92" t="s">
        <v>168</v>
      </c>
      <c r="J109" s="92" t="s">
        <v>178</v>
      </c>
      <c r="K109" s="92" t="s">
        <v>185</v>
      </c>
      <c r="L109" s="71" t="s">
        <v>190</v>
      </c>
      <c r="M109" s="71"/>
      <c r="N109" s="71"/>
      <c r="O109" s="71" t="s">
        <v>200</v>
      </c>
      <c r="P109" s="71" t="s">
        <v>380</v>
      </c>
      <c r="Q109" s="71"/>
      <c r="R109" s="64">
        <v>42917</v>
      </c>
      <c r="S109" s="64"/>
      <c r="T109" s="64"/>
      <c r="U109" s="97">
        <f>IF(OR($E$89="N/A",AND(AU109=0,'Cover Sheet'!$B$29="Streamlined Review"),AND(E109="Met",F109&lt;&gt;""),AND(E109="Not met",G109&lt;&gt;""),AND(E109="Unsure",G109&lt;&gt;""),AND(E109="N/A",H109&lt;&gt;""),AND(Y109=TRUE)),1,0)</f>
        <v>0</v>
      </c>
      <c r="W109" s="56" t="b">
        <f t="shared" si="30"/>
        <v>0</v>
      </c>
      <c r="X109" s="126" t="b">
        <f t="shared" si="31"/>
        <v>0</v>
      </c>
      <c r="Y109" s="126" t="b">
        <f t="shared" si="39"/>
        <v>0</v>
      </c>
      <c r="Z109" s="126">
        <f t="shared" si="32"/>
        <v>1</v>
      </c>
      <c r="AA109" s="126">
        <f t="shared" si="33"/>
        <v>0</v>
      </c>
      <c r="AB109" s="126">
        <f t="shared" si="34"/>
        <v>0</v>
      </c>
      <c r="AC109" s="126">
        <f t="shared" si="35"/>
        <v>0</v>
      </c>
      <c r="AD109" s="126">
        <f t="shared" si="36"/>
        <v>0</v>
      </c>
      <c r="AE109" s="126">
        <f t="shared" si="37"/>
        <v>0</v>
      </c>
      <c r="AM109" s="69" t="str">
        <f t="shared" si="38"/>
        <v/>
      </c>
      <c r="AU109">
        <v>0</v>
      </c>
    </row>
    <row r="110" spans="1:47" ht="29.25" customHeight="1" x14ac:dyDescent="0.25">
      <c r="A110" s="294" t="s">
        <v>805</v>
      </c>
      <c r="B110" s="295" t="s">
        <v>783</v>
      </c>
      <c r="C110" s="295" t="s">
        <v>806</v>
      </c>
      <c r="D110" s="447"/>
      <c r="E110" s="297"/>
      <c r="F110" s="313"/>
      <c r="G110" s="297"/>
      <c r="H110" s="214"/>
      <c r="I110" s="92" t="s">
        <v>168</v>
      </c>
      <c r="J110" s="92" t="s">
        <v>178</v>
      </c>
      <c r="K110" s="92" t="s">
        <v>185</v>
      </c>
      <c r="L110" s="71" t="s">
        <v>190</v>
      </c>
      <c r="M110" s="71"/>
      <c r="N110" s="71"/>
      <c r="O110" s="71" t="s">
        <v>200</v>
      </c>
      <c r="P110" s="71" t="s">
        <v>380</v>
      </c>
      <c r="Q110" s="71"/>
      <c r="R110" s="64">
        <v>42917</v>
      </c>
      <c r="S110" s="64"/>
      <c r="T110" s="64"/>
      <c r="U110" s="97">
        <f>IF(OR($E$89="N/A",AND(AU110=0,'Cover Sheet'!$B$29="Streamlined Review"),AND(E110="Met",F110&lt;&gt;""),AND(E110="Not met",G110&lt;&gt;""),AND(E110="Unsure",G110&lt;&gt;""),AND(E110="N/A",H110&lt;&gt;""),AND(Y110=TRUE)),1,0)</f>
        <v>0</v>
      </c>
      <c r="W110" s="56" t="b">
        <f t="shared" si="30"/>
        <v>0</v>
      </c>
      <c r="X110" s="126" t="b">
        <f t="shared" si="31"/>
        <v>0</v>
      </c>
      <c r="Y110" s="126" t="b">
        <f t="shared" si="39"/>
        <v>0</v>
      </c>
      <c r="Z110" s="126">
        <f t="shared" si="32"/>
        <v>1</v>
      </c>
      <c r="AA110" s="126">
        <f t="shared" si="33"/>
        <v>0</v>
      </c>
      <c r="AB110" s="126">
        <f t="shared" si="34"/>
        <v>0</v>
      </c>
      <c r="AC110" s="126">
        <f t="shared" si="35"/>
        <v>0</v>
      </c>
      <c r="AD110" s="126">
        <f t="shared" si="36"/>
        <v>0</v>
      </c>
      <c r="AE110" s="126">
        <f t="shared" si="37"/>
        <v>0</v>
      </c>
      <c r="AM110" s="69" t="str">
        <f t="shared" si="38"/>
        <v/>
      </c>
      <c r="AU110">
        <v>0</v>
      </c>
    </row>
    <row r="111" spans="1:47" ht="30" customHeight="1" x14ac:dyDescent="0.25">
      <c r="A111" s="294" t="s">
        <v>807</v>
      </c>
      <c r="B111" s="295" t="s">
        <v>783</v>
      </c>
      <c r="C111" s="295" t="s">
        <v>808</v>
      </c>
      <c r="D111" s="447"/>
      <c r="E111" s="297"/>
      <c r="F111" s="315"/>
      <c r="G111" s="297"/>
      <c r="H111" s="214"/>
      <c r="I111" s="92" t="s">
        <v>168</v>
      </c>
      <c r="J111" s="92" t="s">
        <v>178</v>
      </c>
      <c r="K111" s="92" t="s">
        <v>185</v>
      </c>
      <c r="L111" s="71" t="s">
        <v>190</v>
      </c>
      <c r="M111" s="71"/>
      <c r="N111" s="71"/>
      <c r="O111" s="71" t="s">
        <v>200</v>
      </c>
      <c r="P111" s="71" t="s">
        <v>380</v>
      </c>
      <c r="Q111" s="71"/>
      <c r="R111" s="64">
        <v>42917</v>
      </c>
      <c r="S111" s="64"/>
      <c r="T111" s="64"/>
      <c r="U111" s="97">
        <f>IF(OR($E$89="N/A",AND(AU111=0,'Cover Sheet'!$B$29="Streamlined Review"),AND(E111="Met",F111&lt;&gt;""),AND(E111="Not met",G111&lt;&gt;""),AND(E111="Unsure",G111&lt;&gt;""),AND(E111="N/A",H111&lt;&gt;""),AND(Y111=TRUE)),1,0)</f>
        <v>0</v>
      </c>
      <c r="W111" s="56" t="b">
        <f t="shared" si="30"/>
        <v>0</v>
      </c>
      <c r="X111" s="126" t="b">
        <f t="shared" si="31"/>
        <v>0</v>
      </c>
      <c r="Y111" s="126" t="b">
        <f t="shared" ref="Y111:Y133" si="40">IF(SUM(Z111:AE111)&lt;1,TRUE,FALSE)</f>
        <v>0</v>
      </c>
      <c r="Z111" s="126">
        <f t="shared" si="32"/>
        <v>1</v>
      </c>
      <c r="AA111" s="126">
        <f t="shared" si="33"/>
        <v>0</v>
      </c>
      <c r="AB111" s="126">
        <f t="shared" si="34"/>
        <v>0</v>
      </c>
      <c r="AC111" s="126">
        <f t="shared" si="35"/>
        <v>0</v>
      </c>
      <c r="AD111" s="126">
        <f t="shared" si="36"/>
        <v>0</v>
      </c>
      <c r="AE111" s="126">
        <f t="shared" si="37"/>
        <v>0</v>
      </c>
      <c r="AM111" s="69" t="str">
        <f t="shared" si="38"/>
        <v/>
      </c>
      <c r="AU111">
        <v>0</v>
      </c>
    </row>
    <row r="112" spans="1:47" ht="30" customHeight="1" x14ac:dyDescent="0.25">
      <c r="A112" s="294" t="s">
        <v>809</v>
      </c>
      <c r="B112" s="295" t="s">
        <v>783</v>
      </c>
      <c r="C112" s="295" t="s">
        <v>810</v>
      </c>
      <c r="D112" s="447"/>
      <c r="E112" s="316"/>
      <c r="F112" s="297"/>
      <c r="G112" s="317"/>
      <c r="H112" s="214"/>
      <c r="I112" s="92" t="s">
        <v>168</v>
      </c>
      <c r="J112" s="92" t="s">
        <v>178</v>
      </c>
      <c r="K112" s="92" t="s">
        <v>185</v>
      </c>
      <c r="L112" s="71" t="s">
        <v>190</v>
      </c>
      <c r="M112" s="71"/>
      <c r="N112" s="71"/>
      <c r="O112" s="71" t="s">
        <v>200</v>
      </c>
      <c r="P112" s="71" t="s">
        <v>380</v>
      </c>
      <c r="Q112" s="71"/>
      <c r="R112" s="64">
        <v>42917</v>
      </c>
      <c r="S112" s="64"/>
      <c r="T112" s="64"/>
      <c r="U112" s="97">
        <f>IF(OR($E$89="N/A",AND(AU112=0,'Cover Sheet'!$B$29="Streamlined Review"),AND(E112="Met",F112&lt;&gt;""),AND(E112="Not met",G112&lt;&gt;""),AND(E112="Unsure",G112&lt;&gt;""),AND(E112="N/A",H112&lt;&gt;""),AND(Y112=TRUE)),1,0)</f>
        <v>0</v>
      </c>
      <c r="W112" s="56" t="b">
        <f t="shared" si="30"/>
        <v>0</v>
      </c>
      <c r="X112" s="126" t="b">
        <f t="shared" si="31"/>
        <v>0</v>
      </c>
      <c r="Y112" s="126" t="b">
        <f t="shared" si="40"/>
        <v>0</v>
      </c>
      <c r="Z112" s="126">
        <f t="shared" si="32"/>
        <v>1</v>
      </c>
      <c r="AA112" s="126">
        <f t="shared" si="33"/>
        <v>0</v>
      </c>
      <c r="AB112" s="126">
        <f t="shared" si="34"/>
        <v>0</v>
      </c>
      <c r="AC112" s="126">
        <f t="shared" si="35"/>
        <v>0</v>
      </c>
      <c r="AD112" s="126">
        <f t="shared" si="36"/>
        <v>0</v>
      </c>
      <c r="AE112" s="126">
        <f t="shared" si="37"/>
        <v>0</v>
      </c>
      <c r="AM112" s="69" t="str">
        <f t="shared" si="38"/>
        <v/>
      </c>
      <c r="AU112">
        <v>0</v>
      </c>
    </row>
    <row r="113" spans="1:47" ht="29.25" customHeight="1" x14ac:dyDescent="0.25">
      <c r="A113" s="294" t="s">
        <v>811</v>
      </c>
      <c r="B113" s="295" t="s">
        <v>783</v>
      </c>
      <c r="C113" s="295" t="s">
        <v>812</v>
      </c>
      <c r="D113" s="447"/>
      <c r="E113" s="316"/>
      <c r="F113" s="297"/>
      <c r="G113" s="317"/>
      <c r="H113" s="214"/>
      <c r="I113" s="92" t="s">
        <v>168</v>
      </c>
      <c r="J113" s="92" t="s">
        <v>178</v>
      </c>
      <c r="K113" s="92" t="s">
        <v>185</v>
      </c>
      <c r="L113" s="71" t="s">
        <v>190</v>
      </c>
      <c r="M113" s="71"/>
      <c r="N113" s="71"/>
      <c r="O113" s="71" t="s">
        <v>200</v>
      </c>
      <c r="P113" s="71" t="s">
        <v>380</v>
      </c>
      <c r="Q113" s="71"/>
      <c r="R113" s="64">
        <v>42917</v>
      </c>
      <c r="S113" s="64"/>
      <c r="T113" s="64"/>
      <c r="U113" s="97">
        <f>IF(OR($E$89="N/A",AND(AU113=0,'Cover Sheet'!$B$29="Streamlined Review"),AND(E113="Met",F113&lt;&gt;""),AND(E113="Not met",G113&lt;&gt;""),AND(E113="Unsure",G113&lt;&gt;""),AND(E113="N/A",H113&lt;&gt;""),AND(Y113=TRUE)),1,0)</f>
        <v>0</v>
      </c>
      <c r="W113" s="56" t="b">
        <f t="shared" si="30"/>
        <v>0</v>
      </c>
      <c r="X113" s="126" t="b">
        <f t="shared" si="31"/>
        <v>0</v>
      </c>
      <c r="Y113" s="126" t="b">
        <f t="shared" si="40"/>
        <v>0</v>
      </c>
      <c r="Z113" s="126">
        <f t="shared" si="32"/>
        <v>1</v>
      </c>
      <c r="AA113" s="126">
        <f t="shared" si="33"/>
        <v>0</v>
      </c>
      <c r="AB113" s="126">
        <f t="shared" si="34"/>
        <v>0</v>
      </c>
      <c r="AC113" s="126">
        <f t="shared" si="35"/>
        <v>0</v>
      </c>
      <c r="AD113" s="126">
        <f t="shared" si="36"/>
        <v>0</v>
      </c>
      <c r="AE113" s="126">
        <f t="shared" si="37"/>
        <v>0</v>
      </c>
      <c r="AM113" s="69" t="str">
        <f t="shared" si="38"/>
        <v/>
      </c>
      <c r="AU113">
        <v>0</v>
      </c>
    </row>
    <row r="114" spans="1:47" ht="30" customHeight="1" x14ac:dyDescent="0.25">
      <c r="A114" s="294" t="s">
        <v>813</v>
      </c>
      <c r="B114" s="295" t="s">
        <v>783</v>
      </c>
      <c r="C114" s="295" t="s">
        <v>814</v>
      </c>
      <c r="D114" s="447"/>
      <c r="E114" s="297"/>
      <c r="F114" s="313"/>
      <c r="G114" s="297"/>
      <c r="H114" s="214"/>
      <c r="I114" s="92" t="s">
        <v>168</v>
      </c>
      <c r="J114" s="92" t="s">
        <v>178</v>
      </c>
      <c r="K114" s="92" t="s">
        <v>185</v>
      </c>
      <c r="L114" s="71" t="s">
        <v>190</v>
      </c>
      <c r="M114" s="71"/>
      <c r="N114" s="71"/>
      <c r="O114" s="71" t="s">
        <v>200</v>
      </c>
      <c r="P114" s="71" t="s">
        <v>380</v>
      </c>
      <c r="Q114" s="71"/>
      <c r="R114" s="64">
        <v>42917</v>
      </c>
      <c r="S114" s="64"/>
      <c r="T114" s="64"/>
      <c r="U114" s="97">
        <f>IF(OR($E$89="N/A",AND(AU114=0,'Cover Sheet'!$B$29="Streamlined Review"),AND(E114="Met",F114&lt;&gt;""),AND(E114="Not met",G114&lt;&gt;""),AND(E114="Unsure",G114&lt;&gt;""),AND(E114="N/A",H114&lt;&gt;""),AND(Y114=TRUE)),1,0)</f>
        <v>0</v>
      </c>
      <c r="W114" s="56" t="b">
        <f t="shared" si="30"/>
        <v>0</v>
      </c>
      <c r="X114" s="126" t="b">
        <f t="shared" si="31"/>
        <v>0</v>
      </c>
      <c r="Y114" s="126" t="b">
        <f t="shared" si="40"/>
        <v>0</v>
      </c>
      <c r="Z114" s="126">
        <f t="shared" si="32"/>
        <v>1</v>
      </c>
      <c r="AA114" s="126">
        <f t="shared" si="33"/>
        <v>0</v>
      </c>
      <c r="AB114" s="126">
        <f t="shared" si="34"/>
        <v>0</v>
      </c>
      <c r="AC114" s="126">
        <f t="shared" si="35"/>
        <v>0</v>
      </c>
      <c r="AD114" s="126">
        <f t="shared" si="36"/>
        <v>0</v>
      </c>
      <c r="AE114" s="126">
        <f t="shared" si="37"/>
        <v>0</v>
      </c>
      <c r="AM114" s="69" t="str">
        <f t="shared" si="38"/>
        <v/>
      </c>
      <c r="AU114">
        <v>0</v>
      </c>
    </row>
    <row r="115" spans="1:47" ht="28.5" customHeight="1" x14ac:dyDescent="0.25">
      <c r="A115" s="294" t="s">
        <v>815</v>
      </c>
      <c r="B115" s="295" t="s">
        <v>783</v>
      </c>
      <c r="C115" s="295" t="s">
        <v>816</v>
      </c>
      <c r="D115" s="447"/>
      <c r="E115" s="297"/>
      <c r="F115" s="313"/>
      <c r="G115" s="297"/>
      <c r="H115" s="214"/>
      <c r="I115" s="92" t="s">
        <v>168</v>
      </c>
      <c r="J115" s="92" t="s">
        <v>178</v>
      </c>
      <c r="K115" s="92" t="s">
        <v>185</v>
      </c>
      <c r="L115" s="71" t="s">
        <v>190</v>
      </c>
      <c r="M115" s="71"/>
      <c r="N115" s="71"/>
      <c r="O115" s="71" t="s">
        <v>200</v>
      </c>
      <c r="P115" s="71" t="s">
        <v>380</v>
      </c>
      <c r="Q115" s="71"/>
      <c r="R115" s="64">
        <v>42917</v>
      </c>
      <c r="S115" s="64"/>
      <c r="T115" s="64"/>
      <c r="U115" s="97">
        <f>IF(OR($E$89="N/A",AND(AU115=0,'Cover Sheet'!$B$29="Streamlined Review"),AND(E115="Met",F115&lt;&gt;""),AND(E115="Not met",G115&lt;&gt;""),AND(E115="Unsure",G115&lt;&gt;""),AND(E115="N/A",H115&lt;&gt;""),AND(Y115=TRUE)),1,0)</f>
        <v>0</v>
      </c>
      <c r="W115" s="56" t="b">
        <f t="shared" si="30"/>
        <v>0</v>
      </c>
      <c r="X115" s="126" t="b">
        <f t="shared" si="31"/>
        <v>0</v>
      </c>
      <c r="Y115" s="126" t="b">
        <f t="shared" si="40"/>
        <v>0</v>
      </c>
      <c r="Z115" s="126">
        <f t="shared" si="32"/>
        <v>1</v>
      </c>
      <c r="AA115" s="126">
        <f t="shared" si="33"/>
        <v>0</v>
      </c>
      <c r="AB115" s="126">
        <f t="shared" si="34"/>
        <v>0</v>
      </c>
      <c r="AC115" s="126">
        <f t="shared" si="35"/>
        <v>0</v>
      </c>
      <c r="AD115" s="126">
        <f t="shared" si="36"/>
        <v>0</v>
      </c>
      <c r="AE115" s="126">
        <f t="shared" si="37"/>
        <v>0</v>
      </c>
      <c r="AM115" s="69" t="str">
        <f t="shared" si="38"/>
        <v/>
      </c>
      <c r="AU115">
        <v>0</v>
      </c>
    </row>
    <row r="116" spans="1:47" ht="30.75" customHeight="1" x14ac:dyDescent="0.25">
      <c r="A116" s="294" t="s">
        <v>817</v>
      </c>
      <c r="B116" s="295" t="s">
        <v>783</v>
      </c>
      <c r="C116" s="295" t="s">
        <v>818</v>
      </c>
      <c r="D116" s="447"/>
      <c r="E116" s="297"/>
      <c r="F116" s="313"/>
      <c r="G116" s="297"/>
      <c r="H116" s="214"/>
      <c r="I116" s="92" t="s">
        <v>168</v>
      </c>
      <c r="J116" s="92" t="s">
        <v>178</v>
      </c>
      <c r="K116" s="92" t="s">
        <v>185</v>
      </c>
      <c r="L116" s="71" t="s">
        <v>190</v>
      </c>
      <c r="M116" s="71"/>
      <c r="N116" s="71"/>
      <c r="O116" s="71" t="s">
        <v>200</v>
      </c>
      <c r="P116" s="71" t="s">
        <v>380</v>
      </c>
      <c r="Q116" s="71"/>
      <c r="R116" s="64">
        <v>42917</v>
      </c>
      <c r="S116" s="64"/>
      <c r="T116" s="64"/>
      <c r="U116" s="97">
        <f>IF(OR($E$89="N/A",AND(AU116=0,'Cover Sheet'!$B$29="Streamlined Review"),AND(E116="Met",F116&lt;&gt;""),AND(E116="Not met",G116&lt;&gt;""),AND(E116="Unsure",G116&lt;&gt;""),AND(E116="N/A",H116&lt;&gt;""),AND(Y116=TRUE)),1,0)</f>
        <v>0</v>
      </c>
      <c r="W116" s="56" t="b">
        <f t="shared" si="30"/>
        <v>0</v>
      </c>
      <c r="X116" s="126" t="b">
        <f t="shared" si="31"/>
        <v>0</v>
      </c>
      <c r="Y116" s="126" t="b">
        <f t="shared" si="40"/>
        <v>0</v>
      </c>
      <c r="Z116" s="126">
        <f t="shared" si="32"/>
        <v>1</v>
      </c>
      <c r="AA116" s="126">
        <f t="shared" si="33"/>
        <v>0</v>
      </c>
      <c r="AB116" s="126">
        <f t="shared" si="34"/>
        <v>0</v>
      </c>
      <c r="AC116" s="126">
        <f t="shared" si="35"/>
        <v>0</v>
      </c>
      <c r="AD116" s="126">
        <f t="shared" si="36"/>
        <v>0</v>
      </c>
      <c r="AE116" s="126">
        <f t="shared" si="37"/>
        <v>0</v>
      </c>
      <c r="AM116" s="69" t="str">
        <f t="shared" si="38"/>
        <v/>
      </c>
      <c r="AU116">
        <v>0</v>
      </c>
    </row>
    <row r="117" spans="1:47" ht="29.25" customHeight="1" x14ac:dyDescent="0.25">
      <c r="A117" s="294" t="s">
        <v>819</v>
      </c>
      <c r="B117" s="295" t="s">
        <v>783</v>
      </c>
      <c r="C117" s="295" t="s">
        <v>820</v>
      </c>
      <c r="D117" s="447"/>
      <c r="E117" s="297"/>
      <c r="F117" s="313"/>
      <c r="G117" s="297"/>
      <c r="H117" s="214"/>
      <c r="I117" s="92" t="s">
        <v>168</v>
      </c>
      <c r="J117" s="92" t="s">
        <v>178</v>
      </c>
      <c r="K117" s="92" t="s">
        <v>185</v>
      </c>
      <c r="L117" s="71" t="s">
        <v>190</v>
      </c>
      <c r="M117" s="71"/>
      <c r="N117" s="71"/>
      <c r="O117" s="71" t="s">
        <v>200</v>
      </c>
      <c r="P117" s="71" t="s">
        <v>380</v>
      </c>
      <c r="Q117" s="71"/>
      <c r="R117" s="64">
        <v>42917</v>
      </c>
      <c r="S117" s="64"/>
      <c r="T117" s="64"/>
      <c r="U117" s="97">
        <f>IF(OR($E$89="N/A",AND(AU117=0,'Cover Sheet'!$B$29="Streamlined Review"),AND(E117="Met",F117&lt;&gt;""),AND(E117="Not met",G117&lt;&gt;""),AND(E117="Unsure",G117&lt;&gt;""),AND(E117="N/A",H117&lt;&gt;""),AND(Y117=TRUE)),1,0)</f>
        <v>0</v>
      </c>
      <c r="W117" s="56" t="b">
        <f t="shared" si="30"/>
        <v>0</v>
      </c>
      <c r="X117" s="126" t="b">
        <f t="shared" si="31"/>
        <v>0</v>
      </c>
      <c r="Y117" s="126" t="b">
        <f t="shared" si="40"/>
        <v>0</v>
      </c>
      <c r="Z117" s="126">
        <f t="shared" si="32"/>
        <v>1</v>
      </c>
      <c r="AA117" s="126">
        <f t="shared" si="33"/>
        <v>0</v>
      </c>
      <c r="AB117" s="126">
        <f t="shared" si="34"/>
        <v>0</v>
      </c>
      <c r="AC117" s="126">
        <f t="shared" si="35"/>
        <v>0</v>
      </c>
      <c r="AD117" s="126">
        <f t="shared" si="36"/>
        <v>0</v>
      </c>
      <c r="AE117" s="126">
        <f t="shared" si="37"/>
        <v>0</v>
      </c>
      <c r="AM117" s="69" t="str">
        <f t="shared" si="38"/>
        <v/>
      </c>
      <c r="AU117">
        <v>0</v>
      </c>
    </row>
    <row r="118" spans="1:47" ht="25.5" x14ac:dyDescent="0.25">
      <c r="A118" s="294" t="s">
        <v>821</v>
      </c>
      <c r="B118" s="295" t="s">
        <v>783</v>
      </c>
      <c r="C118" s="295" t="s">
        <v>822</v>
      </c>
      <c r="D118" s="447"/>
      <c r="E118" s="297"/>
      <c r="F118" s="313"/>
      <c r="G118" s="297"/>
      <c r="H118" s="214"/>
      <c r="I118" s="92" t="s">
        <v>168</v>
      </c>
      <c r="J118" s="92" t="s">
        <v>178</v>
      </c>
      <c r="K118" s="92" t="s">
        <v>185</v>
      </c>
      <c r="L118" s="71" t="s">
        <v>190</v>
      </c>
      <c r="M118" s="71"/>
      <c r="N118" s="71"/>
      <c r="O118" s="71" t="s">
        <v>200</v>
      </c>
      <c r="P118" s="71" t="s">
        <v>380</v>
      </c>
      <c r="Q118" s="71"/>
      <c r="R118" s="64">
        <v>42917</v>
      </c>
      <c r="S118" s="64"/>
      <c r="T118" s="64"/>
      <c r="U118" s="97">
        <f>IF(OR($E$89="N/A",AND(AU118=0,'Cover Sheet'!$B$29="Streamlined Review"),AND(E118="Met",F118&lt;&gt;""),AND(E118="Not met",G118&lt;&gt;""),AND(E118="Unsure",G118&lt;&gt;""),AND(E118="N/A",H118&lt;&gt;""),AND(Y118=TRUE)),1,0)</f>
        <v>0</v>
      </c>
      <c r="W118" s="56" t="b">
        <f t="shared" si="30"/>
        <v>0</v>
      </c>
      <c r="X118" s="126" t="b">
        <f t="shared" si="31"/>
        <v>0</v>
      </c>
      <c r="Y118" s="126" t="b">
        <f t="shared" si="40"/>
        <v>0</v>
      </c>
      <c r="Z118" s="126">
        <f t="shared" si="32"/>
        <v>1</v>
      </c>
      <c r="AA118" s="126">
        <f t="shared" si="33"/>
        <v>0</v>
      </c>
      <c r="AB118" s="126">
        <f t="shared" si="34"/>
        <v>0</v>
      </c>
      <c r="AC118" s="126">
        <f t="shared" si="35"/>
        <v>0</v>
      </c>
      <c r="AD118" s="126">
        <f t="shared" si="36"/>
        <v>0</v>
      </c>
      <c r="AE118" s="126">
        <f t="shared" si="37"/>
        <v>0</v>
      </c>
      <c r="AM118" s="69" t="str">
        <f t="shared" si="38"/>
        <v/>
      </c>
      <c r="AU118">
        <v>0</v>
      </c>
    </row>
    <row r="119" spans="1:47" ht="28.5" customHeight="1" x14ac:dyDescent="0.25">
      <c r="A119" s="294" t="s">
        <v>823</v>
      </c>
      <c r="B119" s="295" t="s">
        <v>783</v>
      </c>
      <c r="C119" s="295" t="s">
        <v>824</v>
      </c>
      <c r="D119" s="447"/>
      <c r="E119" s="297"/>
      <c r="F119" s="313"/>
      <c r="G119" s="297"/>
      <c r="H119" s="214"/>
      <c r="I119" s="92" t="s">
        <v>168</v>
      </c>
      <c r="J119" s="92" t="s">
        <v>178</v>
      </c>
      <c r="K119" s="92" t="s">
        <v>185</v>
      </c>
      <c r="L119" s="71" t="s">
        <v>190</v>
      </c>
      <c r="M119" s="71" t="s">
        <v>195</v>
      </c>
      <c r="N119" s="71"/>
      <c r="O119" s="71" t="s">
        <v>200</v>
      </c>
      <c r="P119" s="71" t="s">
        <v>380</v>
      </c>
      <c r="Q119" s="71"/>
      <c r="R119" s="64">
        <v>42917</v>
      </c>
      <c r="S119" s="64"/>
      <c r="T119" s="64"/>
      <c r="U119" s="97">
        <f>IF(OR($E$89="N/A",AND(AU119=0,'Cover Sheet'!$B$29="Streamlined Review"),AND(E119="Met",F119&lt;&gt;""),AND(E119="Not met",G119&lt;&gt;""),AND(E119="Unsure",G119&lt;&gt;""),AND(E119="N/A",H119&lt;&gt;""),AND(Y119=TRUE)),1,0)</f>
        <v>0</v>
      </c>
      <c r="W119" s="56" t="b">
        <f t="shared" si="30"/>
        <v>0</v>
      </c>
      <c r="X119" s="126" t="b">
        <f t="shared" si="31"/>
        <v>0</v>
      </c>
      <c r="Y119" s="126" t="b">
        <f t="shared" si="40"/>
        <v>0</v>
      </c>
      <c r="Z119" s="126">
        <f t="shared" si="32"/>
        <v>1</v>
      </c>
      <c r="AA119" s="126">
        <f t="shared" si="33"/>
        <v>0</v>
      </c>
      <c r="AB119" s="126">
        <f t="shared" si="34"/>
        <v>0</v>
      </c>
      <c r="AC119" s="126">
        <f t="shared" si="35"/>
        <v>0</v>
      </c>
      <c r="AD119" s="126">
        <f t="shared" si="36"/>
        <v>0</v>
      </c>
      <c r="AE119" s="126">
        <f t="shared" si="37"/>
        <v>0</v>
      </c>
      <c r="AM119" s="69" t="str">
        <f t="shared" si="38"/>
        <v/>
      </c>
      <c r="AU119">
        <v>0</v>
      </c>
    </row>
    <row r="120" spans="1:47" ht="30" customHeight="1" x14ac:dyDescent="0.25">
      <c r="A120" s="294" t="s">
        <v>825</v>
      </c>
      <c r="B120" s="295" t="s">
        <v>783</v>
      </c>
      <c r="C120" s="295" t="s">
        <v>826</v>
      </c>
      <c r="D120" s="447"/>
      <c r="E120" s="297"/>
      <c r="F120" s="313"/>
      <c r="G120" s="297"/>
      <c r="H120" s="214"/>
      <c r="I120" s="92" t="s">
        <v>168</v>
      </c>
      <c r="J120" s="92" t="s">
        <v>178</v>
      </c>
      <c r="K120" s="92" t="s">
        <v>185</v>
      </c>
      <c r="L120" s="71" t="s">
        <v>190</v>
      </c>
      <c r="M120" s="71" t="s">
        <v>195</v>
      </c>
      <c r="N120" s="71"/>
      <c r="O120" s="71" t="s">
        <v>200</v>
      </c>
      <c r="P120" s="71" t="s">
        <v>380</v>
      </c>
      <c r="Q120" s="71"/>
      <c r="R120" s="64">
        <v>42917</v>
      </c>
      <c r="S120" s="64"/>
      <c r="T120" s="64"/>
      <c r="U120" s="97">
        <f>IF(OR($E$89="N/A",AND(AU120=0,'Cover Sheet'!$B$29="Streamlined Review"),AND(E120="Met",F120&lt;&gt;""),AND(E120="Not met",G120&lt;&gt;""),AND(E120="Unsure",G120&lt;&gt;""),AND(E120="N/A",H120&lt;&gt;""),AND(Y120=TRUE)),1,0)</f>
        <v>0</v>
      </c>
      <c r="W120" s="56" t="b">
        <f t="shared" si="30"/>
        <v>0</v>
      </c>
      <c r="X120" s="126" t="b">
        <f t="shared" si="31"/>
        <v>0</v>
      </c>
      <c r="Y120" s="126" t="b">
        <f t="shared" si="40"/>
        <v>0</v>
      </c>
      <c r="Z120" s="126">
        <f t="shared" si="32"/>
        <v>1</v>
      </c>
      <c r="AA120" s="126">
        <f t="shared" si="33"/>
        <v>0</v>
      </c>
      <c r="AB120" s="126">
        <f t="shared" si="34"/>
        <v>0</v>
      </c>
      <c r="AC120" s="126">
        <f t="shared" si="35"/>
        <v>0</v>
      </c>
      <c r="AD120" s="126">
        <f t="shared" si="36"/>
        <v>0</v>
      </c>
      <c r="AE120" s="126">
        <f t="shared" si="37"/>
        <v>0</v>
      </c>
      <c r="AM120" s="69" t="str">
        <f t="shared" si="38"/>
        <v/>
      </c>
      <c r="AU120">
        <v>0</v>
      </c>
    </row>
    <row r="121" spans="1:47" ht="32.25" customHeight="1" x14ac:dyDescent="0.25">
      <c r="A121" s="294" t="s">
        <v>827</v>
      </c>
      <c r="B121" s="295" t="s">
        <v>783</v>
      </c>
      <c r="C121" s="295" t="s">
        <v>828</v>
      </c>
      <c r="D121" s="447"/>
      <c r="E121" s="297"/>
      <c r="F121" s="313"/>
      <c r="G121" s="297"/>
      <c r="H121" s="214"/>
      <c r="I121" s="92" t="s">
        <v>168</v>
      </c>
      <c r="J121" s="92" t="s">
        <v>178</v>
      </c>
      <c r="K121" s="92" t="s">
        <v>185</v>
      </c>
      <c r="L121" s="71" t="s">
        <v>190</v>
      </c>
      <c r="M121" s="71" t="s">
        <v>195</v>
      </c>
      <c r="N121" s="71"/>
      <c r="O121" s="71" t="s">
        <v>200</v>
      </c>
      <c r="P121" s="71" t="s">
        <v>380</v>
      </c>
      <c r="Q121" s="71"/>
      <c r="R121" s="64">
        <v>42917</v>
      </c>
      <c r="S121" s="64"/>
      <c r="T121" s="64"/>
      <c r="U121" s="97">
        <f>IF(OR($E$89="N/A",AND(AU121=0,'Cover Sheet'!$B$29="Streamlined Review"),AND(E121="Met",F121&lt;&gt;""),AND(E121="Not met",G121&lt;&gt;""),AND(E121="Unsure",G121&lt;&gt;""),AND(E121="N/A",H121&lt;&gt;""),AND(Y121=TRUE)),1,0)</f>
        <v>0</v>
      </c>
      <c r="W121" s="56" t="b">
        <f t="shared" si="30"/>
        <v>0</v>
      </c>
      <c r="X121" s="126" t="b">
        <f t="shared" si="31"/>
        <v>0</v>
      </c>
      <c r="Y121" s="126" t="b">
        <f t="shared" si="40"/>
        <v>0</v>
      </c>
      <c r="Z121" s="126">
        <f t="shared" si="32"/>
        <v>1</v>
      </c>
      <c r="AA121" s="126">
        <f t="shared" si="33"/>
        <v>0</v>
      </c>
      <c r="AB121" s="126">
        <f t="shared" si="34"/>
        <v>0</v>
      </c>
      <c r="AC121" s="126">
        <f t="shared" si="35"/>
        <v>0</v>
      </c>
      <c r="AD121" s="126">
        <f t="shared" si="36"/>
        <v>0</v>
      </c>
      <c r="AE121" s="126">
        <f t="shared" si="37"/>
        <v>0</v>
      </c>
      <c r="AM121" s="69" t="str">
        <f t="shared" si="38"/>
        <v/>
      </c>
      <c r="AU121">
        <v>0</v>
      </c>
    </row>
    <row r="122" spans="1:47" ht="29.25" customHeight="1" x14ac:dyDescent="0.25">
      <c r="A122" s="294" t="s">
        <v>829</v>
      </c>
      <c r="B122" s="295" t="s">
        <v>783</v>
      </c>
      <c r="C122" s="295" t="s">
        <v>830</v>
      </c>
      <c r="D122" s="447"/>
      <c r="E122" s="297"/>
      <c r="F122" s="313"/>
      <c r="G122" s="297"/>
      <c r="H122" s="214"/>
      <c r="I122" s="92" t="s">
        <v>168</v>
      </c>
      <c r="J122" s="92" t="s">
        <v>178</v>
      </c>
      <c r="K122" s="92" t="s">
        <v>185</v>
      </c>
      <c r="L122" s="71" t="s">
        <v>190</v>
      </c>
      <c r="M122" s="71" t="s">
        <v>195</v>
      </c>
      <c r="N122" s="71"/>
      <c r="O122" s="71" t="s">
        <v>200</v>
      </c>
      <c r="P122" s="71" t="s">
        <v>380</v>
      </c>
      <c r="Q122" s="71"/>
      <c r="R122" s="64">
        <v>42917</v>
      </c>
      <c r="S122" s="64"/>
      <c r="T122" s="64"/>
      <c r="U122" s="97">
        <f>IF(OR($E$89="N/A",AND(AU122=0,'Cover Sheet'!$B$29="Streamlined Review"),AND(E122="Met",F122&lt;&gt;""),AND(E122="Not met",G122&lt;&gt;""),AND(E122="Unsure",G122&lt;&gt;""),AND(E122="N/A",H122&lt;&gt;""),AND(Y122=TRUE)),1,0)</f>
        <v>0</v>
      </c>
      <c r="W122" s="56" t="b">
        <f t="shared" si="30"/>
        <v>0</v>
      </c>
      <c r="X122" s="126" t="b">
        <f t="shared" si="31"/>
        <v>0</v>
      </c>
      <c r="Y122" s="126" t="b">
        <f t="shared" si="40"/>
        <v>0</v>
      </c>
      <c r="Z122" s="126">
        <f t="shared" si="32"/>
        <v>1</v>
      </c>
      <c r="AA122" s="126">
        <f t="shared" si="33"/>
        <v>0</v>
      </c>
      <c r="AB122" s="126">
        <f t="shared" si="34"/>
        <v>0</v>
      </c>
      <c r="AC122" s="126">
        <f t="shared" si="35"/>
        <v>0</v>
      </c>
      <c r="AD122" s="126">
        <f t="shared" si="36"/>
        <v>0</v>
      </c>
      <c r="AE122" s="126">
        <f t="shared" si="37"/>
        <v>0</v>
      </c>
      <c r="AM122" s="69" t="str">
        <f t="shared" si="38"/>
        <v/>
      </c>
      <c r="AU122">
        <v>0</v>
      </c>
    </row>
    <row r="123" spans="1:47" ht="25.5" x14ac:dyDescent="0.25">
      <c r="A123" s="294" t="s">
        <v>831</v>
      </c>
      <c r="B123" s="295" t="s">
        <v>783</v>
      </c>
      <c r="C123" s="295" t="s">
        <v>832</v>
      </c>
      <c r="D123" s="447"/>
      <c r="E123" s="297"/>
      <c r="F123" s="313"/>
      <c r="G123" s="297"/>
      <c r="H123" s="214"/>
      <c r="I123" s="92" t="s">
        <v>168</v>
      </c>
      <c r="J123" s="92" t="s">
        <v>178</v>
      </c>
      <c r="K123" s="92" t="s">
        <v>185</v>
      </c>
      <c r="L123" s="71" t="s">
        <v>190</v>
      </c>
      <c r="M123" s="71" t="s">
        <v>195</v>
      </c>
      <c r="N123" s="71"/>
      <c r="O123" s="71" t="s">
        <v>200</v>
      </c>
      <c r="P123" s="71" t="s">
        <v>380</v>
      </c>
      <c r="Q123" s="71"/>
      <c r="R123" s="64">
        <v>42917</v>
      </c>
      <c r="S123" s="64"/>
      <c r="T123" s="64"/>
      <c r="U123" s="97">
        <f>IF(OR($E$89="N/A",AND(AU123=0,'Cover Sheet'!$B$29="Streamlined Review"),AND(E123="Met",F123&lt;&gt;""),AND(E123="Not met",G123&lt;&gt;""),AND(E123="Unsure",G123&lt;&gt;""),AND(E123="N/A",H123&lt;&gt;""),AND(Y123=TRUE)),1,0)</f>
        <v>0</v>
      </c>
      <c r="W123" s="56" t="b">
        <f t="shared" si="30"/>
        <v>0</v>
      </c>
      <c r="X123" s="126" t="b">
        <f t="shared" si="31"/>
        <v>0</v>
      </c>
      <c r="Y123" s="126" t="b">
        <f t="shared" si="40"/>
        <v>0</v>
      </c>
      <c r="Z123" s="126">
        <f t="shared" si="32"/>
        <v>1</v>
      </c>
      <c r="AA123" s="126">
        <f t="shared" si="33"/>
        <v>0</v>
      </c>
      <c r="AB123" s="126">
        <f t="shared" si="34"/>
        <v>0</v>
      </c>
      <c r="AC123" s="126">
        <f t="shared" si="35"/>
        <v>0</v>
      </c>
      <c r="AD123" s="126">
        <f t="shared" si="36"/>
        <v>0</v>
      </c>
      <c r="AE123" s="126">
        <f t="shared" si="37"/>
        <v>0</v>
      </c>
      <c r="AM123" s="69" t="str">
        <f t="shared" si="38"/>
        <v/>
      </c>
      <c r="AU123">
        <v>0</v>
      </c>
    </row>
    <row r="124" spans="1:47" ht="30" customHeight="1" x14ac:dyDescent="0.25">
      <c r="A124" s="294" t="s">
        <v>833</v>
      </c>
      <c r="B124" s="295" t="s">
        <v>783</v>
      </c>
      <c r="C124" s="295" t="s">
        <v>834</v>
      </c>
      <c r="D124" s="447"/>
      <c r="E124" s="297"/>
      <c r="F124" s="313"/>
      <c r="G124" s="297"/>
      <c r="H124" s="214"/>
      <c r="I124" s="92" t="s">
        <v>168</v>
      </c>
      <c r="J124" s="92" t="s">
        <v>178</v>
      </c>
      <c r="K124" s="92" t="s">
        <v>185</v>
      </c>
      <c r="L124" s="71" t="s">
        <v>190</v>
      </c>
      <c r="M124" s="71" t="s">
        <v>195</v>
      </c>
      <c r="N124" s="71"/>
      <c r="O124" s="71" t="s">
        <v>200</v>
      </c>
      <c r="P124" s="71" t="s">
        <v>380</v>
      </c>
      <c r="Q124" s="71"/>
      <c r="R124" s="64">
        <v>42917</v>
      </c>
      <c r="S124" s="64"/>
      <c r="T124" s="64"/>
      <c r="U124" s="97">
        <f>IF(OR($E$89="N/A",AND(AU124=0,'Cover Sheet'!$B$29="Streamlined Review"),AND(E124="Met",F124&lt;&gt;""),AND(E124="Not met",G124&lt;&gt;""),AND(E124="Unsure",G124&lt;&gt;""),AND(E124="N/A",H124&lt;&gt;""),AND(Y124=TRUE)),1,0)</f>
        <v>0</v>
      </c>
      <c r="W124" s="56" t="b">
        <f t="shared" si="30"/>
        <v>0</v>
      </c>
      <c r="X124" s="126" t="b">
        <f t="shared" si="31"/>
        <v>0</v>
      </c>
      <c r="Y124" s="126" t="b">
        <f t="shared" si="40"/>
        <v>0</v>
      </c>
      <c r="Z124" s="126">
        <f t="shared" si="32"/>
        <v>1</v>
      </c>
      <c r="AA124" s="126">
        <f t="shared" si="33"/>
        <v>0</v>
      </c>
      <c r="AB124" s="126">
        <f t="shared" si="34"/>
        <v>0</v>
      </c>
      <c r="AC124" s="126">
        <f t="shared" si="35"/>
        <v>0</v>
      </c>
      <c r="AD124" s="126">
        <f t="shared" si="36"/>
        <v>0</v>
      </c>
      <c r="AE124" s="126">
        <f t="shared" si="37"/>
        <v>0</v>
      </c>
      <c r="AM124" s="69" t="str">
        <f t="shared" si="38"/>
        <v/>
      </c>
      <c r="AU124">
        <v>0</v>
      </c>
    </row>
    <row r="125" spans="1:47" ht="25.5" x14ac:dyDescent="0.25">
      <c r="A125" s="294" t="s">
        <v>835</v>
      </c>
      <c r="B125" s="295" t="s">
        <v>783</v>
      </c>
      <c r="C125" s="295" t="s">
        <v>836</v>
      </c>
      <c r="D125" s="447"/>
      <c r="E125" s="297"/>
      <c r="F125" s="313"/>
      <c r="G125" s="297"/>
      <c r="H125" s="214"/>
      <c r="I125" s="92" t="s">
        <v>168</v>
      </c>
      <c r="J125" s="92" t="s">
        <v>178</v>
      </c>
      <c r="K125" s="92" t="s">
        <v>185</v>
      </c>
      <c r="L125" s="71" t="s">
        <v>190</v>
      </c>
      <c r="M125" s="71" t="s">
        <v>195</v>
      </c>
      <c r="N125" s="71"/>
      <c r="O125" s="71" t="s">
        <v>200</v>
      </c>
      <c r="P125" s="71" t="s">
        <v>380</v>
      </c>
      <c r="Q125" s="71"/>
      <c r="R125" s="64">
        <v>42917</v>
      </c>
      <c r="S125" s="64"/>
      <c r="T125" s="64"/>
      <c r="U125" s="97">
        <f>IF(OR($E$89="N/A",AND(AU125=0,'Cover Sheet'!$B$29="Streamlined Review"),AND(E125="Met",F125&lt;&gt;""),AND(E125="Not met",G125&lt;&gt;""),AND(E125="Unsure",G125&lt;&gt;""),AND(E125="N/A",H125&lt;&gt;""),AND(Y125=TRUE)),1,0)</f>
        <v>0</v>
      </c>
      <c r="W125" s="56" t="b">
        <f t="shared" si="30"/>
        <v>0</v>
      </c>
      <c r="X125" s="126" t="b">
        <f t="shared" si="31"/>
        <v>0</v>
      </c>
      <c r="Y125" s="126" t="b">
        <f t="shared" si="40"/>
        <v>0</v>
      </c>
      <c r="Z125" s="126">
        <f t="shared" si="32"/>
        <v>1</v>
      </c>
      <c r="AA125" s="126">
        <f t="shared" si="33"/>
        <v>0</v>
      </c>
      <c r="AB125" s="126">
        <f t="shared" si="34"/>
        <v>0</v>
      </c>
      <c r="AC125" s="126">
        <f t="shared" si="35"/>
        <v>0</v>
      </c>
      <c r="AD125" s="126">
        <f t="shared" si="36"/>
        <v>0</v>
      </c>
      <c r="AE125" s="126">
        <f t="shared" si="37"/>
        <v>0</v>
      </c>
      <c r="AM125" s="69" t="str">
        <f t="shared" si="38"/>
        <v/>
      </c>
      <c r="AU125">
        <v>0</v>
      </c>
    </row>
    <row r="126" spans="1:47" ht="29.25" customHeight="1" x14ac:dyDescent="0.25">
      <c r="A126" s="294" t="s">
        <v>837</v>
      </c>
      <c r="B126" s="295" t="s">
        <v>783</v>
      </c>
      <c r="C126" s="295" t="s">
        <v>838</v>
      </c>
      <c r="D126" s="447"/>
      <c r="E126" s="297"/>
      <c r="F126" s="313"/>
      <c r="G126" s="297"/>
      <c r="H126" s="214"/>
      <c r="I126" s="92" t="s">
        <v>168</v>
      </c>
      <c r="J126" s="92" t="s">
        <v>178</v>
      </c>
      <c r="K126" s="92" t="s">
        <v>185</v>
      </c>
      <c r="L126" s="71" t="s">
        <v>190</v>
      </c>
      <c r="M126" s="71" t="s">
        <v>195</v>
      </c>
      <c r="N126" s="71"/>
      <c r="O126" s="71" t="s">
        <v>200</v>
      </c>
      <c r="P126" s="71" t="s">
        <v>380</v>
      </c>
      <c r="Q126" s="71"/>
      <c r="R126" s="64">
        <v>42917</v>
      </c>
      <c r="S126" s="64"/>
      <c r="T126" s="64"/>
      <c r="U126" s="97">
        <f>IF(OR($E$89="N/A",AND(AU126=0,'Cover Sheet'!$B$29="Streamlined Review"),AND(E126="Met",F126&lt;&gt;""),AND(E126="Not met",G126&lt;&gt;""),AND(E126="Unsure",G126&lt;&gt;""),AND(E126="N/A",H126&lt;&gt;""),AND(Y126=TRUE)),1,0)</f>
        <v>0</v>
      </c>
      <c r="W126" s="56" t="b">
        <f t="shared" si="30"/>
        <v>0</v>
      </c>
      <c r="X126" s="126" t="b">
        <f t="shared" si="31"/>
        <v>0</v>
      </c>
      <c r="Y126" s="126" t="b">
        <f t="shared" si="40"/>
        <v>0</v>
      </c>
      <c r="Z126" s="126">
        <f t="shared" si="32"/>
        <v>1</v>
      </c>
      <c r="AA126" s="126">
        <f t="shared" si="33"/>
        <v>0</v>
      </c>
      <c r="AB126" s="126">
        <f t="shared" si="34"/>
        <v>0</v>
      </c>
      <c r="AC126" s="126">
        <f t="shared" si="35"/>
        <v>0</v>
      </c>
      <c r="AD126" s="126">
        <f t="shared" si="36"/>
        <v>0</v>
      </c>
      <c r="AE126" s="126">
        <f t="shared" si="37"/>
        <v>0</v>
      </c>
      <c r="AM126" s="69" t="str">
        <f t="shared" si="38"/>
        <v/>
      </c>
      <c r="AU126">
        <v>0</v>
      </c>
    </row>
    <row r="127" spans="1:47" ht="30.75" customHeight="1" x14ac:dyDescent="0.25">
      <c r="A127" s="294" t="s">
        <v>839</v>
      </c>
      <c r="B127" s="295" t="s">
        <v>783</v>
      </c>
      <c r="C127" s="295" t="s">
        <v>840</v>
      </c>
      <c r="D127" s="447"/>
      <c r="E127" s="297"/>
      <c r="F127" s="313"/>
      <c r="G127" s="297"/>
      <c r="H127" s="214"/>
      <c r="I127" s="92" t="s">
        <v>168</v>
      </c>
      <c r="J127" s="92" t="s">
        <v>178</v>
      </c>
      <c r="K127" s="92" t="s">
        <v>185</v>
      </c>
      <c r="L127" s="71" t="s">
        <v>190</v>
      </c>
      <c r="M127" s="71" t="s">
        <v>195</v>
      </c>
      <c r="N127" s="71"/>
      <c r="O127" s="71" t="s">
        <v>200</v>
      </c>
      <c r="P127" s="71" t="s">
        <v>380</v>
      </c>
      <c r="Q127" s="71"/>
      <c r="R127" s="64">
        <v>42917</v>
      </c>
      <c r="S127" s="64"/>
      <c r="T127" s="64"/>
      <c r="U127" s="97">
        <f>IF(OR($E$89="N/A",AND(AU127=0,'Cover Sheet'!$B$29="Streamlined Review"),AND(E127="Met",F127&lt;&gt;""),AND(E127="Not met",G127&lt;&gt;""),AND(E127="Unsure",G127&lt;&gt;""),AND(E127="N/A",H127&lt;&gt;""),AND(Y127=TRUE)),1,0)</f>
        <v>0</v>
      </c>
      <c r="W127" s="56" t="b">
        <f t="shared" si="30"/>
        <v>0</v>
      </c>
      <c r="X127" s="126" t="b">
        <f t="shared" si="31"/>
        <v>0</v>
      </c>
      <c r="Y127" s="126" t="b">
        <f t="shared" si="40"/>
        <v>0</v>
      </c>
      <c r="Z127" s="126">
        <f t="shared" si="32"/>
        <v>1</v>
      </c>
      <c r="AA127" s="126">
        <f t="shared" si="33"/>
        <v>0</v>
      </c>
      <c r="AB127" s="126">
        <f t="shared" si="34"/>
        <v>0</v>
      </c>
      <c r="AC127" s="126">
        <f t="shared" si="35"/>
        <v>0</v>
      </c>
      <c r="AD127" s="126">
        <f t="shared" si="36"/>
        <v>0</v>
      </c>
      <c r="AE127" s="126">
        <f t="shared" si="37"/>
        <v>0</v>
      </c>
      <c r="AM127" s="69" t="str">
        <f t="shared" si="38"/>
        <v/>
      </c>
      <c r="AU127">
        <v>0</v>
      </c>
    </row>
    <row r="128" spans="1:47" ht="25.5" x14ac:dyDescent="0.25">
      <c r="A128" s="294" t="s">
        <v>841</v>
      </c>
      <c r="B128" s="295" t="s">
        <v>783</v>
      </c>
      <c r="C128" s="295" t="s">
        <v>842</v>
      </c>
      <c r="D128" s="447"/>
      <c r="E128" s="297"/>
      <c r="F128" s="313"/>
      <c r="G128" s="297"/>
      <c r="H128" s="214"/>
      <c r="I128" s="92" t="s">
        <v>168</v>
      </c>
      <c r="J128" s="92" t="s">
        <v>178</v>
      </c>
      <c r="K128" s="92" t="s">
        <v>185</v>
      </c>
      <c r="L128" s="71" t="s">
        <v>190</v>
      </c>
      <c r="M128" s="71" t="s">
        <v>195</v>
      </c>
      <c r="N128" s="71"/>
      <c r="O128" s="71" t="s">
        <v>200</v>
      </c>
      <c r="P128" s="71" t="s">
        <v>380</v>
      </c>
      <c r="Q128" s="71"/>
      <c r="R128" s="64">
        <v>42917</v>
      </c>
      <c r="S128" s="64"/>
      <c r="T128" s="64"/>
      <c r="U128" s="97">
        <f>IF(OR($E$89="N/A",AND(AU128=0,'Cover Sheet'!$B$29="Streamlined Review"),AND(E128="Met",F128&lt;&gt;""),AND(E128="Not met",G128&lt;&gt;""),AND(E128="Unsure",G128&lt;&gt;""),AND(E128="N/A",H128&lt;&gt;""),AND(Y128=TRUE)),1,0)</f>
        <v>0</v>
      </c>
      <c r="W128" s="56" t="b">
        <f t="shared" si="30"/>
        <v>0</v>
      </c>
      <c r="X128" s="126" t="b">
        <f t="shared" si="31"/>
        <v>0</v>
      </c>
      <c r="Y128" s="126" t="b">
        <f t="shared" si="40"/>
        <v>0</v>
      </c>
      <c r="Z128" s="126">
        <f t="shared" si="32"/>
        <v>1</v>
      </c>
      <c r="AA128" s="126">
        <f t="shared" si="33"/>
        <v>0</v>
      </c>
      <c r="AB128" s="126">
        <f t="shared" si="34"/>
        <v>0</v>
      </c>
      <c r="AC128" s="126">
        <f t="shared" si="35"/>
        <v>0</v>
      </c>
      <c r="AD128" s="126">
        <f t="shared" si="36"/>
        <v>0</v>
      </c>
      <c r="AE128" s="126">
        <f t="shared" si="37"/>
        <v>0</v>
      </c>
      <c r="AM128" s="69" t="str">
        <f t="shared" si="38"/>
        <v/>
      </c>
      <c r="AU128">
        <v>0</v>
      </c>
    </row>
    <row r="129" spans="1:47" ht="25.5" x14ac:dyDescent="0.25">
      <c r="A129" s="294" t="s">
        <v>843</v>
      </c>
      <c r="B129" s="295" t="s">
        <v>783</v>
      </c>
      <c r="C129" s="295" t="s">
        <v>844</v>
      </c>
      <c r="D129" s="447"/>
      <c r="E129" s="297"/>
      <c r="F129" s="313"/>
      <c r="G129" s="297"/>
      <c r="H129" s="214"/>
      <c r="I129" s="92" t="s">
        <v>168</v>
      </c>
      <c r="J129" s="92" t="s">
        <v>178</v>
      </c>
      <c r="K129" s="92" t="s">
        <v>185</v>
      </c>
      <c r="L129" s="71" t="s">
        <v>190</v>
      </c>
      <c r="M129" s="71" t="s">
        <v>195</v>
      </c>
      <c r="N129" s="71"/>
      <c r="O129" s="71" t="s">
        <v>200</v>
      </c>
      <c r="P129" s="71" t="s">
        <v>380</v>
      </c>
      <c r="Q129" s="71"/>
      <c r="R129" s="64">
        <v>42917</v>
      </c>
      <c r="S129" s="64"/>
      <c r="T129" s="64"/>
      <c r="U129" s="97">
        <f>IF(OR($E$89="N/A",AND(AU129=0,'Cover Sheet'!$B$29="Streamlined Review"),AND(E129="Met",F129&lt;&gt;""),AND(E129="Not met",G129&lt;&gt;""),AND(E129="Unsure",G129&lt;&gt;""),AND(E129="N/A",H129&lt;&gt;""),AND(Y129=TRUE)),1,0)</f>
        <v>0</v>
      </c>
      <c r="W129" s="56" t="b">
        <f t="shared" si="30"/>
        <v>0</v>
      </c>
      <c r="X129" s="126" t="b">
        <f t="shared" si="31"/>
        <v>0</v>
      </c>
      <c r="Y129" s="126" t="b">
        <f t="shared" si="40"/>
        <v>0</v>
      </c>
      <c r="Z129" s="126">
        <f t="shared" si="32"/>
        <v>1</v>
      </c>
      <c r="AA129" s="126">
        <f t="shared" si="33"/>
        <v>0</v>
      </c>
      <c r="AB129" s="126">
        <f t="shared" si="34"/>
        <v>0</v>
      </c>
      <c r="AC129" s="126">
        <f t="shared" si="35"/>
        <v>0</v>
      </c>
      <c r="AD129" s="126">
        <f t="shared" si="36"/>
        <v>0</v>
      </c>
      <c r="AE129" s="126">
        <f t="shared" si="37"/>
        <v>0</v>
      </c>
      <c r="AM129" s="69" t="str">
        <f t="shared" si="38"/>
        <v/>
      </c>
      <c r="AU129">
        <v>0</v>
      </c>
    </row>
    <row r="130" spans="1:47" ht="29.25" customHeight="1" x14ac:dyDescent="0.25">
      <c r="A130" s="294" t="s">
        <v>845</v>
      </c>
      <c r="B130" s="295" t="s">
        <v>783</v>
      </c>
      <c r="C130" s="295" t="s">
        <v>846</v>
      </c>
      <c r="D130" s="447"/>
      <c r="E130" s="297"/>
      <c r="F130" s="313"/>
      <c r="G130" s="297"/>
      <c r="H130" s="214"/>
      <c r="I130" s="92" t="s">
        <v>168</v>
      </c>
      <c r="J130" s="92" t="s">
        <v>178</v>
      </c>
      <c r="K130" s="92" t="s">
        <v>185</v>
      </c>
      <c r="L130" s="71" t="s">
        <v>190</v>
      </c>
      <c r="M130" s="71" t="s">
        <v>195</v>
      </c>
      <c r="N130" s="71"/>
      <c r="O130" s="71" t="s">
        <v>200</v>
      </c>
      <c r="P130" s="71" t="s">
        <v>380</v>
      </c>
      <c r="Q130" s="71"/>
      <c r="R130" s="64">
        <v>42917</v>
      </c>
      <c r="S130" s="64"/>
      <c r="T130" s="64"/>
      <c r="U130" s="97">
        <f>IF(OR($E$89="N/A",AND(AU130=0,'Cover Sheet'!$B$29="Streamlined Review"),AND(E130="Met",F130&lt;&gt;""),AND(E130="Not met",G130&lt;&gt;""),AND(E130="Unsure",G130&lt;&gt;""),AND(E130="N/A",H130&lt;&gt;""),AND(Y130=TRUE)),1,0)</f>
        <v>0</v>
      </c>
      <c r="W130" s="56" t="b">
        <f t="shared" si="30"/>
        <v>0</v>
      </c>
      <c r="X130" s="126" t="b">
        <f t="shared" si="31"/>
        <v>0</v>
      </c>
      <c r="Y130" s="126" t="b">
        <f t="shared" si="40"/>
        <v>0</v>
      </c>
      <c r="Z130" s="126">
        <f t="shared" si="32"/>
        <v>1</v>
      </c>
      <c r="AA130" s="126">
        <f t="shared" si="33"/>
        <v>0</v>
      </c>
      <c r="AB130" s="126">
        <f t="shared" si="34"/>
        <v>0</v>
      </c>
      <c r="AC130" s="126">
        <f t="shared" si="35"/>
        <v>0</v>
      </c>
      <c r="AD130" s="126">
        <f t="shared" si="36"/>
        <v>0</v>
      </c>
      <c r="AE130" s="126">
        <f t="shared" si="37"/>
        <v>0</v>
      </c>
      <c r="AM130" s="69" t="str">
        <f t="shared" si="38"/>
        <v/>
      </c>
      <c r="AU130">
        <v>0</v>
      </c>
    </row>
    <row r="131" spans="1:47" ht="30.75" customHeight="1" x14ac:dyDescent="0.25">
      <c r="A131" s="294" t="s">
        <v>847</v>
      </c>
      <c r="B131" s="295" t="s">
        <v>848</v>
      </c>
      <c r="C131" s="295" t="s">
        <v>849</v>
      </c>
      <c r="D131" s="447">
        <v>11</v>
      </c>
      <c r="E131" s="297"/>
      <c r="F131" s="313"/>
      <c r="G131" s="297"/>
      <c r="H131" s="214"/>
      <c r="I131" s="92" t="s">
        <v>168</v>
      </c>
      <c r="J131" s="92" t="s">
        <v>178</v>
      </c>
      <c r="K131" s="92" t="s">
        <v>185</v>
      </c>
      <c r="L131" s="71" t="s">
        <v>190</v>
      </c>
      <c r="M131" s="71"/>
      <c r="N131" s="71"/>
      <c r="O131" s="71"/>
      <c r="P131" s="71" t="s">
        <v>380</v>
      </c>
      <c r="Q131" s="71"/>
      <c r="R131" s="64"/>
      <c r="S131" s="64"/>
      <c r="T131" s="64"/>
      <c r="U131" s="97">
        <f>IF(OR($E$89="N/A",AND(AU131=0,'Cover Sheet'!$B$29="Streamlined Review"),AND(E131="Met",F131&lt;&gt;""),AND(E131="Not met",G131&lt;&gt;""),AND(E131="Unsure",G131&lt;&gt;""),AND(E131="N/A",H131&lt;&gt;""),AND(Y131=TRUE)),1,0)</f>
        <v>0</v>
      </c>
      <c r="W131" s="56" t="b">
        <f t="shared" si="30"/>
        <v>0</v>
      </c>
      <c r="X131" s="126" t="b">
        <f t="shared" si="31"/>
        <v>0</v>
      </c>
      <c r="Y131" s="126" t="b">
        <f t="shared" si="40"/>
        <v>0</v>
      </c>
      <c r="Z131" s="126">
        <f t="shared" si="32"/>
        <v>1</v>
      </c>
      <c r="AA131" s="126">
        <f t="shared" si="33"/>
        <v>0</v>
      </c>
      <c r="AB131" s="126">
        <f t="shared" si="34"/>
        <v>0</v>
      </c>
      <c r="AC131" s="126">
        <f t="shared" si="35"/>
        <v>0</v>
      </c>
      <c r="AD131" s="126">
        <f t="shared" si="36"/>
        <v>0</v>
      </c>
      <c r="AE131" s="126">
        <f t="shared" si="37"/>
        <v>0</v>
      </c>
      <c r="AM131" s="69" t="str">
        <f t="shared" si="38"/>
        <v/>
      </c>
      <c r="AU131">
        <v>0</v>
      </c>
    </row>
    <row r="132" spans="1:47" ht="17.25" customHeight="1" x14ac:dyDescent="0.25">
      <c r="A132" s="294" t="s">
        <v>850</v>
      </c>
      <c r="B132" s="295" t="s">
        <v>591</v>
      </c>
      <c r="C132" s="295" t="s">
        <v>851</v>
      </c>
      <c r="D132" s="446"/>
      <c r="E132" s="297"/>
      <c r="F132" s="313"/>
      <c r="G132" s="297"/>
      <c r="H132" s="214"/>
      <c r="I132" s="92" t="s">
        <v>168</v>
      </c>
      <c r="J132" s="92" t="s">
        <v>178</v>
      </c>
      <c r="K132" s="92" t="s">
        <v>185</v>
      </c>
      <c r="L132" s="71" t="s">
        <v>190</v>
      </c>
      <c r="M132" s="71" t="s">
        <v>195</v>
      </c>
      <c r="N132" s="71"/>
      <c r="O132" s="71" t="s">
        <v>200</v>
      </c>
      <c r="P132" s="71" t="s">
        <v>380</v>
      </c>
      <c r="Q132" s="71"/>
      <c r="R132" s="64">
        <v>42917</v>
      </c>
      <c r="S132" s="64"/>
      <c r="T132" s="64"/>
      <c r="U132" s="97">
        <f>IF(OR($E$89="N/A",AND(AU132=0,'Cover Sheet'!$B$29="Streamlined Review"),AND(E132="Met",F132&lt;&gt;""),AND(E132="Not met",G132&lt;&gt;""),AND(E132="Unsure",G132&lt;&gt;""),AND(E132="N/A",H132&lt;&gt;""),AND(Y132=TRUE)),1,0)</f>
        <v>0</v>
      </c>
      <c r="W132" s="56" t="b">
        <f t="shared" si="30"/>
        <v>0</v>
      </c>
      <c r="X132" s="126" t="b">
        <f t="shared" si="31"/>
        <v>0</v>
      </c>
      <c r="Y132" s="126" t="b">
        <f t="shared" si="40"/>
        <v>0</v>
      </c>
      <c r="Z132" s="126">
        <f t="shared" si="32"/>
        <v>1</v>
      </c>
      <c r="AA132" s="126">
        <f t="shared" si="33"/>
        <v>0</v>
      </c>
      <c r="AB132" s="126">
        <f t="shared" si="34"/>
        <v>0</v>
      </c>
      <c r="AC132" s="126">
        <f t="shared" si="35"/>
        <v>0</v>
      </c>
      <c r="AD132" s="126">
        <f t="shared" si="36"/>
        <v>0</v>
      </c>
      <c r="AE132" s="126">
        <f t="shared" si="37"/>
        <v>0</v>
      </c>
      <c r="AM132" s="69" t="str">
        <f t="shared" si="38"/>
        <v/>
      </c>
      <c r="AU132">
        <v>0</v>
      </c>
    </row>
    <row r="133" spans="1:47" ht="30.75" customHeight="1" thickBot="1" x14ac:dyDescent="0.3">
      <c r="A133" s="294" t="s">
        <v>852</v>
      </c>
      <c r="B133" s="295" t="s">
        <v>853</v>
      </c>
      <c r="C133" s="295" t="s">
        <v>854</v>
      </c>
      <c r="D133" s="447">
        <v>12</v>
      </c>
      <c r="E133" s="297"/>
      <c r="F133" s="313"/>
      <c r="G133" s="297"/>
      <c r="H133" s="214"/>
      <c r="I133" s="92" t="s">
        <v>168</v>
      </c>
      <c r="J133" s="92" t="s">
        <v>178</v>
      </c>
      <c r="K133" s="92" t="s">
        <v>185</v>
      </c>
      <c r="L133" s="166" t="s">
        <v>190</v>
      </c>
      <c r="M133" s="71"/>
      <c r="N133" s="71"/>
      <c r="O133" s="71"/>
      <c r="P133" s="71" t="s">
        <v>380</v>
      </c>
      <c r="Q133" s="71"/>
      <c r="R133" s="64"/>
      <c r="S133" s="64"/>
      <c r="T133" s="64"/>
      <c r="U133" s="97">
        <f>IF(OR($E$89="N/A",AND(AU133=0,'Cover Sheet'!$B$29="Streamlined Review"),AND(E133="Met",F133&lt;&gt;""),AND(E133="Not met",G133&lt;&gt;""),AND(E133="Unsure",G133&lt;&gt;""),AND(E133="N/A",H133&lt;&gt;""),AND(Y133=TRUE)),1,0)</f>
        <v>0</v>
      </c>
      <c r="W133" s="56" t="b">
        <f t="shared" si="30"/>
        <v>0</v>
      </c>
      <c r="X133" s="126" t="b">
        <f t="shared" si="31"/>
        <v>0</v>
      </c>
      <c r="Y133" s="126" t="b">
        <f t="shared" si="40"/>
        <v>0</v>
      </c>
      <c r="Z133" s="126">
        <f t="shared" si="32"/>
        <v>1</v>
      </c>
      <c r="AA133" s="126">
        <f t="shared" si="33"/>
        <v>0</v>
      </c>
      <c r="AB133" s="126">
        <f t="shared" si="34"/>
        <v>0</v>
      </c>
      <c r="AC133" s="126">
        <f t="shared" si="35"/>
        <v>0</v>
      </c>
      <c r="AD133" s="126">
        <f t="shared" si="36"/>
        <v>0</v>
      </c>
      <c r="AE133" s="126">
        <f t="shared" si="37"/>
        <v>0</v>
      </c>
      <c r="AL133" s="69">
        <v>1</v>
      </c>
      <c r="AM133" s="69">
        <f t="shared" si="38"/>
        <v>1</v>
      </c>
      <c r="AU133">
        <v>0</v>
      </c>
    </row>
    <row r="134" spans="1:47" ht="15.75" thickBot="1" x14ac:dyDescent="0.3">
      <c r="A134" s="457"/>
      <c r="B134" s="458"/>
      <c r="C134" s="459" t="s">
        <v>22</v>
      </c>
      <c r="D134" s="478"/>
      <c r="E134" s="443"/>
      <c r="F134" s="479"/>
      <c r="G134" s="479"/>
      <c r="H134" s="480"/>
      <c r="I134" s="132"/>
      <c r="J134" s="132"/>
      <c r="K134" s="132"/>
      <c r="L134" s="133"/>
      <c r="M134" s="134"/>
      <c r="N134" s="141"/>
      <c r="O134" s="141"/>
      <c r="P134" s="135"/>
      <c r="Q134" s="135"/>
      <c r="R134" s="120"/>
      <c r="S134" s="120"/>
      <c r="T134" s="120"/>
      <c r="U134" s="126"/>
      <c r="Z134" s="126"/>
      <c r="AA134" s="126"/>
      <c r="AB134" s="126"/>
      <c r="AC134" s="126"/>
      <c r="AD134" s="126"/>
      <c r="AE134" s="126"/>
    </row>
    <row r="135" spans="1:47" ht="43.5" customHeight="1" thickBot="1" x14ac:dyDescent="0.3">
      <c r="A135" s="460" t="s">
        <v>855</v>
      </c>
      <c r="B135" s="461" t="s">
        <v>856</v>
      </c>
      <c r="C135" s="462" t="s">
        <v>857</v>
      </c>
      <c r="D135" s="481"/>
      <c r="E135" s="318"/>
      <c r="F135" s="318"/>
      <c r="G135" s="318"/>
      <c r="H135" s="319"/>
      <c r="I135" s="92" t="s">
        <v>168</v>
      </c>
      <c r="J135" s="92" t="s">
        <v>178</v>
      </c>
      <c r="K135" s="92"/>
      <c r="L135" s="71"/>
      <c r="M135" s="71"/>
      <c r="N135" s="71"/>
      <c r="O135" s="71"/>
      <c r="P135" s="71" t="s">
        <v>380</v>
      </c>
      <c r="Q135" s="71"/>
      <c r="R135" s="64"/>
      <c r="S135" s="64"/>
      <c r="T135" s="64"/>
      <c r="U135" s="97">
        <f>IF(OR($E$135="N/A",AND(AU135=0,'Cover Sheet'!$B$29="Streamlined Review"),AND(E135="Met",F135&lt;&gt;""),AND(E135="Not met",G135&lt;&gt;""),AND(E135="Unsure",G135&lt;&gt;""),AND(E135="N/A",H135&lt;&gt;""),AND(Y135=TRUE)),1,0)</f>
        <v>0</v>
      </c>
      <c r="W135" s="56" t="b">
        <f>IF(OR(AND($H$6="Medicaid",MID($A135,1,FIND(".",$A135,1)-1)="II"),AND($H$6="CHIP",MID($A135,1,FIND(".",$A135,1)-1)="I")),TRUE,FALSE)</f>
        <v>0</v>
      </c>
      <c r="X135" s="126" t="b">
        <f>IF(OR(Y135=TRUE),TRUE,FALSE)</f>
        <v>0</v>
      </c>
      <c r="Y135" s="126" t="b">
        <f>IF(SUM(Z135:AE135)&lt;1,TRUE,FALSE)</f>
        <v>0</v>
      </c>
      <c r="Z135" s="126">
        <f>IF($Z$2=I135,1,0)</f>
        <v>1</v>
      </c>
      <c r="AA135" s="126">
        <f>IF($AA$2=J135,1,0)</f>
        <v>0</v>
      </c>
      <c r="AB135" s="126">
        <f>IF($AB$2=K135,1,0)</f>
        <v>0</v>
      </c>
      <c r="AC135" s="126">
        <f>IF($AC$2=L135,1,0)</f>
        <v>0</v>
      </c>
      <c r="AD135" s="126">
        <f>IF($AD$2=M135,1,0)</f>
        <v>0</v>
      </c>
      <c r="AE135" s="126">
        <f>IF($AE$2=O135,1,0)</f>
        <v>0</v>
      </c>
      <c r="AL135" s="69">
        <v>1</v>
      </c>
      <c r="AM135" s="69">
        <f>IF(AL135=1,1,"")</f>
        <v>1</v>
      </c>
      <c r="AU135">
        <v>0</v>
      </c>
    </row>
    <row r="136" spans="1:47" x14ac:dyDescent="0.25">
      <c r="A136" s="265" t="s">
        <v>442</v>
      </c>
      <c r="B136" s="266"/>
      <c r="C136" s="267"/>
      <c r="D136" s="268"/>
      <c r="E136" s="320"/>
      <c r="F136" s="321"/>
      <c r="G136" s="322"/>
      <c r="H136" s="322"/>
    </row>
    <row r="137" spans="1:47" ht="123" customHeight="1" x14ac:dyDescent="0.25">
      <c r="A137" s="417">
        <v>1</v>
      </c>
      <c r="B137" s="571" t="s">
        <v>858</v>
      </c>
      <c r="C137" s="571"/>
      <c r="D137" s="571"/>
      <c r="E137" s="571"/>
      <c r="F137" s="571"/>
      <c r="G137" s="571"/>
      <c r="H137" s="571"/>
    </row>
    <row r="138" spans="1:47" ht="27.75" customHeight="1" x14ac:dyDescent="0.25">
      <c r="A138" s="417">
        <v>2</v>
      </c>
      <c r="B138" s="570" t="s">
        <v>859</v>
      </c>
      <c r="C138" s="570"/>
      <c r="D138" s="570"/>
      <c r="E138" s="570"/>
      <c r="F138" s="570"/>
      <c r="G138" s="570"/>
      <c r="H138" s="570"/>
    </row>
    <row r="139" spans="1:47" ht="18" customHeight="1" x14ac:dyDescent="0.25">
      <c r="A139" s="417">
        <v>3</v>
      </c>
      <c r="B139" s="570" t="s">
        <v>860</v>
      </c>
      <c r="C139" s="570"/>
      <c r="D139" s="570"/>
      <c r="E139" s="570"/>
      <c r="F139" s="570"/>
      <c r="G139" s="570"/>
      <c r="H139" s="570"/>
    </row>
    <row r="140" spans="1:47" ht="18.75" customHeight="1" x14ac:dyDescent="0.25">
      <c r="A140" s="417">
        <v>4</v>
      </c>
      <c r="B140" s="570" t="s">
        <v>861</v>
      </c>
      <c r="C140" s="570"/>
      <c r="D140" s="570"/>
      <c r="E140" s="570"/>
      <c r="F140" s="570"/>
      <c r="G140" s="570"/>
      <c r="H140" s="570"/>
    </row>
    <row r="141" spans="1:47" ht="21" customHeight="1" x14ac:dyDescent="0.25">
      <c r="A141" s="417">
        <v>5</v>
      </c>
      <c r="B141" s="570" t="s">
        <v>862</v>
      </c>
      <c r="C141" s="570"/>
      <c r="D141" s="570"/>
      <c r="E141" s="570"/>
      <c r="F141" s="570"/>
      <c r="G141" s="570"/>
      <c r="H141" s="570"/>
    </row>
    <row r="142" spans="1:47" ht="30.75" customHeight="1" x14ac:dyDescent="0.25">
      <c r="A142" s="417">
        <v>6</v>
      </c>
      <c r="B142" s="570" t="s">
        <v>863</v>
      </c>
      <c r="C142" s="570"/>
      <c r="D142" s="570"/>
      <c r="E142" s="570"/>
      <c r="F142" s="570"/>
      <c r="G142" s="570"/>
      <c r="H142" s="570"/>
    </row>
    <row r="143" spans="1:47" ht="30" customHeight="1" x14ac:dyDescent="0.25">
      <c r="A143" s="417">
        <v>7</v>
      </c>
      <c r="B143" s="570" t="s">
        <v>864</v>
      </c>
      <c r="C143" s="570"/>
      <c r="D143" s="570"/>
      <c r="E143" s="570"/>
      <c r="F143" s="570"/>
      <c r="G143" s="570"/>
      <c r="H143" s="570"/>
    </row>
    <row r="144" spans="1:47" ht="24" customHeight="1" x14ac:dyDescent="0.25">
      <c r="A144" s="417">
        <v>8</v>
      </c>
      <c r="B144" s="570" t="s">
        <v>865</v>
      </c>
      <c r="C144" s="570"/>
      <c r="D144" s="570"/>
      <c r="E144" s="570"/>
      <c r="F144" s="570"/>
      <c r="G144" s="570"/>
      <c r="H144" s="570"/>
    </row>
    <row r="145" spans="1:8" ht="23.25" customHeight="1" x14ac:dyDescent="0.25">
      <c r="A145" s="417">
        <v>9</v>
      </c>
      <c r="B145" s="570" t="s">
        <v>866</v>
      </c>
      <c r="C145" s="570"/>
      <c r="D145" s="570"/>
      <c r="E145" s="570"/>
      <c r="F145" s="570"/>
      <c r="G145" s="570"/>
      <c r="H145" s="570"/>
    </row>
    <row r="146" spans="1:8" ht="17.25" customHeight="1" x14ac:dyDescent="0.25">
      <c r="A146" s="417">
        <v>10</v>
      </c>
      <c r="B146" s="570" t="s">
        <v>867</v>
      </c>
      <c r="C146" s="570"/>
      <c r="D146" s="570"/>
      <c r="E146" s="570"/>
      <c r="F146" s="570"/>
      <c r="G146" s="570"/>
      <c r="H146" s="570"/>
    </row>
    <row r="147" spans="1:8" ht="44.1" customHeight="1" x14ac:dyDescent="0.25">
      <c r="A147" s="417">
        <v>11</v>
      </c>
      <c r="B147" s="570" t="s">
        <v>868</v>
      </c>
      <c r="C147" s="570"/>
      <c r="D147" s="570"/>
      <c r="E147" s="570"/>
      <c r="F147" s="570"/>
      <c r="G147" s="570"/>
      <c r="H147" s="570"/>
    </row>
    <row r="148" spans="1:8" ht="20.45" customHeight="1" x14ac:dyDescent="0.25">
      <c r="A148" s="417">
        <v>12</v>
      </c>
      <c r="B148" s="570" t="s">
        <v>869</v>
      </c>
      <c r="C148" s="570"/>
      <c r="D148" s="570"/>
      <c r="E148" s="570"/>
      <c r="F148" s="570"/>
      <c r="G148" s="570"/>
      <c r="H148" s="570"/>
    </row>
  </sheetData>
  <sheetProtection algorithmName="SHA-512" hashValue="7Yzc4sz0PRfzKSQb3A3JPlamSviBdpUBr4Piv8SJImF6PMqbep5UBwj2ADJMYSrh0qhQrKdKTIb6wgI1kR78aA==" saltValue="GCfgErF69qUFmsZayGWN4A==" spinCount="100000" sheet="1" formatCells="0" formatColumns="0" formatRows="0"/>
  <mergeCells count="15">
    <mergeCell ref="B148:H148"/>
    <mergeCell ref="B146:H146"/>
    <mergeCell ref="B138:H138"/>
    <mergeCell ref="B139:H139"/>
    <mergeCell ref="B140:H140"/>
    <mergeCell ref="B141:H141"/>
    <mergeCell ref="B142:H142"/>
    <mergeCell ref="B143:H143"/>
    <mergeCell ref="B144:H144"/>
    <mergeCell ref="B145:H145"/>
    <mergeCell ref="Z1:AE1"/>
    <mergeCell ref="A1:F1"/>
    <mergeCell ref="A2:B2"/>
    <mergeCell ref="B137:H137"/>
    <mergeCell ref="B147:H147"/>
  </mergeCells>
  <phoneticPr fontId="22" type="noConversion"/>
  <conditionalFormatting sqref="A9:H24">
    <cfRule type="expression" dxfId="209" priority="37">
      <formula>$E$8="N/A"</formula>
    </cfRule>
  </conditionalFormatting>
  <conditionalFormatting sqref="A26:H65">
    <cfRule type="expression" dxfId="208" priority="33">
      <formula>$E$25="N/A"</formula>
    </cfRule>
  </conditionalFormatting>
  <conditionalFormatting sqref="A67:H67">
    <cfRule type="expression" dxfId="207" priority="11">
      <formula>$E$66="N/A"</formula>
    </cfRule>
  </conditionalFormatting>
  <conditionalFormatting sqref="A70:H73">
    <cfRule type="expression" dxfId="206" priority="10">
      <formula>$E$68="N/A"</formula>
    </cfRule>
  </conditionalFormatting>
  <conditionalFormatting sqref="A75:H77">
    <cfRule type="expression" dxfId="205" priority="9">
      <formula>$E$74="N/A"</formula>
    </cfRule>
  </conditionalFormatting>
  <conditionalFormatting sqref="A79:H80">
    <cfRule type="expression" dxfId="204" priority="8">
      <formula>$E$78="N/A"</formula>
    </cfRule>
  </conditionalFormatting>
  <conditionalFormatting sqref="A82:H88">
    <cfRule type="expression" dxfId="203" priority="7">
      <formula>$E$81="N/A"</formula>
    </cfRule>
  </conditionalFormatting>
  <conditionalFormatting sqref="A90:H133">
    <cfRule type="expression" dxfId="202" priority="6">
      <formula>$E$89="N/A"</formula>
    </cfRule>
  </conditionalFormatting>
  <conditionalFormatting sqref="A135:H135">
    <cfRule type="expression" dxfId="201" priority="5">
      <formula>$E$134="N/A"</formula>
    </cfRule>
  </conditionalFormatting>
  <conditionalFormatting sqref="A9:H24 A67:H67 A79:H80 A82:H88 A135:H135 A26:H65 A70:H73 A75:H77 A90:H133">
    <cfRule type="expression" dxfId="200" priority="4">
      <formula>$C$3="Yes, section requirements are not applicable"</formula>
    </cfRule>
  </conditionalFormatting>
  <conditionalFormatting sqref="A9:H135">
    <cfRule type="expression" dxfId="199" priority="3">
      <formula>$X9=TRUE</formula>
    </cfRule>
  </conditionalFormatting>
  <conditionalFormatting sqref="F113">
    <cfRule type="expression" dxfId="198" priority="5138">
      <formula>$AK112=1</formula>
    </cfRule>
    <cfRule type="expression" dxfId="197" priority="5140">
      <formula>$C$3="Yes, section requirements are not included in the contract amendment"</formula>
    </cfRule>
  </conditionalFormatting>
  <conditionalFormatting sqref="E8 E25 E66 E68 E74 E78 E81 E89 E134">
    <cfRule type="expression" dxfId="196" priority="5141">
      <formula>$AK8=1</formula>
    </cfRule>
    <cfRule type="expression" dxfId="195" priority="5142">
      <formula>$C$3="Yes, section requirements are not included in the contract amendment"</formula>
    </cfRule>
    <cfRule type="expression" dxfId="194" priority="5143">
      <formula>OR(#REF!=TRUE,#REF!=TRUE)</formula>
    </cfRule>
  </conditionalFormatting>
  <conditionalFormatting sqref="A69:H69">
    <cfRule type="expression" dxfId="193" priority="2">
      <formula>$E$68="N/A"</formula>
    </cfRule>
  </conditionalFormatting>
  <conditionalFormatting sqref="A69:H69">
    <cfRule type="expression" dxfId="192" priority="1">
      <formula>$C$3="Yes, section requirements are not applicable"</formula>
    </cfRule>
  </conditionalFormatting>
  <dataValidations count="3">
    <dataValidation type="list" allowBlank="1" showInputMessage="1" showErrorMessage="1" sqref="C3" xr:uid="{A4114479-7219-446F-91F8-559A74705B61}">
      <formula1>$K$2:$K$3</formula1>
    </dataValidation>
    <dataValidation type="list" allowBlank="1" showInputMessage="1" showErrorMessage="1" sqref="E26:E65 E67 E69:E73 E75:E77 E79:E80 E82:E88 E90:E133 E135 E9:E24" xr:uid="{90FE747E-DC6F-4448-AF1E-746A1814FDC6}">
      <formula1>$J$1:$J$4</formula1>
    </dataValidation>
    <dataValidation type="list" allowBlank="1" showInputMessage="1" showErrorMessage="1" sqref="E8 E25 E66 E134 E74 E78 E81 E89 E68" xr:uid="{E6E47635-8292-4384-881E-E4345FADA641}">
      <formula1>$AM$2</formula1>
    </dataValidation>
  </dataValidations>
  <hyperlinks>
    <hyperlink ref="D26" location="'C. Beneficiary Notification'!A137" display="'C. Beneficiary Notification'!A137" xr:uid="{94E23DC0-524B-4A12-8B78-86B18FC7BEE0}"/>
    <hyperlink ref="D33" location="'C. Beneficiary Notification'!A137" display="'C. Beneficiary Notification'!A137" xr:uid="{751313E2-C497-49FD-A28C-0742F9B2C985}"/>
    <hyperlink ref="D36" location="'C. Beneficiary Notification'!A137" display="1,2" xr:uid="{9A89B865-F012-40B2-B118-9B11A3BB5167}"/>
    <hyperlink ref="D53" location="'C. Beneficiary Notification'!A137" display="1,3" xr:uid="{6A92EED8-DC21-4F66-AFFC-BEA6528FAC2F}"/>
    <hyperlink ref="D55" location="'C. Beneficiary Notification'!A137" display="1,4" xr:uid="{BF5A8CBE-9C8D-4A26-9235-DBFBB9CD5EEC}"/>
    <hyperlink ref="D64" location="'C. Beneficiary Notification'!A141" display="'C. Beneficiary Notification'!A141" xr:uid="{306DFF41-3D24-4907-8DC5-015F6C8A59B0}"/>
    <hyperlink ref="D70" location="'C. Beneficiary Notification'!A142" display="'C. Beneficiary Notification'!A142" xr:uid="{EC7281BE-B660-4B63-9E9B-61528C6050A3}"/>
    <hyperlink ref="D75" location="'C. Beneficiary Notification'!A143" display="7,8" xr:uid="{61EFCFCF-ECB9-450A-815F-39A6E5FFE544}"/>
    <hyperlink ref="D84" location="'C. Beneficiary Notification'!A145" display="'C. Beneficiary Notification'!A145" xr:uid="{D2BBA543-75E0-4BBD-AAA8-B4897FA4C3FA}"/>
    <hyperlink ref="D90" location="'C. Beneficiary Notification'!A146" display="'C. Beneficiary Notification'!A146" xr:uid="{E72A728A-E82C-46C5-AD24-38EB434C352C}"/>
    <hyperlink ref="D131" location="'C. Beneficiary Notification'!A147" display="'C. Beneficiary Notification'!A147" xr:uid="{330AF034-A34C-41F5-B760-8CC49AC3DDCD}"/>
    <hyperlink ref="D133" location="'C. Beneficiary Notification'!A148" display="'C. Beneficiary Notification'!A148" xr:uid="{1E0C84FB-4DEC-44E0-AF63-728F46AFF832}"/>
    <hyperlink ref="A137" location="'C. Beneficiary Notification'!D26" display="'C. Beneficiary Notification'!D26" xr:uid="{7A1CB93F-480E-4828-8F82-6EB5AF840EE1}"/>
    <hyperlink ref="A138" location="'C. Beneficiary Notification'!D36" display="'C. Beneficiary Notification'!D36" xr:uid="{2B531492-5AF9-4AF1-976A-9922BEED2A9E}"/>
    <hyperlink ref="A139" location="'C. Beneficiary Notification'!D53" display="'C. Beneficiary Notification'!D53" xr:uid="{AFF7C8DA-0092-4744-AF2D-184996616026}"/>
    <hyperlink ref="A140" location="'C. Beneficiary Notification'!D55" display="'C. Beneficiary Notification'!D55" xr:uid="{73727615-CE2A-4A1A-A524-956CE58DEEA2}"/>
    <hyperlink ref="A141" location="'C. Beneficiary Notification'!D64" display="'C. Beneficiary Notification'!D64" xr:uid="{8457D9C0-91A3-4820-A7D1-61884842E9EB}"/>
    <hyperlink ref="A142" location="'C. Beneficiary Notification'!D69" display="'C. Beneficiary Notification'!D69" xr:uid="{4F3F53FD-2DCE-41EE-A479-76035DB096A4}"/>
    <hyperlink ref="A143" location="'C. Beneficiary Notification'!D75" display="'C. Beneficiary Notification'!D75" xr:uid="{43EE520B-F8C2-4D41-B797-0C8732B7AC3F}"/>
    <hyperlink ref="A144" location="'C. Beneficiary Notification'!D75" display="'C. Beneficiary Notification'!D75" xr:uid="{28644EE1-478A-468F-B89C-CEEEF543D569}"/>
    <hyperlink ref="A145" location="'C. Beneficiary Notification'!D84" display="'C. Beneficiary Notification'!D84" xr:uid="{67265908-357B-4E4A-95B6-707BF571A715}"/>
    <hyperlink ref="A146" location="'C. Beneficiary Notification'!D90" display="'C. Beneficiary Notification'!D90" xr:uid="{926C02B7-D413-417E-8E23-5F5F00CF63FB}"/>
    <hyperlink ref="A147" location="'C. Beneficiary Notification'!D131" display="'C. Beneficiary Notification'!D131" xr:uid="{C9DB06E4-D787-4367-BE18-CF97261920AA}"/>
    <hyperlink ref="A148" location="'C. Beneficiary Notification'!D133" display="'C. Beneficiary Notification'!D133" xr:uid="{E39F45EA-DBC3-4850-AB9A-73646E437876}"/>
    <hyperlink ref="D54" location="'C. Beneficiary Notification'!A137" display="'C. Beneficiary Notification'!A137" xr:uid="{2EB32B8A-79A1-465E-8BD7-981BBD652336}"/>
    <hyperlink ref="D71" location="'C. Beneficiary Notification'!A142" display="'C. Beneficiary Notification'!A142" xr:uid="{A0C54BF5-11FB-44B7-936D-38C83EA9B91F}"/>
    <hyperlink ref="D73" location="'C. Beneficiary Notification'!A142" display="'C. Beneficiary Notification'!A142" xr:uid="{95B600CA-4303-4454-99F0-9D49D4ADC67C}"/>
    <hyperlink ref="D35" location="'C. Beneficiary Notification'!A137" display="'C. Beneficiary Notification'!A137" xr:uid="{9C547961-720B-4F15-A0F3-3B11CE2B332B}"/>
    <hyperlink ref="D69" location="'C. Beneficiary Notification'!A142" display="'C. Beneficiary Notification'!A142" xr:uid="{E6D1B719-6CB2-47A9-BAC8-314B8EC2272F}"/>
    <hyperlink ref="D27" location="'C. Beneficiary Notification'!A137" display="'C. Beneficiary Notification'!A137" xr:uid="{F024F21C-BD87-46E6-AAD3-33CF6FF27AA5}"/>
    <hyperlink ref="D28" location="'C. Beneficiary Notification'!A137" display="'C. Beneficiary Notification'!A137" xr:uid="{8E8983E4-E773-4593-87ED-A7369ACACBD2}"/>
    <hyperlink ref="D29" location="'C. Beneficiary Notification'!A137" display="'C. Beneficiary Notification'!A137" xr:uid="{C5E9B748-6523-453B-9150-4F6D0DC9BB10}"/>
    <hyperlink ref="D30" location="'C. Beneficiary Notification'!A137" display="'C. Beneficiary Notification'!A137" xr:uid="{9E930B4F-8FA3-48C4-9DED-3ECD63DAB0D3}"/>
    <hyperlink ref="D31" location="'C. Beneficiary Notification'!A137" display="'C. Beneficiary Notification'!A137" xr:uid="{1CFAF9E3-CF26-4177-B10E-6896AF3F64F2}"/>
    <hyperlink ref="D32" location="'C. Beneficiary Notification'!A137" display="'C. Beneficiary Notification'!A137" xr:uid="{74F39F68-5838-4D35-B50B-4039B819EE7D}"/>
    <hyperlink ref="D34" location="'C. Beneficiary Notification'!A137" display="'C. Beneficiary Notification'!A137" xr:uid="{CBA8B67C-97F7-4C6B-9AE2-5288B865DB72}"/>
    <hyperlink ref="D37" location="'C. Beneficiary Notification'!A137" display="1,2" xr:uid="{5108D496-8FB1-4A32-BBAC-016768BB4B57}"/>
    <hyperlink ref="D38" location="'C. Beneficiary Notification'!A137" display="1,2" xr:uid="{BF06B094-C7CB-4D3F-A6DF-4FC04132C3FD}"/>
    <hyperlink ref="D39" location="'C. Beneficiary Notification'!A137" display="1,2" xr:uid="{83DDFC60-5E0D-415F-8172-34FA9BC8EF2D}"/>
    <hyperlink ref="D40" location="'C. Beneficiary Notification'!A137" display="'C. Beneficiary Notification'!A137" xr:uid="{C285DAFD-91E3-4EFC-979B-6F92D35C030F}"/>
    <hyperlink ref="D41" location="'C. Beneficiary Notification'!A137" display="'C. Beneficiary Notification'!A137" xr:uid="{98BBF754-4EC2-4282-A8E3-29CD21D5E1D3}"/>
    <hyperlink ref="D42" location="'C. Beneficiary Notification'!A137" display="'C. Beneficiary Notification'!A137" xr:uid="{5CCBECAA-E358-487C-AF54-EFF3DE5FADE4}"/>
    <hyperlink ref="D43" location="'C. Beneficiary Notification'!A137" display="'C. Beneficiary Notification'!A137" xr:uid="{CF1D3669-688B-4F80-962F-C222648213B9}"/>
    <hyperlink ref="D44" location="'C. Beneficiary Notification'!A137" display="'C. Beneficiary Notification'!A137" xr:uid="{6BA0E16F-C858-403C-AAAC-72159C0987B7}"/>
    <hyperlink ref="D45" location="'C. Beneficiary Notification'!A137" display="'C. Beneficiary Notification'!A137" xr:uid="{2579B4EE-2CFE-46E3-B9E2-4F873EB12C27}"/>
    <hyperlink ref="D46" location="'C. Beneficiary Notification'!A137" display="'C. Beneficiary Notification'!A137" xr:uid="{BBB041E2-74F3-45A2-952A-FCC153CCB855}"/>
    <hyperlink ref="D47" location="'C. Beneficiary Notification'!A137" display="'C. Beneficiary Notification'!A137" xr:uid="{0DB2A7BF-3BD6-4FF7-A6AB-17BBD1EA193D}"/>
    <hyperlink ref="D48" location="'C. Beneficiary Notification'!A137" display="'C. Beneficiary Notification'!A137" xr:uid="{3EA8CC30-181D-4842-8430-EB9328A61F6B}"/>
    <hyperlink ref="D49" location="'C. Beneficiary Notification'!A137" display="'C. Beneficiary Notification'!A137" xr:uid="{97FEF413-9A50-41F1-A9C1-294AEE85B260}"/>
    <hyperlink ref="D50" location="'C. Beneficiary Notification'!A137" display="'C. Beneficiary Notification'!A137" xr:uid="{CF09D8EA-1179-49A9-A072-1E64C1F974EF}"/>
    <hyperlink ref="D51" location="'C. Beneficiary Notification'!A137" display="'C. Beneficiary Notification'!A137" xr:uid="{4088E1CF-82B3-43A2-8413-F61175E839C4}"/>
    <hyperlink ref="D56" location="'C. Beneficiary Notification'!A137" display="'C. Beneficiary Notification'!A137" xr:uid="{1FADC6C7-EA10-4B18-9A03-2D8B101448F3}"/>
    <hyperlink ref="D57" location="'C. Beneficiary Notification'!A137" display="'C. Beneficiary Notification'!A137" xr:uid="{3C6ABD87-5CC4-4FA6-B720-065F611DE5DC}"/>
    <hyperlink ref="D58" location="'C. Beneficiary Notification'!A137" display="'C. Beneficiary Notification'!A137" xr:uid="{122AF2D3-826F-48D4-A6BB-E067098E32CE}"/>
    <hyperlink ref="D59" location="'C. Beneficiary Notification'!A137" display="'C. Beneficiary Notification'!A137" xr:uid="{309EB25F-3DF6-4F2B-BF0B-93329F406549}"/>
    <hyperlink ref="D60" location="'C. Beneficiary Notification'!A137" display="'C. Beneficiary Notification'!A137" xr:uid="{1AF9EF6B-C0E0-4566-B12C-C4EDAFF5A25E}"/>
    <hyperlink ref="D61" location="'C. Beneficiary Notification'!A137" display="'C. Beneficiary Notification'!A137" xr:uid="{72BAF440-5D09-477B-9161-C06D9CB2E3A5}"/>
    <hyperlink ref="D62" location="'C. Beneficiary Notification'!A137" display="'C. Beneficiary Notification'!A137" xr:uid="{87B8637D-EB75-4756-81E3-D318B8D78F59}"/>
    <hyperlink ref="D63" location="'C. Beneficiary Notification'!A137" display="'C. Beneficiary Notification'!A137" xr:uid="{C0402A43-7A11-4750-A669-6D187DFF6147}"/>
    <hyperlink ref="D72" location="'C. Beneficiary Notification'!A142" display="'C. Beneficiary Notification'!A142" xr:uid="{D4CB4678-9FE5-4477-8393-FC6F6D29B7F8}"/>
    <hyperlink ref="D76" location="'C. Beneficiary Notification'!A143" display="7,8" xr:uid="{DBF2D34C-7959-4A17-AAC1-A2D68DFD3AF5}"/>
    <hyperlink ref="D77" location="'C. Beneficiary Notification'!A143" display="7,8" xr:uid="{FD57339C-8585-4CDD-B34F-036AE4818682}"/>
    <hyperlink ref="D91" location="'C. Beneficiary Notification'!A146" display="'C. Beneficiary Notification'!A146" xr:uid="{5B3A9447-7563-4EC8-83BD-274D6D0E4EE5}"/>
    <hyperlink ref="D92" location="'C. Beneficiary Notification'!A146" display="'C. Beneficiary Notification'!A146" xr:uid="{AA9B0176-4A4E-4A0B-A3F2-BE4AAFAFF18C}"/>
    <hyperlink ref="D93" location="'C. Beneficiary Notification'!A146" display="'C. Beneficiary Notification'!A146" xr:uid="{F2B2ED5F-AF5E-4AE7-976F-8AB99F146391}"/>
    <hyperlink ref="D94" location="'C. Beneficiary Notification'!A146" display="'C. Beneficiary Notification'!A146" xr:uid="{C9C844A8-BB6B-4C8F-BC3E-CFCDF526FE6B}"/>
    <hyperlink ref="D95" location="'C. Beneficiary Notification'!A146" display="'C. Beneficiary Notification'!A146" xr:uid="{82F418E8-A1A3-44FD-9C90-CA838F6BD08B}"/>
  </hyperlinks>
  <pageMargins left="0.25" right="0.25" top="0.75" bottom="0.75" header="0.3" footer="0.3"/>
  <pageSetup scale="78" fitToHeight="0" orientation="landscape" horizontalDpi="4294967293" verticalDpi="4294967293" r:id="rId1"/>
  <extLst>
    <ext xmlns:x14="http://schemas.microsoft.com/office/spreadsheetml/2009/9/main" uri="{78C0D931-6437-407d-A8EE-F0AAD7539E65}">
      <x14:conditionalFormattings>
        <x14:conditionalFormatting xmlns:xm="http://schemas.microsoft.com/office/excel/2006/main">
          <x14:cfRule type="expression" priority="41" id="{34F0B1DC-4953-45DE-B3D0-02E49943EB4E}">
            <xm:f>AND('Cover Sheet'!$B$29="Streamlined Review")</xm:f>
            <x14:dxf>
              <fill>
                <patternFill patternType="lightUp"/>
              </fill>
            </x14:dxf>
          </x14:cfRule>
          <xm:sqref>A9:H24 A67:H67 A73:H73 A79:H80 A82:H88 A135:H135 A26:H32 A35:H42 A46:H54 A56:H65 A75:H77 A90:H133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BH401"/>
  <sheetViews>
    <sheetView zoomScale="85" zoomScaleNormal="85" workbookViewId="0">
      <pane ySplit="7" topLeftCell="A8" activePane="bottomLeft" state="frozen"/>
      <selection pane="bottomLeft" activeCell="C72" sqref="C72"/>
    </sheetView>
  </sheetViews>
  <sheetFormatPr defaultColWidth="9.28515625" defaultRowHeight="15" x14ac:dyDescent="0.25"/>
  <cols>
    <col min="1" max="1" width="12" customWidth="1"/>
    <col min="2" max="2" width="18.5703125" style="7" customWidth="1"/>
    <col min="3" max="3" width="73.5703125" style="152" customWidth="1"/>
    <col min="4" max="4" width="12.28515625" style="8" customWidth="1"/>
    <col min="5" max="5" width="8.5703125" style="5" customWidth="1"/>
    <col min="6" max="6" width="8.5703125" customWidth="1"/>
    <col min="7" max="7" width="19.5703125" customWidth="1"/>
    <col min="8" max="8" width="17.42578125" bestFit="1" customWidth="1"/>
    <col min="9" max="9" width="12.42578125" style="141" hidden="1" customWidth="1"/>
    <col min="10" max="12" width="8.42578125" style="139" hidden="1" customWidth="1"/>
    <col min="13" max="13" width="8.42578125" style="138" hidden="1" customWidth="1"/>
    <col min="14" max="15" width="8.42578125" style="116" hidden="1" customWidth="1"/>
    <col min="16" max="16" width="9.28515625" style="116" hidden="1" customWidth="1"/>
    <col min="17" max="18" width="8.42578125" style="116" hidden="1" customWidth="1"/>
    <col min="19" max="20" width="10.42578125" style="117" hidden="1" customWidth="1"/>
    <col min="21" max="23" width="21" style="122" hidden="1" customWidth="1"/>
    <col min="24" max="31" width="23.5703125" style="116" hidden="1" customWidth="1"/>
    <col min="32" max="32" width="18.42578125" style="116" hidden="1" customWidth="1"/>
    <col min="33" max="34" width="32.42578125" style="121" hidden="1" customWidth="1"/>
    <col min="35" max="37" width="24" style="121" hidden="1" customWidth="1"/>
    <col min="38" max="39" width="29.7109375" style="69" hidden="1" customWidth="1"/>
    <col min="40" max="40" width="58.7109375" style="69" hidden="1" customWidth="1"/>
    <col min="41" max="41" width="33.7109375" style="100" hidden="1" customWidth="1"/>
    <col min="42" max="42" width="28.28515625" style="69" hidden="1" customWidth="1"/>
    <col min="43" max="43" width="51.5703125" style="69" hidden="1" customWidth="1"/>
    <col min="44" max="44" width="18.28515625" style="69" hidden="1" customWidth="1"/>
    <col min="45" max="45" width="13.42578125" style="69" hidden="1" customWidth="1"/>
    <col min="46" max="47" width="9.28515625" style="69" hidden="1" customWidth="1"/>
    <col min="48" max="48" width="15.7109375" style="69" hidden="1" customWidth="1"/>
    <col min="49" max="49" width="26.7109375" style="69" hidden="1" customWidth="1"/>
    <col min="50" max="50" width="24.28515625" style="69" hidden="1" customWidth="1"/>
    <col min="51" max="51" width="19.5703125" style="69" hidden="1" customWidth="1"/>
    <col min="52" max="52" width="21.28515625" style="69" hidden="1" customWidth="1"/>
    <col min="53" max="53" width="30.42578125" style="69" hidden="1" customWidth="1"/>
    <col min="54" max="54" width="49.28515625" style="69" hidden="1" customWidth="1"/>
    <col min="55" max="55" width="17.5703125" style="69" hidden="1" customWidth="1"/>
    <col min="56" max="56" width="10.85546875" style="69" hidden="1" customWidth="1"/>
    <col min="57" max="57" width="20" style="122" hidden="1" customWidth="1"/>
    <col min="58" max="58" width="2" style="69" hidden="1" customWidth="1"/>
    <col min="59" max="59" width="9.28515625" style="69" customWidth="1"/>
    <col min="60" max="60" width="9.28515625" style="69"/>
  </cols>
  <sheetData>
    <row r="1" spans="1:57" ht="26.25" thickBot="1" x14ac:dyDescent="0.3">
      <c r="A1" s="573" t="s">
        <v>870</v>
      </c>
      <c r="B1" s="574"/>
      <c r="C1" s="574"/>
      <c r="D1" s="574"/>
      <c r="E1" s="574"/>
      <c r="F1" s="574"/>
      <c r="G1" s="542"/>
      <c r="H1" s="323"/>
      <c r="I1" s="25"/>
      <c r="J1" s="26" t="s">
        <v>311</v>
      </c>
      <c r="K1" s="27"/>
      <c r="L1" s="51"/>
      <c r="M1" s="52" t="b">
        <f>IF($C$2="Base contract","Blist",IF($C$2="Contract Amendment","Alist"))</f>
        <v>0</v>
      </c>
      <c r="N1" s="53"/>
      <c r="O1" s="29"/>
      <c r="P1" s="53"/>
      <c r="Q1" s="53"/>
      <c r="R1" s="53"/>
      <c r="S1" s="53"/>
      <c r="T1" s="53"/>
      <c r="U1" s="38"/>
      <c r="V1" s="38"/>
      <c r="W1" s="38"/>
      <c r="X1" s="545"/>
      <c r="Y1" s="545"/>
      <c r="Z1" s="581" t="s">
        <v>313</v>
      </c>
      <c r="AA1" s="582"/>
      <c r="AB1" s="582"/>
      <c r="AC1" s="582"/>
      <c r="AD1" s="582"/>
      <c r="AE1" s="582"/>
      <c r="AF1" s="54"/>
      <c r="AG1" s="65" t="s">
        <v>314</v>
      </c>
      <c r="AH1" s="115" t="s">
        <v>315</v>
      </c>
      <c r="AI1" s="55" t="s">
        <v>253</v>
      </c>
      <c r="AJ1" s="546" t="s">
        <v>316</v>
      </c>
      <c r="AK1" s="102" t="s">
        <v>317</v>
      </c>
      <c r="AL1" s="54"/>
      <c r="AM1" s="54"/>
      <c r="AN1" s="546"/>
      <c r="AO1" s="46" t="s">
        <v>318</v>
      </c>
      <c r="AP1" s="56"/>
      <c r="AQ1" s="56"/>
      <c r="AR1" s="56"/>
      <c r="AS1" s="56"/>
      <c r="AU1" s="69" t="s">
        <v>319</v>
      </c>
      <c r="BC1" s="57"/>
      <c r="BE1" s="115" t="s">
        <v>312</v>
      </c>
    </row>
    <row r="2" spans="1:57" ht="25.5" x14ac:dyDescent="0.25">
      <c r="A2" s="590" t="s">
        <v>320</v>
      </c>
      <c r="B2" s="591"/>
      <c r="C2" s="552">
        <f>'Cover Sheet'!B6</f>
        <v>0</v>
      </c>
      <c r="D2" s="218"/>
      <c r="E2" s="281"/>
      <c r="F2" s="281"/>
      <c r="G2" s="283" t="s">
        <v>321</v>
      </c>
      <c r="H2" s="324" t="str">
        <f>I2</f>
        <v>Not Started</v>
      </c>
      <c r="I2" s="25" t="str">
        <f>IF(OR($C$3="Yes, section requirements are not applicable",$C$3="Yes, all requirements on the sheet are crosshatched",AND(E8="N/A",E13="N/A",E20="N/A",E27="N/A",E63="N/A",E67="N/A",E70="N/A",E77="N/A")),"Section Review N/A",IF((COUNTA(A8:A78)+COUNTBLANK(A8:A78)=COUNTBLANK(E8:E78)),"Not Started",IF((COUNTA(A8:A78)&gt;SUM(U8:U78)),"In Progress","Section Review Complete")))</f>
        <v>Not Started</v>
      </c>
      <c r="J2" s="25" t="s">
        <v>322</v>
      </c>
      <c r="K2" s="27" t="s">
        <v>323</v>
      </c>
      <c r="L2" s="27"/>
      <c r="M2" s="28"/>
      <c r="N2" s="53"/>
      <c r="O2" s="29"/>
      <c r="P2" s="53"/>
      <c r="Q2" s="53"/>
      <c r="R2" s="53"/>
      <c r="S2" s="53"/>
      <c r="T2" s="53"/>
      <c r="U2" s="38"/>
      <c r="V2" s="38"/>
      <c r="W2" s="38"/>
      <c r="X2" s="59"/>
      <c r="Y2" s="59"/>
      <c r="Z2" s="54" t="str">
        <f>IF('Cover Sheet'!$B$13="Yes","MCO","--")</f>
        <v>MCO</v>
      </c>
      <c r="AA2" s="54" t="str">
        <f>IF('Cover Sheet'!$B$14="Yes","HIO","--")</f>
        <v>--</v>
      </c>
      <c r="AB2" s="54" t="str">
        <f>IF('Cover Sheet'!$B$15="Yes","PIHP","--")</f>
        <v>--</v>
      </c>
      <c r="AC2" s="54" t="str">
        <f>IF('Cover Sheet'!$B$16="Yes","PAHP","--")</f>
        <v>--</v>
      </c>
      <c r="AD2" s="54" t="str">
        <f>IF('Cover Sheet'!$B$17="Yes","NEMT PAHP","--")</f>
        <v>--</v>
      </c>
      <c r="AE2" s="54" t="str">
        <f>IF('Cover Sheet'!$B$18="Yes","PCCME","--")</f>
        <v>--</v>
      </c>
      <c r="AF2" s="54"/>
      <c r="AG2" s="53" t="e">
        <f>IF(OR('Cover Sheet'!$B$4="Medicaid", 'Cover Sheet'!$B$4="Both"),IF(OR('Cover Sheet'!$B$23="",'Cover Sheet'!#REF!=""),TRUE,FALSE), IF('Cover Sheet'!$B$4="CHIP",IF('Cover Sheet'!$B$23="",TRUE,FALSE),TRUE))</f>
        <v>#REF!</v>
      </c>
      <c r="AH2" s="60" t="e">
        <f>IF($AG$2=FALSE,'Cover Sheet'!$B$23,"")</f>
        <v>#REF!</v>
      </c>
      <c r="AI2" s="60" t="e">
        <f>IF($AG$2=FALSE,'Cover Sheet'!#REF!,"")</f>
        <v>#REF!</v>
      </c>
      <c r="AJ2" s="29" t="b">
        <f>IF('Cover Sheet'!$B$7="",TRUE,FALSE)</f>
        <v>1</v>
      </c>
      <c r="AK2" s="103" t="str">
        <f>IF($AJ$2=FALSE,'Cover Sheet'!$B$7,"")</f>
        <v/>
      </c>
      <c r="AL2" s="54"/>
      <c r="AM2" s="54"/>
      <c r="AN2" s="29"/>
      <c r="AO2" s="31">
        <f>IF('Cover Sheet'!$B$4="BOTH",1,0)</f>
        <v>1</v>
      </c>
      <c r="AP2" s="56"/>
      <c r="AQ2" s="56" t="s">
        <v>224</v>
      </c>
      <c r="AR2" s="56"/>
      <c r="AS2" s="56"/>
      <c r="BC2" s="57"/>
      <c r="BE2" s="58">
        <f>'Cover Sheet'!B19</f>
        <v>0</v>
      </c>
    </row>
    <row r="3" spans="1:57" ht="15.75" customHeight="1" thickBot="1" x14ac:dyDescent="0.3">
      <c r="A3" s="305" t="s">
        <v>324</v>
      </c>
      <c r="B3" s="306"/>
      <c r="C3" s="307" t="s">
        <v>325</v>
      </c>
      <c r="D3" s="226"/>
      <c r="E3" s="285"/>
      <c r="F3" s="325"/>
      <c r="G3" s="326" t="s">
        <v>326</v>
      </c>
      <c r="H3" s="327" t="str">
        <f>I3</f>
        <v>Not Started</v>
      </c>
      <c r="I3" s="25" t="str">
        <f>IF(OR($C$3="Yes, section requirements are not applicable",$C$3="Yes, all requirements on the sheet are crosshatched",AND(E8="N/A",E13="N/A",E20="N/A",E27="N/A",E63="N/A",E67="N/A",E70="N/A",E77="N/A")),"Section Review N/A",IF((COUNTA(A8:A78)+COUNTBLANK(A8:A78))=COUNTBLANK(E8:E78),"Not Started",IF(OR(COUNTA(A8:A78)+COUNTBLANK(A8:A78)&lt;&gt;COUNTIF(E8:E78,"Yes")+COUNTIF(E8:E78,"Met")+COUNTIF(E8:E78,"N/A")+COUNTBLANK(E8:E78)+COUNTIF($E$28,"No"),COUNTA(A8:A78)&lt;&gt;SUM(U9:U78)),"Revisions Needed","Approved")))</f>
        <v>Not Started</v>
      </c>
      <c r="J3" s="25" t="s">
        <v>327</v>
      </c>
      <c r="K3" s="27" t="s">
        <v>325</v>
      </c>
      <c r="L3" s="27"/>
      <c r="M3" s="28"/>
      <c r="N3" s="53"/>
      <c r="O3" s="29"/>
      <c r="P3" s="53"/>
      <c r="Q3" s="53"/>
      <c r="R3" s="53"/>
      <c r="S3" s="53"/>
      <c r="T3" s="53"/>
      <c r="U3" s="38"/>
      <c r="V3" s="38"/>
      <c r="W3" s="38"/>
      <c r="X3" s="421" t="s">
        <v>351</v>
      </c>
      <c r="Y3" s="421" t="s">
        <v>352</v>
      </c>
      <c r="Z3" s="56"/>
      <c r="AA3" s="56"/>
      <c r="AB3" s="56"/>
      <c r="AC3" s="56"/>
      <c r="AD3" s="56"/>
      <c r="AE3" s="56"/>
      <c r="AF3" s="54"/>
      <c r="AG3" s="54"/>
      <c r="AH3" s="54"/>
      <c r="AI3" s="56"/>
      <c r="AJ3" s="56"/>
      <c r="AK3" s="56"/>
      <c r="AL3" s="54"/>
      <c r="AM3" s="54"/>
      <c r="AN3" s="57"/>
      <c r="AO3" s="53"/>
      <c r="AP3" s="56"/>
      <c r="AQ3" s="56"/>
      <c r="AR3" s="56"/>
      <c r="AS3" s="56"/>
      <c r="BC3" s="57"/>
      <c r="BE3" s="38"/>
    </row>
    <row r="4" spans="1:57" ht="15.75" hidden="1" customHeight="1" x14ac:dyDescent="0.25">
      <c r="A4" s="231"/>
      <c r="B4" s="232"/>
      <c r="C4" s="289"/>
      <c r="D4" s="234"/>
      <c r="E4" s="231"/>
      <c r="F4" s="328"/>
      <c r="G4" s="328"/>
      <c r="H4" s="328"/>
      <c r="I4" s="25"/>
      <c r="J4" s="25" t="s">
        <v>319</v>
      </c>
      <c r="K4" s="27"/>
      <c r="L4" s="27"/>
      <c r="M4" s="28"/>
      <c r="N4" s="53"/>
      <c r="O4" s="29"/>
      <c r="P4" s="53"/>
      <c r="Q4" s="53"/>
      <c r="R4" s="53"/>
      <c r="S4" s="53"/>
      <c r="T4" s="53"/>
      <c r="U4" s="38"/>
      <c r="V4" s="38"/>
      <c r="W4" s="38"/>
      <c r="X4" s="56"/>
      <c r="Y4" s="56"/>
      <c r="Z4" s="56"/>
      <c r="AA4" s="56"/>
      <c r="AB4" s="56"/>
      <c r="AC4" s="56"/>
      <c r="AD4" s="56"/>
      <c r="AE4" s="56"/>
      <c r="AF4" s="54"/>
      <c r="AG4" s="54"/>
      <c r="AH4" s="54"/>
      <c r="AI4" s="56"/>
      <c r="AJ4" s="56"/>
      <c r="AK4" s="56"/>
      <c r="AL4" s="54"/>
      <c r="AM4" s="54"/>
      <c r="AN4" s="57"/>
      <c r="AO4" s="53"/>
      <c r="AP4" s="56"/>
      <c r="AQ4" s="56"/>
      <c r="AR4" s="56"/>
      <c r="AS4" s="56"/>
      <c r="BC4" s="57"/>
      <c r="BE4" s="38"/>
    </row>
    <row r="5" spans="1:57" ht="15.75" hidden="1" customHeight="1" x14ac:dyDescent="0.25">
      <c r="A5" s="237"/>
      <c r="B5" s="238"/>
      <c r="C5" s="291"/>
      <c r="D5" s="239"/>
      <c r="E5" s="237"/>
      <c r="F5" s="329"/>
      <c r="G5" s="329"/>
      <c r="H5" s="329"/>
      <c r="I5" s="25"/>
      <c r="J5" s="25"/>
      <c r="K5" s="27"/>
      <c r="L5" s="27"/>
      <c r="M5" s="28"/>
      <c r="N5" s="53"/>
      <c r="O5" s="29"/>
      <c r="P5" s="53"/>
      <c r="Q5" s="53"/>
      <c r="R5" s="53"/>
      <c r="S5" s="54" t="s">
        <v>330</v>
      </c>
      <c r="T5" s="54"/>
      <c r="U5" s="38"/>
      <c r="V5" s="38"/>
      <c r="W5" s="38"/>
      <c r="X5" s="56"/>
      <c r="Y5" s="56"/>
      <c r="Z5" s="56"/>
      <c r="AA5" s="56"/>
      <c r="AB5" s="56"/>
      <c r="AC5" s="56"/>
      <c r="AD5" s="56"/>
      <c r="AE5" s="56"/>
      <c r="AF5" s="54"/>
      <c r="AG5" s="54"/>
      <c r="AH5" s="54"/>
      <c r="AI5" s="56"/>
      <c r="AJ5" s="56"/>
      <c r="AK5" s="56"/>
      <c r="AL5" s="54"/>
      <c r="AM5" s="54"/>
      <c r="AN5" s="57"/>
      <c r="AO5" s="53"/>
      <c r="AP5" s="56"/>
      <c r="AQ5" s="56"/>
      <c r="AR5" s="56"/>
      <c r="AS5" s="56"/>
      <c r="AU5" s="69" t="s">
        <v>331</v>
      </c>
      <c r="BC5" s="57"/>
      <c r="BE5" s="38"/>
    </row>
    <row r="6" spans="1:57" ht="15.75" hidden="1" customHeight="1" thickBot="1" x14ac:dyDescent="0.3">
      <c r="A6" s="242"/>
      <c r="B6" s="243"/>
      <c r="C6" s="244"/>
      <c r="D6" s="245"/>
      <c r="E6" s="246"/>
      <c r="F6" s="247"/>
      <c r="G6" s="247"/>
      <c r="H6" s="247"/>
      <c r="I6" s="26"/>
      <c r="J6" s="25"/>
      <c r="K6" s="32"/>
      <c r="L6" s="25"/>
      <c r="M6" s="53"/>
      <c r="N6" s="53"/>
      <c r="O6" s="53"/>
      <c r="P6" s="33" t="s">
        <v>332</v>
      </c>
      <c r="Q6" s="33" t="s">
        <v>333</v>
      </c>
      <c r="R6" s="33" t="s">
        <v>334</v>
      </c>
      <c r="S6" s="63"/>
      <c r="T6" s="63"/>
      <c r="U6" s="38"/>
      <c r="V6" s="38"/>
      <c r="W6" s="38"/>
      <c r="X6" s="101" t="s">
        <v>351</v>
      </c>
      <c r="Y6" s="101" t="s">
        <v>352</v>
      </c>
      <c r="Z6" s="101"/>
      <c r="AA6" s="101"/>
      <c r="AB6" s="101"/>
      <c r="AC6" s="101"/>
      <c r="AD6" s="101"/>
      <c r="AE6" s="101"/>
      <c r="AF6" s="54"/>
      <c r="AG6" s="54"/>
      <c r="AH6" s="54"/>
      <c r="AI6" s="54"/>
      <c r="AJ6" s="575" t="s">
        <v>335</v>
      </c>
      <c r="AK6" s="576"/>
      <c r="AL6" s="577"/>
      <c r="AM6" s="112"/>
      <c r="AN6" s="57"/>
      <c r="AO6" s="53"/>
      <c r="AP6" s="56"/>
      <c r="AQ6" s="56"/>
      <c r="AR6" s="56" t="s">
        <v>336</v>
      </c>
      <c r="AS6" s="56"/>
      <c r="BC6" s="57"/>
      <c r="BE6" s="38"/>
    </row>
    <row r="7" spans="1:57" ht="39" customHeight="1" thickBot="1" x14ac:dyDescent="0.3">
      <c r="A7" s="249" t="s">
        <v>337</v>
      </c>
      <c r="B7" s="250" t="s">
        <v>338</v>
      </c>
      <c r="C7" s="251" t="s">
        <v>339</v>
      </c>
      <c r="D7" s="251" t="s">
        <v>340</v>
      </c>
      <c r="E7" s="251" t="s">
        <v>341</v>
      </c>
      <c r="F7" s="251" t="s">
        <v>342</v>
      </c>
      <c r="G7" s="251" t="s">
        <v>343</v>
      </c>
      <c r="H7" s="293" t="s">
        <v>344</v>
      </c>
      <c r="I7" s="34" t="s">
        <v>168</v>
      </c>
      <c r="J7" s="34" t="s">
        <v>178</v>
      </c>
      <c r="K7" s="34" t="s">
        <v>185</v>
      </c>
      <c r="L7" s="35" t="s">
        <v>190</v>
      </c>
      <c r="M7" s="36" t="s">
        <v>195</v>
      </c>
      <c r="N7" s="37" t="s">
        <v>345</v>
      </c>
      <c r="O7" s="37" t="s">
        <v>200</v>
      </c>
      <c r="P7" s="38"/>
      <c r="Q7" s="38"/>
      <c r="R7" s="38" t="s">
        <v>334</v>
      </c>
      <c r="S7" s="39" t="s">
        <v>346</v>
      </c>
      <c r="T7" s="49" t="s">
        <v>347</v>
      </c>
      <c r="U7" s="50" t="s">
        <v>467</v>
      </c>
      <c r="V7" s="50"/>
      <c r="W7" s="50"/>
      <c r="X7" s="158"/>
      <c r="Y7" s="158"/>
      <c r="Z7" s="158" t="s">
        <v>168</v>
      </c>
      <c r="AA7" s="158" t="s">
        <v>178</v>
      </c>
      <c r="AB7" s="158" t="s">
        <v>185</v>
      </c>
      <c r="AC7" s="158" t="s">
        <v>190</v>
      </c>
      <c r="AD7" s="158" t="s">
        <v>195</v>
      </c>
      <c r="AE7" s="158" t="s">
        <v>200</v>
      </c>
      <c r="AF7" s="101" t="s">
        <v>354</v>
      </c>
      <c r="AG7" s="101" t="s">
        <v>355</v>
      </c>
      <c r="AH7" s="101" t="s">
        <v>356</v>
      </c>
      <c r="AI7" s="101" t="s">
        <v>357</v>
      </c>
      <c r="AJ7" s="70" t="s">
        <v>358</v>
      </c>
      <c r="AK7" s="70" t="s">
        <v>359</v>
      </c>
      <c r="AL7" s="70" t="s">
        <v>360</v>
      </c>
      <c r="AM7" s="70" t="s">
        <v>361</v>
      </c>
      <c r="AN7" s="70" t="s">
        <v>362</v>
      </c>
      <c r="AO7" s="104" t="s">
        <v>363</v>
      </c>
      <c r="AP7" s="70" t="s">
        <v>364</v>
      </c>
      <c r="AQ7" s="70" t="s">
        <v>365</v>
      </c>
      <c r="AR7" s="56" t="s">
        <v>366</v>
      </c>
      <c r="AS7" s="56" t="s">
        <v>367</v>
      </c>
      <c r="AT7" s="69" t="s">
        <v>368</v>
      </c>
      <c r="AU7" s="69" t="s">
        <v>331</v>
      </c>
      <c r="AV7" s="80" t="s">
        <v>369</v>
      </c>
      <c r="AW7" s="80" t="s">
        <v>370</v>
      </c>
      <c r="AX7" s="80" t="s">
        <v>371</v>
      </c>
      <c r="AY7" s="80" t="s">
        <v>372</v>
      </c>
      <c r="AZ7" s="81" t="s">
        <v>373</v>
      </c>
      <c r="BA7" s="82" t="s">
        <v>374</v>
      </c>
      <c r="BB7" s="83" t="s">
        <v>375</v>
      </c>
      <c r="BC7" s="39" t="s">
        <v>347</v>
      </c>
      <c r="BD7" s="110" t="s">
        <v>376</v>
      </c>
      <c r="BE7" s="101" t="s">
        <v>349</v>
      </c>
    </row>
    <row r="8" spans="1:57" ht="16.149999999999999" customHeight="1" thickBot="1" x14ac:dyDescent="0.3">
      <c r="A8" s="450"/>
      <c r="B8" s="451"/>
      <c r="C8" s="452" t="s">
        <v>871</v>
      </c>
      <c r="D8" s="442"/>
      <c r="E8" s="443"/>
      <c r="F8" s="444"/>
      <c r="G8" s="444"/>
      <c r="H8" s="445"/>
      <c r="I8" s="74"/>
      <c r="J8" s="74"/>
      <c r="K8" s="74"/>
      <c r="L8" s="87"/>
      <c r="M8" s="87"/>
      <c r="S8" s="116"/>
      <c r="T8" s="116"/>
      <c r="Z8" s="126"/>
      <c r="AA8" s="126"/>
      <c r="AB8" s="126"/>
      <c r="AC8" s="126"/>
      <c r="AD8" s="126"/>
      <c r="AE8" s="126"/>
      <c r="AF8" s="86"/>
      <c r="AL8" s="68"/>
      <c r="AM8" s="68"/>
      <c r="AN8" s="89"/>
      <c r="AO8" s="89"/>
      <c r="AP8" s="89"/>
      <c r="AQ8" s="89"/>
      <c r="AR8" s="68"/>
      <c r="AS8" s="68"/>
      <c r="BD8" s="110"/>
    </row>
    <row r="9" spans="1:57" ht="30" customHeight="1" x14ac:dyDescent="0.25">
      <c r="A9" s="294" t="s">
        <v>872</v>
      </c>
      <c r="B9" s="295" t="s">
        <v>873</v>
      </c>
      <c r="C9" s="295" t="s">
        <v>874</v>
      </c>
      <c r="D9" s="470"/>
      <c r="E9" s="297"/>
      <c r="F9" s="297"/>
      <c r="G9" s="297"/>
      <c r="H9" s="214"/>
      <c r="I9" s="92" t="s">
        <v>168</v>
      </c>
      <c r="J9" s="92" t="s">
        <v>178</v>
      </c>
      <c r="K9" s="92" t="s">
        <v>185</v>
      </c>
      <c r="L9" s="71" t="s">
        <v>190</v>
      </c>
      <c r="M9" s="71" t="s">
        <v>195</v>
      </c>
      <c r="N9" s="71"/>
      <c r="O9" s="71"/>
      <c r="P9" s="71" t="s">
        <v>380</v>
      </c>
      <c r="Q9" s="71" t="b">
        <f>IF(OR(AND($C$2="Base contract",$C$3="No, section requirements must be reviewed", $AF9=FALSE,$AG9=FALSE),AND($C$2="Contract amendment",$C$3="No, section requirements must be reviewed",$AF9=FALSE,$AG9=FALSE)),"MUNN")</f>
        <v>0</v>
      </c>
      <c r="R9" s="71" t="b">
        <f>IF('Cover Sheet'!$B$19="Non-Risk",1)</f>
        <v>0</v>
      </c>
      <c r="S9" s="72"/>
      <c r="T9" s="72"/>
      <c r="U9" s="97">
        <f>IF(OR($E$8="N/A",AND(BD9=0,'Cover Sheet'!$B$29="Streamlined Review"),AND(E9="Met",F9&lt;&gt;""),AND(E9="Not Met",G9&lt;&gt;""),AND(E9="Unsure",G9&lt;&gt;""),AND(E9="N/A",H9&lt;&gt;""),AND(Y9=TRUE),X9=TRUE),1,0)</f>
        <v>0</v>
      </c>
      <c r="V9" s="97"/>
      <c r="W9" s="97"/>
      <c r="X9" s="126" t="b">
        <f>IF(OR(Y9=TRUE,R9=1),TRUE,FALSE)</f>
        <v>0</v>
      </c>
      <c r="Y9" s="126" t="b">
        <f>IF(SUM(Z9:AE9)&lt;1,TRUE,FALSE)</f>
        <v>0</v>
      </c>
      <c r="Z9" s="126">
        <f>IF($Z$2=I9,1,0)</f>
        <v>1</v>
      </c>
      <c r="AA9" s="126">
        <f>IF($AA$2=J9,1,0)</f>
        <v>0</v>
      </c>
      <c r="AB9" s="126">
        <f>IF($AB$2=K9,1,0)</f>
        <v>0</v>
      </c>
      <c r="AC9" s="126">
        <f>IF($AC$2=L9,1,0)</f>
        <v>0</v>
      </c>
      <c r="AD9" s="126">
        <f>IF($AD$2=M9,1,0)</f>
        <v>0</v>
      </c>
      <c r="AE9" s="126">
        <f>IF($AE$2=O9,1,0)</f>
        <v>0</v>
      </c>
      <c r="AF9" s="53" t="b">
        <f>IF($H$1&lt;&gt;0,IF($H$1&lt;&gt;I9,IF($H$1&lt;&gt;J9,IF($H$1&lt;&gt;K9,IF($H$1&lt;&gt;L9,IF($H$1&lt;&gt;M9,IF($H$1&lt;&gt;N9,IF($H$1&lt;&gt;O9,TRUE,FALSE))))))))</f>
        <v>0</v>
      </c>
      <c r="AG9" s="54" t="b">
        <f>IF(OR(AL9=TRUE,AM9=TRUE),TRUE,FALSE)</f>
        <v>0</v>
      </c>
      <c r="AL9" s="56" t="b">
        <f>IF(AND('Cover Sheet'!$B$19="Non-Risk",$R9=1),TRUE,FALSE)</f>
        <v>0</v>
      </c>
      <c r="AM9" s="56" t="b">
        <f>IF(OR(AND($H$6="Medicaid",MID($A9,1,FIND(".",$A9,1)-1)="II"),AND($H$6="CHIP",MID($A9,1,FIND(".",$A9,1)-1)="I")),TRUE,FALSE)</f>
        <v>0</v>
      </c>
      <c r="AT9" s="69">
        <v>1</v>
      </c>
      <c r="AU9" s="69">
        <f>IF(AT9=1,1,"")</f>
        <v>1</v>
      </c>
      <c r="BD9" s="110">
        <v>1</v>
      </c>
      <c r="BE9" s="126"/>
    </row>
    <row r="10" spans="1:57" ht="30.75" customHeight="1" x14ac:dyDescent="0.25">
      <c r="A10" s="294" t="s">
        <v>875</v>
      </c>
      <c r="B10" s="295" t="s">
        <v>876</v>
      </c>
      <c r="C10" s="295" t="s">
        <v>877</v>
      </c>
      <c r="D10" s="470"/>
      <c r="E10" s="297"/>
      <c r="F10" s="297"/>
      <c r="G10" s="297"/>
      <c r="H10" s="214"/>
      <c r="I10" s="92" t="s">
        <v>168</v>
      </c>
      <c r="J10" s="92" t="s">
        <v>178</v>
      </c>
      <c r="K10" s="92" t="s">
        <v>185</v>
      </c>
      <c r="L10" s="71" t="s">
        <v>190</v>
      </c>
      <c r="M10" s="71" t="s">
        <v>195</v>
      </c>
      <c r="N10" s="71"/>
      <c r="O10" s="71"/>
      <c r="P10" s="71" t="s">
        <v>380</v>
      </c>
      <c r="Q10" s="71" t="b">
        <f>IF(OR(AND($C$2="Base contract",$C$3="No, section requirements must be reviewed", $AF10=FALSE,$AG10=FALSE),AND($C$2="Contract amendment",$C$3="No, section requirements must be reviewed",$AF10=FALSE,$AG10=FALSE)),"MUNN")</f>
        <v>0</v>
      </c>
      <c r="R10" s="71" t="b">
        <f>IF('Cover Sheet'!$B$19="Non-Risk",1)</f>
        <v>0</v>
      </c>
      <c r="S10" s="64">
        <v>42556</v>
      </c>
      <c r="T10" s="64"/>
      <c r="U10" s="97">
        <f>IF(OR($E$8="N/A",AND(BD10=0,'Cover Sheet'!$B$29="Streamlined Review"),AND(E10="Met",F10&lt;&gt;""),AND(E10="Not Met",G10&lt;&gt;""),AND(E10="Unsure",G10&lt;&gt;""),AND(E10="N/A",H10&lt;&gt;""),AND(Y10=TRUE)),1,0)</f>
        <v>0</v>
      </c>
      <c r="V10" s="97"/>
      <c r="W10" s="97"/>
      <c r="X10" s="126" t="b">
        <f>IF(OR(Y10=TRUE,R10=1),TRUE,FALSE)</f>
        <v>0</v>
      </c>
      <c r="Y10" s="126" t="b">
        <f>IF(SUM(Z10:AE10)&lt;1,TRUE,FALSE)</f>
        <v>0</v>
      </c>
      <c r="Z10" s="126">
        <f>IF($Z$2=I10,1,0)</f>
        <v>1</v>
      </c>
      <c r="AA10" s="126">
        <f>IF($AA$2=J10,1,0)</f>
        <v>0</v>
      </c>
      <c r="AB10" s="126">
        <f>IF($AB$2=K10,1,0)</f>
        <v>0</v>
      </c>
      <c r="AC10" s="126">
        <f>IF($AC$2=L10,1,0)</f>
        <v>0</v>
      </c>
      <c r="AD10" s="126">
        <f>IF($AD$2=M10,1,0)</f>
        <v>0</v>
      </c>
      <c r="AE10" s="126">
        <f>IF($AE$2=O10,1,0)</f>
        <v>0</v>
      </c>
      <c r="AF10" s="53" t="b">
        <f>IF($H$1&lt;&gt;0,IF($H$1&lt;&gt;I10,IF($H$1&lt;&gt;J10,IF($H$1&lt;&gt;K10,IF($H$1&lt;&gt;L10,IF($H$1&lt;&gt;M10,IF($H$1&lt;&gt;N10,IF($H$1&lt;&gt;O10,TRUE,FALSE))))))))</f>
        <v>0</v>
      </c>
      <c r="AG10" s="54" t="b">
        <f>IF(OR(AL10=TRUE,AM10=TRUE),TRUE,FALSE)</f>
        <v>0</v>
      </c>
      <c r="AL10" s="56" t="b">
        <f>IF(AND('Cover Sheet'!$B$19="Non-Risk",$R10=1),TRUE,FALSE)</f>
        <v>0</v>
      </c>
      <c r="AM10" s="56" t="b">
        <f>IF(OR(AND($H$6="Medicaid",MID($A10,1,FIND(".",$A10,1)-1)="II"),AND($H$6="CHIP",MID($A10,1,FIND(".",$A10,1)-1)="I")),TRUE,FALSE)</f>
        <v>0</v>
      </c>
      <c r="AU10" s="69" t="str">
        <f>IF(AT10=1,1,"")</f>
        <v/>
      </c>
      <c r="BD10" s="110">
        <v>1</v>
      </c>
      <c r="BE10" s="126"/>
    </row>
    <row r="11" spans="1:57" ht="40.5" customHeight="1" x14ac:dyDescent="0.25">
      <c r="A11" s="294" t="s">
        <v>878</v>
      </c>
      <c r="B11" s="295" t="s">
        <v>420</v>
      </c>
      <c r="C11" s="295" t="s">
        <v>879</v>
      </c>
      <c r="D11" s="470">
        <v>1</v>
      </c>
      <c r="E11" s="297"/>
      <c r="F11" s="297"/>
      <c r="G11" s="297"/>
      <c r="H11" s="214"/>
      <c r="I11" s="92" t="s">
        <v>168</v>
      </c>
      <c r="J11" s="92" t="s">
        <v>178</v>
      </c>
      <c r="K11" s="92" t="s">
        <v>185</v>
      </c>
      <c r="L11" s="71" t="s">
        <v>190</v>
      </c>
      <c r="M11" s="71"/>
      <c r="N11" s="71"/>
      <c r="O11" s="71"/>
      <c r="P11" s="71" t="s">
        <v>380</v>
      </c>
      <c r="Q11" s="71" t="b">
        <f>IF(OR(AND($C$2="Base contract",$C$3="No, section requirements must be reviewed", $AF11=FALSE,$AG11=FALSE),AND($C$2="Contract amendment",$C$3="No, section requirements must be reviewed",$AF11=FALSE,$AG11=FALSE)),"MUNN")</f>
        <v>0</v>
      </c>
      <c r="R11" s="71" t="b">
        <f>IF('Cover Sheet'!$B$19="Non-Risk",1)</f>
        <v>0</v>
      </c>
      <c r="S11" s="64">
        <v>42556</v>
      </c>
      <c r="T11" s="64"/>
      <c r="U11" s="97">
        <f>IF(OR($E$8="N/A",AND(BD11=0,'Cover Sheet'!$B$29="Streamlined Review"),AND(E11="Met",F11&lt;&gt;""),AND(E11="Not Met",G11&lt;&gt;""),AND(E11="Unsure",G11&lt;&gt;""),AND(E11="N/A",H11&lt;&gt;""),AND(Y11=TRUE)),1,0)</f>
        <v>0</v>
      </c>
      <c r="V11" s="97"/>
      <c r="W11" s="97"/>
      <c r="X11" s="126" t="b">
        <f>IF(OR(Y11=TRUE,R11=1),TRUE,FALSE)</f>
        <v>0</v>
      </c>
      <c r="Y11" s="126" t="b">
        <f>IF(SUM(Z11:AE11)&lt;1,TRUE,FALSE)</f>
        <v>0</v>
      </c>
      <c r="Z11" s="126">
        <f>IF($Z$2=I11,1,0)</f>
        <v>1</v>
      </c>
      <c r="AA11" s="126">
        <f>IF($AA$2=J11,1,0)</f>
        <v>0</v>
      </c>
      <c r="AB11" s="126">
        <f>IF($AB$2=K11,1,0)</f>
        <v>0</v>
      </c>
      <c r="AC11" s="126">
        <f>IF($AC$2=L11,1,0)</f>
        <v>0</v>
      </c>
      <c r="AD11" s="126">
        <f>IF($AD$2=M11,1,0)</f>
        <v>0</v>
      </c>
      <c r="AE11" s="126">
        <f>IF($AE$2=O11,1,0)</f>
        <v>0</v>
      </c>
      <c r="AF11" s="53" t="b">
        <f>IF($H$1&lt;&gt;0,IF($H$1&lt;&gt;I11,IF($H$1&lt;&gt;J11,IF($H$1&lt;&gt;K11,IF($H$1&lt;&gt;L11,IF($H$1&lt;&gt;M11,IF($H$1&lt;&gt;N11,IF($H$1&lt;&gt;O11,TRUE,FALSE))))))))</f>
        <v>0</v>
      </c>
      <c r="AG11" s="54" t="b">
        <f>IF(OR(AL11=TRUE,AM11=TRUE),TRUE,FALSE)</f>
        <v>0</v>
      </c>
      <c r="AL11" s="56" t="b">
        <f>IF(AND('Cover Sheet'!$B$19="Non-Risk",$R11=1),TRUE,FALSE)</f>
        <v>0</v>
      </c>
      <c r="AM11" s="56" t="b">
        <f>IF(OR(AND($H$6="Medicaid",MID($A11,1,FIND(".",$A11,1)-1)="II"),AND($H$6="CHIP",MID($A11,1,FIND(".",$A11,1)-1)="I")),TRUE,FALSE)</f>
        <v>0</v>
      </c>
      <c r="AT11" s="69">
        <v>1</v>
      </c>
      <c r="AU11" s="69">
        <f>IF(AT11=1,1,"")</f>
        <v>1</v>
      </c>
      <c r="BD11" s="110">
        <v>1</v>
      </c>
      <c r="BE11" s="126"/>
    </row>
    <row r="12" spans="1:57" ht="120.95" customHeight="1" thickBot="1" x14ac:dyDescent="0.3">
      <c r="A12" s="294" t="s">
        <v>880</v>
      </c>
      <c r="B12" s="295" t="s">
        <v>881</v>
      </c>
      <c r="C12" s="295" t="s">
        <v>882</v>
      </c>
      <c r="D12" s="470"/>
      <c r="E12" s="297"/>
      <c r="F12" s="297"/>
      <c r="G12" s="297"/>
      <c r="H12" s="214"/>
      <c r="I12" s="92" t="s">
        <v>168</v>
      </c>
      <c r="J12" s="92" t="s">
        <v>178</v>
      </c>
      <c r="K12" s="92" t="s">
        <v>185</v>
      </c>
      <c r="L12" s="71"/>
      <c r="M12" s="71"/>
      <c r="N12" s="71"/>
      <c r="O12" s="71"/>
      <c r="P12" s="71" t="s">
        <v>380</v>
      </c>
      <c r="Q12" s="71" t="b">
        <f>IF(OR(AND($C$2="Base contract",$C$3="No, section requirements must be reviewed", $AF12=FALSE,$AG12=FALSE),AND($C$2="Contract amendment",$C$3="No, section requirements must be reviewed",$AF12=FALSE,$AG12=FALSE)),"MUNN")</f>
        <v>0</v>
      </c>
      <c r="R12" s="71" t="b">
        <f>IF('Cover Sheet'!$B$19="Non-Risk",1)</f>
        <v>0</v>
      </c>
      <c r="S12" s="64">
        <v>42556</v>
      </c>
      <c r="T12" s="64"/>
      <c r="U12" s="97">
        <f>IF(OR($E$8="N/A",AND(BD12=0,'Cover Sheet'!$B$29="Streamlined Review"),AND(E12="Met",F12&lt;&gt;""),AND(E12="Not Met",G12&lt;&gt;""),AND(E12="Unsure",G12&lt;&gt;""),AND(E12="N/A",H12&lt;&gt;""),AND(Y12=TRUE)),1,0)</f>
        <v>0</v>
      </c>
      <c r="V12" s="97"/>
      <c r="W12" s="97"/>
      <c r="X12" s="126" t="b">
        <f>IF(OR(Y12=TRUE,R12=1),TRUE,FALSE)</f>
        <v>0</v>
      </c>
      <c r="Y12" s="126" t="b">
        <f>IF(SUM(Z12:AE12)&lt;1,TRUE,FALSE)</f>
        <v>0</v>
      </c>
      <c r="Z12" s="126">
        <f>IF($Z$2=I12,1,0)</f>
        <v>1</v>
      </c>
      <c r="AA12" s="126">
        <f>IF($AA$2=J12,1,0)</f>
        <v>0</v>
      </c>
      <c r="AB12" s="126">
        <f>IF($AB$2=K12,1,0)</f>
        <v>0</v>
      </c>
      <c r="AC12" s="126">
        <f>IF($AC$2=L12,1,0)</f>
        <v>0</v>
      </c>
      <c r="AD12" s="126">
        <f>IF($AD$2=M12,1,0)</f>
        <v>0</v>
      </c>
      <c r="AE12" s="126">
        <f>IF($AE$2=O12,1,0)</f>
        <v>0</v>
      </c>
      <c r="AF12" s="53" t="b">
        <f>IF($H$1&lt;&gt;0,IF($H$1&lt;&gt;I12,IF($H$1&lt;&gt;J12,IF($H$1&lt;&gt;K12,IF($H$1&lt;&gt;L12,IF($H$1&lt;&gt;M12,IF($H$1&lt;&gt;N12,IF($H$1&lt;&gt;O12,TRUE,FALSE))))))))</f>
        <v>0</v>
      </c>
      <c r="AG12" s="54" t="b">
        <f>IF(OR(AL12=TRUE,AM12=TRUE),TRUE,FALSE)</f>
        <v>0</v>
      </c>
      <c r="AL12" s="56" t="b">
        <f>IF(AND('Cover Sheet'!$B$19="Non-Risk",$R12=1),TRUE,FALSE)</f>
        <v>0</v>
      </c>
      <c r="AM12" s="56" t="b">
        <f>IF(OR(AND($H$6="Medicaid",MID($A12,1,FIND(".",$A12,1)-1)="II"),AND($H$6="CHIP",MID($A12,1,FIND(".",$A12,1)-1)="I")),TRUE,FALSE)</f>
        <v>0</v>
      </c>
      <c r="AT12" s="69">
        <v>1</v>
      </c>
      <c r="AU12" s="69">
        <f>IF(AT12=1,1,"")</f>
        <v>1</v>
      </c>
      <c r="BD12" s="110">
        <v>1</v>
      </c>
      <c r="BE12" s="126"/>
    </row>
    <row r="13" spans="1:57" ht="15.75" thickBot="1" x14ac:dyDescent="0.3">
      <c r="A13" s="463"/>
      <c r="B13" s="451"/>
      <c r="C13" s="452" t="s">
        <v>25</v>
      </c>
      <c r="D13" s="442"/>
      <c r="E13" s="443"/>
      <c r="F13" s="444"/>
      <c r="G13" s="444"/>
      <c r="H13" s="445"/>
      <c r="I13" s="74"/>
      <c r="J13" s="74"/>
      <c r="K13" s="74"/>
      <c r="L13" s="87"/>
      <c r="M13" s="87"/>
      <c r="S13" s="116"/>
      <c r="T13" s="116"/>
      <c r="U13" s="126"/>
      <c r="V13" s="126"/>
      <c r="W13" s="126"/>
      <c r="Z13" s="126"/>
      <c r="AA13" s="126"/>
      <c r="AB13" s="126"/>
      <c r="AC13" s="126"/>
      <c r="AD13" s="126"/>
      <c r="AE13" s="126"/>
      <c r="AL13" s="68"/>
      <c r="AM13" s="68"/>
      <c r="BD13" s="110"/>
      <c r="BE13" s="126"/>
    </row>
    <row r="14" spans="1:57" ht="27" customHeight="1" x14ac:dyDescent="0.25">
      <c r="A14" s="294" t="s">
        <v>883</v>
      </c>
      <c r="B14" s="295" t="s">
        <v>884</v>
      </c>
      <c r="C14" s="295" t="s">
        <v>885</v>
      </c>
      <c r="D14" s="447">
        <v>2</v>
      </c>
      <c r="E14" s="297"/>
      <c r="F14" s="297"/>
      <c r="G14" s="297"/>
      <c r="H14" s="214"/>
      <c r="I14" s="92" t="s">
        <v>168</v>
      </c>
      <c r="J14" s="92" t="s">
        <v>178</v>
      </c>
      <c r="K14" s="92" t="s">
        <v>185</v>
      </c>
      <c r="L14" s="71" t="s">
        <v>190</v>
      </c>
      <c r="M14" s="71"/>
      <c r="N14" s="71"/>
      <c r="O14" s="71"/>
      <c r="P14" s="71" t="s">
        <v>380</v>
      </c>
      <c r="Q14" s="71" t="b">
        <f t="shared" ref="Q14:Q19" si="0">IF(OR(AND($C$2="Base contract",$C$3="No, section requirements must be reviewed", $AF14=FALSE,$AG14=FALSE),AND($C$2="Contract amendment",$C$3="No, section requirements must be reviewed",$AF14=FALSE,$AG14=FALSE)),"MUNN")</f>
        <v>0</v>
      </c>
      <c r="R14" s="71" t="b">
        <f>IF('Cover Sheet'!$B$19="Non-Risk",1)</f>
        <v>0</v>
      </c>
      <c r="S14" s="71"/>
      <c r="T14" s="71"/>
      <c r="U14" s="97">
        <f>IF(OR($E$13="N/A",AND(BD14=0,'Cover Sheet'!$B$29="Streamlined Review"),AND(E14="Met",F14&lt;&gt;""),AND(E14="Not Met",G14&lt;&gt;""),AND(E14="Unsure",G14&lt;&gt;""),AND(E14="N/A",H14&lt;&gt;""),AND(Y14=TRUE)),1,0)</f>
        <v>0</v>
      </c>
      <c r="V14" s="97"/>
      <c r="W14" s="97"/>
      <c r="X14" s="126" t="b">
        <f t="shared" ref="X14:X19" si="1">IF(OR(Y14=TRUE,R14=1),TRUE,FALSE)</f>
        <v>0</v>
      </c>
      <c r="Y14" s="126" t="b">
        <f t="shared" ref="Y14:Y19" si="2">IF(SUM(Z14:AE14)&lt;1,TRUE,FALSE)</f>
        <v>0</v>
      </c>
      <c r="Z14" s="126">
        <f t="shared" ref="Z14:Z19" si="3">IF($Z$2=I14,1,0)</f>
        <v>1</v>
      </c>
      <c r="AA14" s="126">
        <f t="shared" ref="AA14:AA19" si="4">IF($AA$2=J14,1,0)</f>
        <v>0</v>
      </c>
      <c r="AB14" s="126">
        <f t="shared" ref="AB14:AB19" si="5">IF($AB$2=K14,1,0)</f>
        <v>0</v>
      </c>
      <c r="AC14" s="126">
        <f t="shared" ref="AC14:AC19" si="6">IF($AC$2=L14,1,0)</f>
        <v>0</v>
      </c>
      <c r="AD14" s="126">
        <f t="shared" ref="AD14:AD19" si="7">IF($AD$2=M14,1,0)</f>
        <v>0</v>
      </c>
      <c r="AE14" s="126">
        <f t="shared" ref="AE14:AE19" si="8">IF($AE$2=O14,1,0)</f>
        <v>0</v>
      </c>
      <c r="AF14" s="53" t="b">
        <f t="shared" ref="AF14:AF19" si="9">IF($H$1&lt;&gt;0,IF($H$1&lt;&gt;I14,IF($H$1&lt;&gt;J14,IF($H$1&lt;&gt;K14,IF($H$1&lt;&gt;L14,IF($H$1&lt;&gt;M14,IF($H$1&lt;&gt;N14,IF($H$1&lt;&gt;O14,TRUE,FALSE))))))))</f>
        <v>0</v>
      </c>
      <c r="AG14" s="54" t="b">
        <f t="shared" ref="AG14:AG19" si="10">IF(OR(AL14=TRUE,AM14=TRUE),TRUE,FALSE)</f>
        <v>0</v>
      </c>
      <c r="AL14" s="56" t="b">
        <f>IF(AND('Cover Sheet'!$B$19="Non-Risk",$R14=1),TRUE,FALSE)</f>
        <v>0</v>
      </c>
      <c r="AM14" s="56" t="b">
        <f t="shared" ref="AM14:AM19" si="11">IF(OR(AND($H$6="Medicaid",MID($A14,1,FIND(".",$A14,1)-1)="II"),AND($H$6="CHIP",MID($A14,1,FIND(".",$A14,1)-1)="I")),TRUE,FALSE)</f>
        <v>0</v>
      </c>
      <c r="AT14" s="69">
        <v>1</v>
      </c>
      <c r="AU14" s="69">
        <f t="shared" ref="AU14:AU19" si="12">IF(AT14=1,1,"")</f>
        <v>1</v>
      </c>
      <c r="BD14" s="110">
        <v>0</v>
      </c>
      <c r="BE14" s="126"/>
    </row>
    <row r="15" spans="1:57" ht="28.5" customHeight="1" x14ac:dyDescent="0.25">
      <c r="A15" s="294" t="s">
        <v>886</v>
      </c>
      <c r="B15" s="295" t="s">
        <v>884</v>
      </c>
      <c r="C15" s="295" t="s">
        <v>887</v>
      </c>
      <c r="D15" s="447">
        <v>2</v>
      </c>
      <c r="E15" s="297"/>
      <c r="F15" s="297"/>
      <c r="G15" s="297"/>
      <c r="H15" s="214"/>
      <c r="I15" s="92" t="s">
        <v>168</v>
      </c>
      <c r="J15" s="92" t="s">
        <v>178</v>
      </c>
      <c r="K15" s="92" t="s">
        <v>185</v>
      </c>
      <c r="L15" s="71" t="s">
        <v>190</v>
      </c>
      <c r="M15" s="71"/>
      <c r="N15" s="71"/>
      <c r="O15" s="71"/>
      <c r="P15" s="71" t="s">
        <v>380</v>
      </c>
      <c r="Q15" s="71" t="b">
        <f t="shared" si="0"/>
        <v>0</v>
      </c>
      <c r="R15" s="71" t="b">
        <f>IF('Cover Sheet'!$B$19="Non-Risk",1)</f>
        <v>0</v>
      </c>
      <c r="S15" s="64">
        <v>42556</v>
      </c>
      <c r="T15" s="64"/>
      <c r="U15" s="97">
        <f>IF(OR($E$13="N/A",AND(BD15=0,'Cover Sheet'!$B$29="Streamlined Review"),AND(E15="Met",F15&lt;&gt;""),AND(E15="Not Met",G15&lt;&gt;""),AND(E15="Unsure",G15&lt;&gt;""),AND(E15="N/A",H15&lt;&gt;""),AND(Y15=TRUE)),1,0)</f>
        <v>0</v>
      </c>
      <c r="V15" s="97"/>
      <c r="W15" s="97"/>
      <c r="X15" s="126" t="b">
        <f t="shared" si="1"/>
        <v>0</v>
      </c>
      <c r="Y15" s="126" t="b">
        <f t="shared" si="2"/>
        <v>0</v>
      </c>
      <c r="Z15" s="126">
        <f t="shared" si="3"/>
        <v>1</v>
      </c>
      <c r="AA15" s="126">
        <f t="shared" si="4"/>
        <v>0</v>
      </c>
      <c r="AB15" s="126">
        <f t="shared" si="5"/>
        <v>0</v>
      </c>
      <c r="AC15" s="126">
        <f t="shared" si="6"/>
        <v>0</v>
      </c>
      <c r="AD15" s="126">
        <f t="shared" si="7"/>
        <v>0</v>
      </c>
      <c r="AE15" s="126">
        <f t="shared" si="8"/>
        <v>0</v>
      </c>
      <c r="AF15" s="53" t="b">
        <f t="shared" si="9"/>
        <v>0</v>
      </c>
      <c r="AG15" s="54" t="b">
        <f t="shared" si="10"/>
        <v>0</v>
      </c>
      <c r="AL15" s="56" t="b">
        <f>IF(AND('Cover Sheet'!$B$19="Non-Risk",$R15=1),TRUE,FALSE)</f>
        <v>0</v>
      </c>
      <c r="AM15" s="56" t="b">
        <f t="shared" si="11"/>
        <v>0</v>
      </c>
      <c r="AT15" s="69">
        <v>1</v>
      </c>
      <c r="AU15" s="69">
        <f t="shared" si="12"/>
        <v>1</v>
      </c>
      <c r="BD15" s="110">
        <v>0</v>
      </c>
      <c r="BE15" s="126"/>
    </row>
    <row r="16" spans="1:57" ht="25.5" customHeight="1" x14ac:dyDescent="0.25">
      <c r="A16" s="294" t="s">
        <v>888</v>
      </c>
      <c r="B16" s="295" t="s">
        <v>889</v>
      </c>
      <c r="C16" s="295" t="s">
        <v>890</v>
      </c>
      <c r="D16" s="447">
        <v>2</v>
      </c>
      <c r="E16" s="297"/>
      <c r="F16" s="297"/>
      <c r="G16" s="297"/>
      <c r="H16" s="214"/>
      <c r="I16" s="92" t="s">
        <v>168</v>
      </c>
      <c r="J16" s="92" t="s">
        <v>178</v>
      </c>
      <c r="K16" s="92" t="s">
        <v>185</v>
      </c>
      <c r="L16" s="71" t="s">
        <v>190</v>
      </c>
      <c r="M16" s="71"/>
      <c r="N16" s="71"/>
      <c r="O16" s="71"/>
      <c r="P16" s="71" t="s">
        <v>380</v>
      </c>
      <c r="Q16" s="71" t="b">
        <f t="shared" si="0"/>
        <v>0</v>
      </c>
      <c r="R16" s="71" t="b">
        <f>IF('Cover Sheet'!$B$19="Non-Risk",1)</f>
        <v>0</v>
      </c>
      <c r="S16" s="64"/>
      <c r="T16" s="64"/>
      <c r="U16" s="97">
        <f>IF(OR($E$13="N/A",AND(BD16=0,'Cover Sheet'!$B$29="Streamlined Review"),AND(E16="Met",F16&lt;&gt;""),AND(E16="Not Met",G16&lt;&gt;""),AND(E16="Unsure",G16&lt;&gt;""),AND(E16="N/A",H16&lt;&gt;""),AND(Y16=TRUE)),1,0)</f>
        <v>0</v>
      </c>
      <c r="V16" s="97"/>
      <c r="W16" s="97"/>
      <c r="X16" s="126" t="b">
        <f t="shared" si="1"/>
        <v>0</v>
      </c>
      <c r="Y16" s="126" t="b">
        <f t="shared" si="2"/>
        <v>0</v>
      </c>
      <c r="Z16" s="126">
        <f t="shared" si="3"/>
        <v>1</v>
      </c>
      <c r="AA16" s="126">
        <f t="shared" si="4"/>
        <v>0</v>
      </c>
      <c r="AB16" s="126">
        <f t="shared" si="5"/>
        <v>0</v>
      </c>
      <c r="AC16" s="126">
        <f t="shared" si="6"/>
        <v>0</v>
      </c>
      <c r="AD16" s="126">
        <f t="shared" si="7"/>
        <v>0</v>
      </c>
      <c r="AE16" s="126">
        <f t="shared" si="8"/>
        <v>0</v>
      </c>
      <c r="AF16" s="53" t="b">
        <f t="shared" si="9"/>
        <v>0</v>
      </c>
      <c r="AG16" s="54" t="b">
        <f t="shared" si="10"/>
        <v>0</v>
      </c>
      <c r="AL16" s="56" t="b">
        <f>IF(AND('Cover Sheet'!$B$19="Non-Risk",$R16=1),TRUE,FALSE)</f>
        <v>0</v>
      </c>
      <c r="AM16" s="56" t="b">
        <f t="shared" si="11"/>
        <v>0</v>
      </c>
      <c r="AT16" s="69">
        <v>1</v>
      </c>
      <c r="AU16" s="69">
        <f t="shared" si="12"/>
        <v>1</v>
      </c>
      <c r="BD16" s="110">
        <v>0</v>
      </c>
      <c r="BE16" s="126"/>
    </row>
    <row r="17" spans="1:57" ht="29.25" customHeight="1" x14ac:dyDescent="0.25">
      <c r="A17" s="294" t="s">
        <v>891</v>
      </c>
      <c r="B17" s="295" t="s">
        <v>892</v>
      </c>
      <c r="C17" s="295" t="s">
        <v>893</v>
      </c>
      <c r="D17" s="447">
        <v>2</v>
      </c>
      <c r="E17" s="297"/>
      <c r="F17" s="297"/>
      <c r="G17" s="297"/>
      <c r="H17" s="214"/>
      <c r="I17" s="92" t="s">
        <v>168</v>
      </c>
      <c r="J17" s="92" t="s">
        <v>178</v>
      </c>
      <c r="K17" s="92" t="s">
        <v>185</v>
      </c>
      <c r="L17" s="71" t="s">
        <v>190</v>
      </c>
      <c r="M17" s="71"/>
      <c r="N17" s="71"/>
      <c r="O17" s="71"/>
      <c r="P17" s="71" t="s">
        <v>380</v>
      </c>
      <c r="Q17" s="71" t="b">
        <f t="shared" si="0"/>
        <v>0</v>
      </c>
      <c r="R17" s="71" t="b">
        <f>IF('Cover Sheet'!$B$19="Non-Risk",1)</f>
        <v>0</v>
      </c>
      <c r="S17" s="64"/>
      <c r="T17" s="64"/>
      <c r="U17" s="97">
        <f>IF(OR($E$13="N/A",AND(BD17=0,'Cover Sheet'!$B$29="Streamlined Review"),AND(E17="Met",F17&lt;&gt;""),AND(E17="Not Met",G17&lt;&gt;""),AND(E17="Unsure",G17&lt;&gt;""),AND(E17="N/A",H17&lt;&gt;""),AND(Y17=TRUE)),1,0)</f>
        <v>0</v>
      </c>
      <c r="V17" s="97"/>
      <c r="W17" s="97"/>
      <c r="X17" s="126" t="b">
        <f t="shared" si="1"/>
        <v>0</v>
      </c>
      <c r="Y17" s="126" t="b">
        <f t="shared" si="2"/>
        <v>0</v>
      </c>
      <c r="Z17" s="126">
        <f t="shared" si="3"/>
        <v>1</v>
      </c>
      <c r="AA17" s="126">
        <f t="shared" si="4"/>
        <v>0</v>
      </c>
      <c r="AB17" s="126">
        <f t="shared" si="5"/>
        <v>0</v>
      </c>
      <c r="AC17" s="126">
        <f t="shared" si="6"/>
        <v>0</v>
      </c>
      <c r="AD17" s="126">
        <f t="shared" si="7"/>
        <v>0</v>
      </c>
      <c r="AE17" s="126">
        <f t="shared" si="8"/>
        <v>0</v>
      </c>
      <c r="AF17" s="53" t="b">
        <f t="shared" si="9"/>
        <v>0</v>
      </c>
      <c r="AG17" s="54" t="b">
        <f t="shared" si="10"/>
        <v>0</v>
      </c>
      <c r="AL17" s="56" t="b">
        <f>IF(AND('Cover Sheet'!$B$19="Non-Risk",$R17=1),TRUE,FALSE)</f>
        <v>0</v>
      </c>
      <c r="AM17" s="56" t="b">
        <f t="shared" si="11"/>
        <v>0</v>
      </c>
      <c r="AT17" s="69">
        <v>1</v>
      </c>
      <c r="AU17" s="69">
        <f t="shared" si="12"/>
        <v>1</v>
      </c>
      <c r="BD17" s="110">
        <v>0</v>
      </c>
      <c r="BE17" s="126"/>
    </row>
    <row r="18" spans="1:57" ht="41.25" customHeight="1" x14ac:dyDescent="0.25">
      <c r="A18" s="294" t="s">
        <v>894</v>
      </c>
      <c r="B18" s="295" t="s">
        <v>895</v>
      </c>
      <c r="C18" s="295" t="s">
        <v>896</v>
      </c>
      <c r="D18" s="447">
        <v>2</v>
      </c>
      <c r="E18" s="297"/>
      <c r="F18" s="297"/>
      <c r="G18" s="297"/>
      <c r="H18" s="214"/>
      <c r="I18" s="92" t="s">
        <v>168</v>
      </c>
      <c r="J18" s="92" t="s">
        <v>178</v>
      </c>
      <c r="K18" s="92" t="s">
        <v>185</v>
      </c>
      <c r="L18" s="71" t="s">
        <v>190</v>
      </c>
      <c r="M18" s="71"/>
      <c r="N18" s="71"/>
      <c r="O18" s="71"/>
      <c r="P18" s="71" t="s">
        <v>380</v>
      </c>
      <c r="Q18" s="71" t="b">
        <f t="shared" si="0"/>
        <v>0</v>
      </c>
      <c r="R18" s="71" t="b">
        <f>IF('Cover Sheet'!$B$19="Non-Risk",1)</f>
        <v>0</v>
      </c>
      <c r="S18" s="64"/>
      <c r="T18" s="64"/>
      <c r="U18" s="97">
        <f>IF(OR($E$13="N/A",AND(BD18=0,'Cover Sheet'!$B$29="Streamlined Review"),AND(E18="Met",F18&lt;&gt;""),AND(E18="Not Met",G18&lt;&gt;""),AND(E18="Unsure",G18&lt;&gt;""),AND(E18="N/A",H18&lt;&gt;""),AND(Y18=TRUE)),1,0)</f>
        <v>0</v>
      </c>
      <c r="V18" s="97"/>
      <c r="W18" s="97"/>
      <c r="X18" s="126" t="b">
        <f t="shared" si="1"/>
        <v>0</v>
      </c>
      <c r="Y18" s="126" t="b">
        <f t="shared" si="2"/>
        <v>0</v>
      </c>
      <c r="Z18" s="126">
        <f t="shared" si="3"/>
        <v>1</v>
      </c>
      <c r="AA18" s="126">
        <f t="shared" si="4"/>
        <v>0</v>
      </c>
      <c r="AB18" s="126">
        <f t="shared" si="5"/>
        <v>0</v>
      </c>
      <c r="AC18" s="126">
        <f t="shared" si="6"/>
        <v>0</v>
      </c>
      <c r="AD18" s="126">
        <f t="shared" si="7"/>
        <v>0</v>
      </c>
      <c r="AE18" s="126">
        <f t="shared" si="8"/>
        <v>0</v>
      </c>
      <c r="AF18" s="53" t="b">
        <f t="shared" si="9"/>
        <v>0</v>
      </c>
      <c r="AG18" s="54" t="b">
        <f t="shared" si="10"/>
        <v>0</v>
      </c>
      <c r="AL18" s="56" t="b">
        <f>IF(AND('Cover Sheet'!$B$19="Non-Risk",$R18=1),TRUE,FALSE)</f>
        <v>0</v>
      </c>
      <c r="AM18" s="56" t="b">
        <f t="shared" si="11"/>
        <v>0</v>
      </c>
      <c r="AT18" s="69">
        <v>1</v>
      </c>
      <c r="AU18" s="69">
        <f t="shared" si="12"/>
        <v>1</v>
      </c>
      <c r="BD18" s="110">
        <v>0</v>
      </c>
      <c r="BE18" s="126"/>
    </row>
    <row r="19" spans="1:57" ht="45.75" customHeight="1" thickBot="1" x14ac:dyDescent="0.3">
      <c r="A19" s="294" t="s">
        <v>897</v>
      </c>
      <c r="B19" s="295" t="s">
        <v>898</v>
      </c>
      <c r="C19" s="295" t="s">
        <v>899</v>
      </c>
      <c r="D19" s="447" t="s">
        <v>437</v>
      </c>
      <c r="E19" s="297"/>
      <c r="F19" s="297"/>
      <c r="G19" s="297"/>
      <c r="H19" s="214"/>
      <c r="I19" s="92" t="s">
        <v>168</v>
      </c>
      <c r="J19" s="92" t="s">
        <v>178</v>
      </c>
      <c r="K19" s="92" t="s">
        <v>185</v>
      </c>
      <c r="L19" s="71" t="s">
        <v>190</v>
      </c>
      <c r="M19" s="71"/>
      <c r="N19" s="71"/>
      <c r="O19" s="71"/>
      <c r="P19" s="71" t="s">
        <v>380</v>
      </c>
      <c r="Q19" s="71" t="b">
        <f t="shared" si="0"/>
        <v>0</v>
      </c>
      <c r="R19" s="71" t="b">
        <f>IF('Cover Sheet'!$B$19="Non-Risk",1)</f>
        <v>0</v>
      </c>
      <c r="S19" s="64">
        <v>42556</v>
      </c>
      <c r="T19" s="64"/>
      <c r="U19" s="97">
        <f>IF(OR($E$13="N/A",AND(BD19=0,'Cover Sheet'!$B$29="Streamlined Review"),AND(E19="Met",F19&lt;&gt;""),AND(E19="Not Met",G19&lt;&gt;""),AND(E19="Unsure",G19&lt;&gt;""),AND(E19="N/A",H19&lt;&gt;""),AND(Y19=TRUE)),1,0)</f>
        <v>0</v>
      </c>
      <c r="V19" s="97"/>
      <c r="W19" s="97"/>
      <c r="X19" s="126" t="b">
        <f t="shared" si="1"/>
        <v>0</v>
      </c>
      <c r="Y19" s="126" t="b">
        <f t="shared" si="2"/>
        <v>0</v>
      </c>
      <c r="Z19" s="126">
        <f t="shared" si="3"/>
        <v>1</v>
      </c>
      <c r="AA19" s="126">
        <f t="shared" si="4"/>
        <v>0</v>
      </c>
      <c r="AB19" s="126">
        <f t="shared" si="5"/>
        <v>0</v>
      </c>
      <c r="AC19" s="126">
        <f t="shared" si="6"/>
        <v>0</v>
      </c>
      <c r="AD19" s="126">
        <f t="shared" si="7"/>
        <v>0</v>
      </c>
      <c r="AE19" s="126">
        <f t="shared" si="8"/>
        <v>0</v>
      </c>
      <c r="AF19" s="53" t="b">
        <f t="shared" si="9"/>
        <v>0</v>
      </c>
      <c r="AG19" s="54" t="b">
        <f t="shared" si="10"/>
        <v>0</v>
      </c>
      <c r="AL19" s="56" t="b">
        <f>IF(AND('Cover Sheet'!$B$19="Non-Risk",$R19=1),TRUE,FALSE)</f>
        <v>0</v>
      </c>
      <c r="AM19" s="56" t="b">
        <f t="shared" si="11"/>
        <v>0</v>
      </c>
      <c r="AT19" s="69">
        <v>1</v>
      </c>
      <c r="AU19" s="69">
        <f t="shared" si="12"/>
        <v>1</v>
      </c>
      <c r="BD19" s="110">
        <v>0</v>
      </c>
      <c r="BE19" s="126"/>
    </row>
    <row r="20" spans="1:57" ht="15.75" thickBot="1" x14ac:dyDescent="0.3">
      <c r="A20" s="450"/>
      <c r="B20" s="451"/>
      <c r="C20" s="452" t="s">
        <v>26</v>
      </c>
      <c r="D20" s="442"/>
      <c r="E20" s="443"/>
      <c r="F20" s="444"/>
      <c r="G20" s="444"/>
      <c r="H20" s="445"/>
      <c r="I20" s="74"/>
      <c r="J20" s="74"/>
      <c r="K20" s="74"/>
      <c r="L20" s="87"/>
      <c r="M20" s="87"/>
      <c r="S20" s="116"/>
      <c r="T20" s="116"/>
      <c r="U20" s="126"/>
      <c r="V20" s="126"/>
      <c r="W20" s="126"/>
      <c r="Z20" s="126"/>
      <c r="AA20" s="126"/>
      <c r="AB20" s="126"/>
      <c r="AC20" s="126"/>
      <c r="AD20" s="126"/>
      <c r="AE20" s="126"/>
      <c r="AL20" s="68"/>
      <c r="AM20" s="68"/>
      <c r="BD20" s="110"/>
      <c r="BE20" s="126"/>
    </row>
    <row r="21" spans="1:57" ht="32.25" customHeight="1" x14ac:dyDescent="0.25">
      <c r="A21" s="294" t="s">
        <v>900</v>
      </c>
      <c r="B21" s="295" t="s">
        <v>901</v>
      </c>
      <c r="C21" s="295" t="s">
        <v>902</v>
      </c>
      <c r="D21" s="447">
        <v>4</v>
      </c>
      <c r="E21" s="297"/>
      <c r="F21" s="297"/>
      <c r="G21" s="297"/>
      <c r="H21" s="214"/>
      <c r="I21" s="92" t="s">
        <v>168</v>
      </c>
      <c r="J21" s="92" t="s">
        <v>178</v>
      </c>
      <c r="K21" s="92" t="s">
        <v>185</v>
      </c>
      <c r="L21" s="71" t="s">
        <v>190</v>
      </c>
      <c r="M21" s="71"/>
      <c r="N21" s="71"/>
      <c r="O21" s="71"/>
      <c r="P21" s="71" t="s">
        <v>380</v>
      </c>
      <c r="Q21" s="71" t="b">
        <f t="shared" ref="Q21:Q26" si="13">IF(OR(AND($C$2="Base contract",$C$3="No, section requirements must be reviewed", $AF21=FALSE,$AG21=FALSE),AND($C$2="Contract amendment",$C$3="No, section requirements must be reviewed",$AF21=FALSE,$AG21=FALSE)),"MUNN")</f>
        <v>0</v>
      </c>
      <c r="R21" s="71" t="b">
        <f>IF('Cover Sheet'!$B$19="Non-Risk",1)</f>
        <v>0</v>
      </c>
      <c r="S21" s="64">
        <v>42917</v>
      </c>
      <c r="T21" s="64"/>
      <c r="U21" s="97">
        <f>IF(OR($E$20="N/A",AND(BD21=0,'Cover Sheet'!$B$29="Streamlined Review"),AND(E21="Met",F21&lt;&gt;""),AND(E21="Not Met",G21&lt;&gt;""),AND(E21="Unsure",G21&lt;&gt;""),AND(E21="N/A",H21&lt;&gt;""),AND(Y21=TRUE)),1,0)</f>
        <v>0</v>
      </c>
      <c r="V21" s="97"/>
      <c r="W21" s="97"/>
      <c r="X21" s="126" t="b">
        <f t="shared" ref="X21:X26" si="14">IF(OR(Y21=TRUE,R21=1),TRUE,FALSE)</f>
        <v>0</v>
      </c>
      <c r="Y21" s="126" t="b">
        <f t="shared" ref="Y21:Y26" si="15">IF(SUM(Z21:AE21)&lt;1,TRUE,FALSE)</f>
        <v>0</v>
      </c>
      <c r="Z21" s="126">
        <f t="shared" ref="Z21:Z26" si="16">IF($Z$2=I21,1,0)</f>
        <v>1</v>
      </c>
      <c r="AA21" s="126">
        <f t="shared" ref="AA21:AA26" si="17">IF($AA$2=J21,1,0)</f>
        <v>0</v>
      </c>
      <c r="AB21" s="126">
        <f t="shared" ref="AB21:AB26" si="18">IF($AB$2=K21,1,0)</f>
        <v>0</v>
      </c>
      <c r="AC21" s="126">
        <f t="shared" ref="AC21:AC26" si="19">IF($AC$2=L21,1,0)</f>
        <v>0</v>
      </c>
      <c r="AD21" s="126">
        <f t="shared" ref="AD21:AD26" si="20">IF($AD$2=M21,1,0)</f>
        <v>0</v>
      </c>
      <c r="AE21" s="126">
        <f t="shared" ref="AE21:AE26" si="21">IF($AE$2=O21,1,0)</f>
        <v>0</v>
      </c>
      <c r="AF21" s="53" t="b">
        <f t="shared" ref="AF21:AF26" si="22">IF($H$1&lt;&gt;0,IF($H$1&lt;&gt;I21,IF($H$1&lt;&gt;J21,IF($H$1&lt;&gt;K21,IF($H$1&lt;&gt;L21,IF($H$1&lt;&gt;M21,IF($H$1&lt;&gt;N21,IF($H$1&lt;&gt;O21,TRUE,FALSE))))))))</f>
        <v>0</v>
      </c>
      <c r="AG21" s="54" t="b">
        <f t="shared" ref="AG21:AG26" si="23">IF(OR(AL21=TRUE,AM21=TRUE),TRUE,FALSE)</f>
        <v>0</v>
      </c>
      <c r="AL21" s="56" t="b">
        <f>IF(AND('Cover Sheet'!$B$19="Non-Risk",$R21=1),TRUE,FALSE)</f>
        <v>0</v>
      </c>
      <c r="AM21" s="56" t="b">
        <f t="shared" ref="AM21:AM26" si="24">IF(OR(AND($H$6="Medicaid",MID($A21,1,FIND(".",$A21,1)-1)="II"),AND($H$6="CHIP",MID($A21,1,FIND(".",$A21,1)-1)="I")),TRUE,FALSE)</f>
        <v>0</v>
      </c>
      <c r="AT21" s="69">
        <v>1</v>
      </c>
      <c r="AU21" s="69">
        <f t="shared" ref="AU21:AU26" si="25">IF(AT21=1,1,"")</f>
        <v>1</v>
      </c>
      <c r="BD21" s="110">
        <v>0</v>
      </c>
      <c r="BE21" s="126"/>
    </row>
    <row r="22" spans="1:57" ht="28.5" customHeight="1" x14ac:dyDescent="0.25">
      <c r="A22" s="294" t="s">
        <v>903</v>
      </c>
      <c r="B22" s="295" t="s">
        <v>901</v>
      </c>
      <c r="C22" s="295" t="s">
        <v>904</v>
      </c>
      <c r="D22" s="447">
        <v>4</v>
      </c>
      <c r="E22" s="297"/>
      <c r="F22" s="297"/>
      <c r="G22" s="297"/>
      <c r="H22" s="214"/>
      <c r="I22" s="92" t="s">
        <v>168</v>
      </c>
      <c r="J22" s="92" t="s">
        <v>178</v>
      </c>
      <c r="K22" s="92" t="s">
        <v>185</v>
      </c>
      <c r="L22" s="71" t="s">
        <v>190</v>
      </c>
      <c r="M22" s="71"/>
      <c r="N22" s="71"/>
      <c r="O22" s="71"/>
      <c r="P22" s="71" t="s">
        <v>380</v>
      </c>
      <c r="Q22" s="71" t="b">
        <f t="shared" si="13"/>
        <v>0</v>
      </c>
      <c r="R22" s="71" t="b">
        <f>IF('Cover Sheet'!$B$19="Non-Risk",1)</f>
        <v>0</v>
      </c>
      <c r="S22" s="64">
        <v>42917</v>
      </c>
      <c r="T22" s="64"/>
      <c r="U22" s="97">
        <f>IF(OR($E$20="N/A",AND(BD22=0,'Cover Sheet'!$B$29="Streamlined Review"),AND(E22="Met",F22&lt;&gt;""),AND(E22="Not Met",G22&lt;&gt;""),AND(E22="Unsure",G22&lt;&gt;""),AND(E22="N/A",H22&lt;&gt;""),AND(Y22=TRUE)),1,0)</f>
        <v>0</v>
      </c>
      <c r="V22" s="97"/>
      <c r="W22" s="97"/>
      <c r="X22" s="126" t="b">
        <f t="shared" si="14"/>
        <v>0</v>
      </c>
      <c r="Y22" s="126" t="b">
        <f t="shared" si="15"/>
        <v>0</v>
      </c>
      <c r="Z22" s="126">
        <f t="shared" si="16"/>
        <v>1</v>
      </c>
      <c r="AA22" s="126">
        <f t="shared" si="17"/>
        <v>0</v>
      </c>
      <c r="AB22" s="126">
        <f t="shared" si="18"/>
        <v>0</v>
      </c>
      <c r="AC22" s="126">
        <f t="shared" si="19"/>
        <v>0</v>
      </c>
      <c r="AD22" s="126">
        <f t="shared" si="20"/>
        <v>0</v>
      </c>
      <c r="AE22" s="126">
        <f t="shared" si="21"/>
        <v>0</v>
      </c>
      <c r="AF22" s="53" t="b">
        <f t="shared" si="22"/>
        <v>0</v>
      </c>
      <c r="AG22" s="54" t="b">
        <f t="shared" si="23"/>
        <v>0</v>
      </c>
      <c r="AL22" s="56" t="b">
        <f>IF(AND('Cover Sheet'!$B$19="Non-Risk",$R22=1),TRUE,FALSE)</f>
        <v>0</v>
      </c>
      <c r="AM22" s="56" t="b">
        <f t="shared" si="24"/>
        <v>0</v>
      </c>
      <c r="AT22" s="69">
        <v>1</v>
      </c>
      <c r="AU22" s="69">
        <f t="shared" si="25"/>
        <v>1</v>
      </c>
      <c r="BD22" s="110">
        <v>0</v>
      </c>
      <c r="BE22" s="126"/>
    </row>
    <row r="23" spans="1:57" ht="30.75" customHeight="1" x14ac:dyDescent="0.25">
      <c r="A23" s="294" t="s">
        <v>905</v>
      </c>
      <c r="B23" s="295" t="s">
        <v>906</v>
      </c>
      <c r="C23" s="295" t="s">
        <v>907</v>
      </c>
      <c r="D23" s="447">
        <v>4</v>
      </c>
      <c r="E23" s="297"/>
      <c r="F23" s="297"/>
      <c r="G23" s="297"/>
      <c r="H23" s="214"/>
      <c r="I23" s="92" t="s">
        <v>168</v>
      </c>
      <c r="J23" s="92" t="s">
        <v>178</v>
      </c>
      <c r="K23" s="92" t="s">
        <v>185</v>
      </c>
      <c r="L23" s="71" t="s">
        <v>190</v>
      </c>
      <c r="M23" s="71"/>
      <c r="N23" s="71"/>
      <c r="O23" s="71"/>
      <c r="P23" s="71" t="s">
        <v>380</v>
      </c>
      <c r="Q23" s="71" t="b">
        <f t="shared" si="13"/>
        <v>0</v>
      </c>
      <c r="R23" s="71" t="b">
        <f>IF('Cover Sheet'!$B$19="Non-Risk",1)</f>
        <v>0</v>
      </c>
      <c r="S23" s="64">
        <v>42917</v>
      </c>
      <c r="T23" s="64"/>
      <c r="U23" s="97">
        <f>IF(OR($E$20="N/A",AND(BD23=0,'Cover Sheet'!$B$29="Streamlined Review"),AND(E23="Met",F23&lt;&gt;""),AND(E23="Not Met",G23&lt;&gt;""),AND(E23="Unsure",G23&lt;&gt;""),AND(E23="N/A",H23&lt;&gt;""),AND(Y23=TRUE)),1,0)</f>
        <v>0</v>
      </c>
      <c r="V23" s="97"/>
      <c r="W23" s="97"/>
      <c r="X23" s="126" t="b">
        <f t="shared" si="14"/>
        <v>0</v>
      </c>
      <c r="Y23" s="126" t="b">
        <f t="shared" si="15"/>
        <v>0</v>
      </c>
      <c r="Z23" s="126">
        <f t="shared" si="16"/>
        <v>1</v>
      </c>
      <c r="AA23" s="126">
        <f t="shared" si="17"/>
        <v>0</v>
      </c>
      <c r="AB23" s="126">
        <f t="shared" si="18"/>
        <v>0</v>
      </c>
      <c r="AC23" s="126">
        <f t="shared" si="19"/>
        <v>0</v>
      </c>
      <c r="AD23" s="126">
        <f t="shared" si="20"/>
        <v>0</v>
      </c>
      <c r="AE23" s="126">
        <f t="shared" si="21"/>
        <v>0</v>
      </c>
      <c r="AF23" s="53" t="b">
        <f t="shared" si="22"/>
        <v>0</v>
      </c>
      <c r="AG23" s="54" t="b">
        <f t="shared" si="23"/>
        <v>0</v>
      </c>
      <c r="AL23" s="56" t="b">
        <f>IF(AND('Cover Sheet'!$B$19="Non-Risk",$R23=1),TRUE,FALSE)</f>
        <v>0</v>
      </c>
      <c r="AM23" s="56" t="b">
        <f t="shared" si="24"/>
        <v>0</v>
      </c>
      <c r="AT23" s="69">
        <v>1</v>
      </c>
      <c r="AU23" s="69">
        <f t="shared" si="25"/>
        <v>1</v>
      </c>
      <c r="BD23" s="110">
        <v>0</v>
      </c>
      <c r="BE23" s="126"/>
    </row>
    <row r="24" spans="1:57" ht="30.75" customHeight="1" x14ac:dyDescent="0.25">
      <c r="A24" s="294" t="s">
        <v>908</v>
      </c>
      <c r="B24" s="295" t="s">
        <v>909</v>
      </c>
      <c r="C24" s="295" t="s">
        <v>910</v>
      </c>
      <c r="D24" s="447">
        <v>4</v>
      </c>
      <c r="E24" s="297"/>
      <c r="F24" s="297"/>
      <c r="G24" s="297"/>
      <c r="H24" s="214"/>
      <c r="I24" s="92" t="s">
        <v>168</v>
      </c>
      <c r="J24" s="92" t="s">
        <v>178</v>
      </c>
      <c r="K24" s="92" t="s">
        <v>185</v>
      </c>
      <c r="L24" s="71" t="s">
        <v>190</v>
      </c>
      <c r="M24" s="71"/>
      <c r="N24" s="71"/>
      <c r="O24" s="71"/>
      <c r="P24" s="71" t="s">
        <v>380</v>
      </c>
      <c r="Q24" s="71" t="b">
        <f t="shared" si="13"/>
        <v>0</v>
      </c>
      <c r="R24" s="71" t="b">
        <f>IF('Cover Sheet'!$B$19="Non-Risk",1)</f>
        <v>0</v>
      </c>
      <c r="S24" s="64">
        <v>42917</v>
      </c>
      <c r="T24" s="64"/>
      <c r="U24" s="97">
        <f>IF(OR($E$20="N/A",AND(BD24=0,'Cover Sheet'!$B$29="Streamlined Review"),AND(E24="Met",F24&lt;&gt;""),AND(E24="Not Met",G24&lt;&gt;""),AND(E24="Unsure",G24&lt;&gt;""),AND(E24="N/A",H24&lt;&gt;""),AND(Y24=TRUE)),1,0)</f>
        <v>0</v>
      </c>
      <c r="V24" s="97"/>
      <c r="W24" s="97"/>
      <c r="X24" s="126" t="b">
        <f t="shared" si="14"/>
        <v>0</v>
      </c>
      <c r="Y24" s="126" t="b">
        <f t="shared" si="15"/>
        <v>0</v>
      </c>
      <c r="Z24" s="126">
        <f t="shared" si="16"/>
        <v>1</v>
      </c>
      <c r="AA24" s="126">
        <f t="shared" si="17"/>
        <v>0</v>
      </c>
      <c r="AB24" s="126">
        <f t="shared" si="18"/>
        <v>0</v>
      </c>
      <c r="AC24" s="126">
        <f t="shared" si="19"/>
        <v>0</v>
      </c>
      <c r="AD24" s="126">
        <f t="shared" si="20"/>
        <v>0</v>
      </c>
      <c r="AE24" s="126">
        <f t="shared" si="21"/>
        <v>0</v>
      </c>
      <c r="AF24" s="53" t="b">
        <f t="shared" si="22"/>
        <v>0</v>
      </c>
      <c r="AG24" s="54" t="b">
        <f t="shared" si="23"/>
        <v>0</v>
      </c>
      <c r="AL24" s="56" t="b">
        <f>IF(AND('Cover Sheet'!$B$19="Non-Risk",$R24=1),TRUE,FALSE)</f>
        <v>0</v>
      </c>
      <c r="AM24" s="56" t="b">
        <f t="shared" si="24"/>
        <v>0</v>
      </c>
      <c r="AT24" s="69">
        <v>1</v>
      </c>
      <c r="AU24" s="69">
        <f t="shared" si="25"/>
        <v>1</v>
      </c>
      <c r="BD24" s="110">
        <v>0</v>
      </c>
      <c r="BE24" s="126"/>
    </row>
    <row r="25" spans="1:57" ht="45.75" customHeight="1" x14ac:dyDescent="0.25">
      <c r="A25" s="294" t="s">
        <v>911</v>
      </c>
      <c r="B25" s="295" t="s">
        <v>912</v>
      </c>
      <c r="C25" s="295" t="s">
        <v>913</v>
      </c>
      <c r="D25" s="447">
        <v>4</v>
      </c>
      <c r="E25" s="297"/>
      <c r="F25" s="297"/>
      <c r="G25" s="297"/>
      <c r="H25" s="214"/>
      <c r="I25" s="92" t="s">
        <v>168</v>
      </c>
      <c r="J25" s="92" t="s">
        <v>178</v>
      </c>
      <c r="K25" s="92" t="s">
        <v>185</v>
      </c>
      <c r="L25" s="71" t="s">
        <v>190</v>
      </c>
      <c r="M25" s="71"/>
      <c r="N25" s="71"/>
      <c r="O25" s="71"/>
      <c r="P25" s="71" t="s">
        <v>380</v>
      </c>
      <c r="Q25" s="71" t="b">
        <f t="shared" si="13"/>
        <v>0</v>
      </c>
      <c r="R25" s="71" t="b">
        <f>IF('Cover Sheet'!$B$19="Non-Risk",1)</f>
        <v>0</v>
      </c>
      <c r="S25" s="64">
        <v>42917</v>
      </c>
      <c r="T25" s="64"/>
      <c r="U25" s="97">
        <f>IF(OR($E$20="N/A",AND(BD25=0,'Cover Sheet'!$B$29="Streamlined Review"),AND(E25="Met",F25&lt;&gt;""),AND(E25="Not Met",G25&lt;&gt;""),AND(E25="Unsure",G25&lt;&gt;""),AND(E25="N/A",H25&lt;&gt;""),AND(Y25=TRUE)),1,0)</f>
        <v>0</v>
      </c>
      <c r="V25" s="97"/>
      <c r="W25" s="97"/>
      <c r="X25" s="126" t="b">
        <f t="shared" si="14"/>
        <v>0</v>
      </c>
      <c r="Y25" s="126" t="b">
        <f t="shared" si="15"/>
        <v>0</v>
      </c>
      <c r="Z25" s="126">
        <f t="shared" si="16"/>
        <v>1</v>
      </c>
      <c r="AA25" s="126">
        <f t="shared" si="17"/>
        <v>0</v>
      </c>
      <c r="AB25" s="126">
        <f t="shared" si="18"/>
        <v>0</v>
      </c>
      <c r="AC25" s="126">
        <f t="shared" si="19"/>
        <v>0</v>
      </c>
      <c r="AD25" s="126">
        <f t="shared" si="20"/>
        <v>0</v>
      </c>
      <c r="AE25" s="126">
        <f t="shared" si="21"/>
        <v>0</v>
      </c>
      <c r="AF25" s="53" t="b">
        <f t="shared" si="22"/>
        <v>0</v>
      </c>
      <c r="AG25" s="54" t="b">
        <f t="shared" si="23"/>
        <v>0</v>
      </c>
      <c r="AL25" s="56" t="b">
        <f>IF(AND('Cover Sheet'!$B$19="Non-Risk",$R25=1),TRUE,FALSE)</f>
        <v>0</v>
      </c>
      <c r="AM25" s="56" t="b">
        <f t="shared" si="24"/>
        <v>0</v>
      </c>
      <c r="AT25" s="69">
        <v>1</v>
      </c>
      <c r="AU25" s="69">
        <f t="shared" si="25"/>
        <v>1</v>
      </c>
      <c r="BD25" s="110">
        <v>0</v>
      </c>
      <c r="BE25" s="126"/>
    </row>
    <row r="26" spans="1:57" ht="45" customHeight="1" thickBot="1" x14ac:dyDescent="0.3">
      <c r="A26" s="294" t="s">
        <v>914</v>
      </c>
      <c r="B26" s="295" t="s">
        <v>915</v>
      </c>
      <c r="C26" s="295" t="s">
        <v>916</v>
      </c>
      <c r="D26" s="447" t="s">
        <v>917</v>
      </c>
      <c r="E26" s="297"/>
      <c r="F26" s="297"/>
      <c r="G26" s="297"/>
      <c r="H26" s="214"/>
      <c r="I26" s="92" t="s">
        <v>168</v>
      </c>
      <c r="J26" s="92" t="s">
        <v>178</v>
      </c>
      <c r="K26" s="92" t="s">
        <v>185</v>
      </c>
      <c r="L26" s="71" t="s">
        <v>190</v>
      </c>
      <c r="M26" s="71"/>
      <c r="N26" s="71"/>
      <c r="O26" s="71"/>
      <c r="P26" s="71" t="s">
        <v>380</v>
      </c>
      <c r="Q26" s="71" t="b">
        <f t="shared" si="13"/>
        <v>0</v>
      </c>
      <c r="R26" s="71" t="b">
        <f>IF('Cover Sheet'!$B$19="Non-Risk",1)</f>
        <v>0</v>
      </c>
      <c r="S26" s="64">
        <v>42917</v>
      </c>
      <c r="T26" s="64"/>
      <c r="U26" s="97">
        <f>IF(OR($E$20="N/A",AND(BD26=0,'Cover Sheet'!$B$29="Streamlined Review"),AND(E26="Met",F26&lt;&gt;""),AND(E26="Not Met",G26&lt;&gt;""),AND(E26="Unsure",G26&lt;&gt;""),AND(E26="N/A",H26&lt;&gt;""),AND(Y26=TRUE)),1,0)</f>
        <v>0</v>
      </c>
      <c r="V26" s="97"/>
      <c r="W26" s="97"/>
      <c r="X26" s="126" t="b">
        <f t="shared" si="14"/>
        <v>0</v>
      </c>
      <c r="Y26" s="126" t="b">
        <f t="shared" si="15"/>
        <v>0</v>
      </c>
      <c r="Z26" s="126">
        <f t="shared" si="16"/>
        <v>1</v>
      </c>
      <c r="AA26" s="126">
        <f t="shared" si="17"/>
        <v>0</v>
      </c>
      <c r="AB26" s="126">
        <f t="shared" si="18"/>
        <v>0</v>
      </c>
      <c r="AC26" s="126">
        <f t="shared" si="19"/>
        <v>0</v>
      </c>
      <c r="AD26" s="126">
        <f t="shared" si="20"/>
        <v>0</v>
      </c>
      <c r="AE26" s="126">
        <f t="shared" si="21"/>
        <v>0</v>
      </c>
      <c r="AF26" s="53" t="b">
        <f t="shared" si="22"/>
        <v>0</v>
      </c>
      <c r="AG26" s="54" t="b">
        <f t="shared" si="23"/>
        <v>0</v>
      </c>
      <c r="AL26" s="56" t="b">
        <f>IF(AND('Cover Sheet'!$B$19="Non-Risk",$R26=1),TRUE,FALSE)</f>
        <v>0</v>
      </c>
      <c r="AM26" s="56" t="b">
        <f t="shared" si="24"/>
        <v>0</v>
      </c>
      <c r="AT26" s="69">
        <v>1</v>
      </c>
      <c r="AU26" s="69">
        <f t="shared" si="25"/>
        <v>1</v>
      </c>
      <c r="BD26" s="110">
        <v>0</v>
      </c>
      <c r="BE26" s="126"/>
    </row>
    <row r="27" spans="1:57" ht="15.75" thickBot="1" x14ac:dyDescent="0.3">
      <c r="A27" s="450"/>
      <c r="B27" s="451"/>
      <c r="C27" s="452" t="s">
        <v>27</v>
      </c>
      <c r="D27" s="442"/>
      <c r="E27" s="443"/>
      <c r="F27" s="444"/>
      <c r="G27" s="444"/>
      <c r="H27" s="445"/>
      <c r="I27" s="74"/>
      <c r="J27" s="74"/>
      <c r="K27" s="74"/>
      <c r="L27" s="87"/>
      <c r="M27" s="87"/>
      <c r="S27" s="116"/>
      <c r="T27" s="116"/>
      <c r="U27" s="126"/>
      <c r="V27" s="126"/>
      <c r="W27" s="126"/>
      <c r="Z27" s="126"/>
      <c r="AA27" s="126"/>
      <c r="AB27" s="126"/>
      <c r="AC27" s="126"/>
      <c r="AD27" s="126"/>
      <c r="AE27" s="126"/>
      <c r="AL27" s="68"/>
      <c r="AM27" s="68"/>
      <c r="BD27" s="110"/>
      <c r="BE27" s="126"/>
    </row>
    <row r="28" spans="1:57" ht="30" customHeight="1" x14ac:dyDescent="0.25">
      <c r="A28" s="294" t="s">
        <v>918</v>
      </c>
      <c r="B28" s="295" t="s">
        <v>919</v>
      </c>
      <c r="C28" s="295" t="s">
        <v>920</v>
      </c>
      <c r="D28" s="446"/>
      <c r="E28" s="297"/>
      <c r="F28" s="297"/>
      <c r="G28" s="297"/>
      <c r="H28" s="214"/>
      <c r="I28" s="92" t="s">
        <v>168</v>
      </c>
      <c r="J28" s="92" t="s">
        <v>178</v>
      </c>
      <c r="K28" s="92" t="s">
        <v>185</v>
      </c>
      <c r="L28" s="71" t="s">
        <v>190</v>
      </c>
      <c r="M28" s="71"/>
      <c r="N28" s="71"/>
      <c r="O28" s="71"/>
      <c r="P28" s="71" t="s">
        <v>380</v>
      </c>
      <c r="Q28" s="71"/>
      <c r="R28" s="71"/>
      <c r="S28" s="64">
        <v>42917</v>
      </c>
      <c r="T28" s="64"/>
      <c r="U28" s="97">
        <f>IF(OR($E$27="N/A",AND(BD28=0,'Cover Sheet'!$B$29="Streamlined Review"),AND(E28="Met",F28&lt;&gt;""),AND(E28="Not Met",G28&lt;&gt;""),AND(E28="Unsure",G28&lt;&gt;""),AND(E28="N/A",H28&lt;&gt;""),AND(Y28=TRUE)),1,0)</f>
        <v>0</v>
      </c>
      <c r="V28" s="97"/>
      <c r="W28" s="97"/>
      <c r="X28" s="126" t="b">
        <f t="shared" ref="X28:X50" si="26">IF(OR(Y28=TRUE,R28=1),TRUE,FALSE)</f>
        <v>0</v>
      </c>
      <c r="Y28" s="126" t="b">
        <f>IF(SUM(Z28:AE28)&lt;1,TRUE,FALSE)</f>
        <v>0</v>
      </c>
      <c r="Z28" s="126">
        <f t="shared" ref="Z28:Z62" si="27">IF($Z$2=I28,1,0)</f>
        <v>1</v>
      </c>
      <c r="AA28" s="126">
        <f t="shared" ref="AA28:AA62" si="28">IF($AA$2=J28,1,0)</f>
        <v>0</v>
      </c>
      <c r="AB28" s="126">
        <f t="shared" ref="AB28:AB62" si="29">IF($AB$2=K28,1,0)</f>
        <v>0</v>
      </c>
      <c r="AC28" s="126">
        <f t="shared" ref="AC28:AC62" si="30">IF($AC$2=L28,1,0)</f>
        <v>0</v>
      </c>
      <c r="AD28" s="126">
        <f t="shared" ref="AD28:AD62" si="31">IF($AD$2=M28,1,0)</f>
        <v>0</v>
      </c>
      <c r="AE28" s="126">
        <f t="shared" ref="AE28:AE62" si="32">IF($AE$2=O28,1,0)</f>
        <v>0</v>
      </c>
      <c r="AF28" s="53" t="b">
        <f t="shared" ref="AF28:AF62" si="33">IF($H$1&lt;&gt;0,IF($H$1&lt;&gt;I28,IF($H$1&lt;&gt;J28,IF($H$1&lt;&gt;K28,IF($H$1&lt;&gt;L28,IF($H$1&lt;&gt;M28,IF($H$1&lt;&gt;N28,IF($H$1&lt;&gt;O28,TRUE,FALSE))))))))</f>
        <v>0</v>
      </c>
      <c r="AG28" s="54" t="b">
        <f t="shared" ref="AG28:AG73" si="34">IF(OR(AL28=TRUE,AM28=TRUE),TRUE,FALSE)</f>
        <v>0</v>
      </c>
      <c r="AL28" s="56" t="b">
        <f>IF(AND('Cover Sheet'!$B$19="Non-Risk",$R28=1),TRUE,FALSE)</f>
        <v>0</v>
      </c>
      <c r="AM28" s="56" t="b">
        <f t="shared" ref="AM28:AM62" si="35">IF(OR(AND($H$6="Medicaid",MID($A28,1,FIND(".",$A28,1)-1)="II"),AND($H$6="CHIP",MID($A28,1,FIND(".",$A28,1)-1)="I")),TRUE,FALSE)</f>
        <v>0</v>
      </c>
      <c r="AU28" s="69" t="str">
        <f t="shared" ref="AU28:AU62" si="36">IF(AT28=1,1,"")</f>
        <v/>
      </c>
      <c r="BD28" s="110">
        <v>0</v>
      </c>
      <c r="BE28" s="126"/>
    </row>
    <row r="29" spans="1:57" ht="31.5" customHeight="1" x14ac:dyDescent="0.25">
      <c r="A29" s="294" t="s">
        <v>921</v>
      </c>
      <c r="B29" s="295" t="s">
        <v>922</v>
      </c>
      <c r="C29" s="295" t="s">
        <v>923</v>
      </c>
      <c r="D29" s="470" t="s">
        <v>924</v>
      </c>
      <c r="E29" s="297"/>
      <c r="F29" s="297"/>
      <c r="G29" s="297"/>
      <c r="H29" s="214"/>
      <c r="I29" s="92" t="s">
        <v>168</v>
      </c>
      <c r="J29" s="92" t="s">
        <v>178</v>
      </c>
      <c r="K29" s="92" t="s">
        <v>185</v>
      </c>
      <c r="L29" s="71" t="s">
        <v>190</v>
      </c>
      <c r="M29" s="71"/>
      <c r="N29" s="71"/>
      <c r="O29" s="71"/>
      <c r="P29" s="71" t="s">
        <v>380</v>
      </c>
      <c r="Q29" s="71" t="b">
        <f t="shared" ref="Q29:Q62" si="37">IF(OR(AND($C$2="Base contract",$C$3="No, section requirements must be reviewed", $AF29=FALSE,$AG29=FALSE),AND($C$2="Contract amendment",$C$3="No, section requirements must be reviewed",$AF29=FALSE,$AG29=FALSE)),"MUNN")</f>
        <v>0</v>
      </c>
      <c r="R29" s="71" t="b">
        <f>IF('Cover Sheet'!$B$19="Non-Risk",1)</f>
        <v>0</v>
      </c>
      <c r="S29" s="64">
        <v>42917</v>
      </c>
      <c r="T29" s="64"/>
      <c r="U29" s="97">
        <f>IF(OR($E$27="N/A",AND(BD29=0,'Cover Sheet'!$B$29="Streamlined Review"),AND(E29="Met",F29&lt;&gt;""),AND(E29="Not Met",G29&lt;&gt;""),AND(E29="Unsure",G29&lt;&gt;""),AND(E29="N/A",H29&lt;&gt;""),AND(Y29=TRUE)),1,0)</f>
        <v>0</v>
      </c>
      <c r="V29" s="97"/>
      <c r="W29" s="97"/>
      <c r="X29" s="126" t="b">
        <f t="shared" si="26"/>
        <v>0</v>
      </c>
      <c r="Y29" s="126" t="b">
        <f t="shared" ref="Y29:Y62" si="38">IF(SUM(Z29:AE29)&lt;1,TRUE,FALSE)</f>
        <v>0</v>
      </c>
      <c r="Z29" s="126">
        <f t="shared" si="27"/>
        <v>1</v>
      </c>
      <c r="AA29" s="126">
        <f t="shared" si="28"/>
        <v>0</v>
      </c>
      <c r="AB29" s="126">
        <f t="shared" si="29"/>
        <v>0</v>
      </c>
      <c r="AC29" s="126">
        <f t="shared" si="30"/>
        <v>0</v>
      </c>
      <c r="AD29" s="126">
        <f t="shared" si="31"/>
        <v>0</v>
      </c>
      <c r="AE29" s="126">
        <f t="shared" si="32"/>
        <v>0</v>
      </c>
      <c r="AF29" s="53" t="b">
        <f t="shared" si="33"/>
        <v>0</v>
      </c>
      <c r="AG29" s="54" t="b">
        <f t="shared" si="34"/>
        <v>0</v>
      </c>
      <c r="AL29" s="56" t="b">
        <f>IF(AND('Cover Sheet'!$B$19="Non-Risk",$R29=1),TRUE,FALSE)</f>
        <v>0</v>
      </c>
      <c r="AM29" s="56" t="b">
        <f t="shared" si="35"/>
        <v>0</v>
      </c>
      <c r="AU29" s="69" t="str">
        <f t="shared" si="36"/>
        <v/>
      </c>
      <c r="BD29" s="110">
        <v>1</v>
      </c>
      <c r="BE29" s="126"/>
    </row>
    <row r="30" spans="1:57" ht="53.45" customHeight="1" x14ac:dyDescent="0.25">
      <c r="A30" s="294" t="s">
        <v>925</v>
      </c>
      <c r="B30" s="295" t="s">
        <v>926</v>
      </c>
      <c r="C30" s="295" t="s">
        <v>927</v>
      </c>
      <c r="D30" s="470" t="s">
        <v>924</v>
      </c>
      <c r="E30" s="297"/>
      <c r="F30" s="297"/>
      <c r="G30" s="297"/>
      <c r="H30" s="214"/>
      <c r="I30" s="92" t="s">
        <v>168</v>
      </c>
      <c r="J30" s="92" t="s">
        <v>178</v>
      </c>
      <c r="K30" s="92" t="s">
        <v>185</v>
      </c>
      <c r="L30" s="71" t="s">
        <v>190</v>
      </c>
      <c r="M30" s="71"/>
      <c r="N30" s="71"/>
      <c r="O30" s="71"/>
      <c r="P30" s="71" t="s">
        <v>380</v>
      </c>
      <c r="Q30" s="71" t="b">
        <f t="shared" si="37"/>
        <v>0</v>
      </c>
      <c r="R30" s="71" t="b">
        <f>IF('Cover Sheet'!$B$19="Non-Risk",1)</f>
        <v>0</v>
      </c>
      <c r="S30" s="64">
        <v>42917</v>
      </c>
      <c r="T30" s="64"/>
      <c r="U30" s="97">
        <f>IF(OR($E$27="N/A",AND(BD30=0,'Cover Sheet'!$B$29="Streamlined Review"),AND(E30="Met",F30&lt;&gt;""),AND(E30="Not Met",G30&lt;&gt;""),AND(E30="Unsure",G30&lt;&gt;""),AND(E30="N/A",H30&lt;&gt;""),AND(Y30=TRUE)),1,0)</f>
        <v>0</v>
      </c>
      <c r="V30" s="97"/>
      <c r="W30" s="97"/>
      <c r="X30" s="126" t="b">
        <f t="shared" si="26"/>
        <v>0</v>
      </c>
      <c r="Y30" s="126" t="b">
        <f t="shared" si="38"/>
        <v>0</v>
      </c>
      <c r="Z30" s="126">
        <f t="shared" si="27"/>
        <v>1</v>
      </c>
      <c r="AA30" s="126">
        <f t="shared" si="28"/>
        <v>0</v>
      </c>
      <c r="AB30" s="126">
        <f t="shared" si="29"/>
        <v>0</v>
      </c>
      <c r="AC30" s="126">
        <f t="shared" si="30"/>
        <v>0</v>
      </c>
      <c r="AD30" s="126">
        <f t="shared" si="31"/>
        <v>0</v>
      </c>
      <c r="AE30" s="126">
        <f t="shared" si="32"/>
        <v>0</v>
      </c>
      <c r="AF30" s="53" t="b">
        <f t="shared" si="33"/>
        <v>0</v>
      </c>
      <c r="AG30" s="54" t="b">
        <f t="shared" si="34"/>
        <v>0</v>
      </c>
      <c r="AL30" s="56" t="b">
        <f>IF(AND('Cover Sheet'!$B$19="Non-Risk",$R30=1),TRUE,FALSE)</f>
        <v>0</v>
      </c>
      <c r="AM30" s="56" t="b">
        <f t="shared" si="35"/>
        <v>0</v>
      </c>
      <c r="AU30" s="69" t="str">
        <f t="shared" si="36"/>
        <v/>
      </c>
      <c r="BD30" s="110">
        <v>1</v>
      </c>
      <c r="BE30" s="126"/>
    </row>
    <row r="31" spans="1:57" ht="43.5" customHeight="1" x14ac:dyDescent="0.25">
      <c r="A31" s="294" t="s">
        <v>928</v>
      </c>
      <c r="B31" s="295" t="s">
        <v>929</v>
      </c>
      <c r="C31" s="295" t="s">
        <v>930</v>
      </c>
      <c r="D31" s="447" t="s">
        <v>931</v>
      </c>
      <c r="E31" s="297"/>
      <c r="F31" s="297"/>
      <c r="G31" s="297"/>
      <c r="H31" s="214"/>
      <c r="I31" s="92" t="s">
        <v>168</v>
      </c>
      <c r="J31" s="92" t="s">
        <v>178</v>
      </c>
      <c r="K31" s="92" t="s">
        <v>185</v>
      </c>
      <c r="L31" s="71" t="s">
        <v>190</v>
      </c>
      <c r="M31" s="71"/>
      <c r="N31" s="71"/>
      <c r="O31" s="71"/>
      <c r="P31" s="71" t="s">
        <v>380</v>
      </c>
      <c r="Q31" s="71" t="b">
        <f t="shared" si="37"/>
        <v>0</v>
      </c>
      <c r="R31" s="71" t="b">
        <f>IF('Cover Sheet'!$B$19="Non-Risk",1)</f>
        <v>0</v>
      </c>
      <c r="S31" s="64">
        <v>42917</v>
      </c>
      <c r="T31" s="64"/>
      <c r="U31" s="97">
        <f>IF(OR($E$27="N/A",AND(BD31=0,'Cover Sheet'!$B$29="Streamlined Review"),AND(E31="Met",F31&lt;&gt;""),AND(E31="Not Met",G31&lt;&gt;""),AND(E31="Unsure",G31&lt;&gt;""),AND(E31="N/A",H31&lt;&gt;""),AND(Y31=TRUE)),1,0)</f>
        <v>0</v>
      </c>
      <c r="V31" s="97"/>
      <c r="W31" s="97"/>
      <c r="X31" s="126" t="b">
        <f t="shared" si="26"/>
        <v>0</v>
      </c>
      <c r="Y31" s="126" t="b">
        <f t="shared" si="38"/>
        <v>0</v>
      </c>
      <c r="Z31" s="126">
        <f t="shared" si="27"/>
        <v>1</v>
      </c>
      <c r="AA31" s="126">
        <f t="shared" si="28"/>
        <v>0</v>
      </c>
      <c r="AB31" s="126">
        <f t="shared" si="29"/>
        <v>0</v>
      </c>
      <c r="AC31" s="126">
        <f t="shared" si="30"/>
        <v>0</v>
      </c>
      <c r="AD31" s="126">
        <f t="shared" si="31"/>
        <v>0</v>
      </c>
      <c r="AE31" s="126">
        <f t="shared" si="32"/>
        <v>0</v>
      </c>
      <c r="AF31" s="53" t="b">
        <f t="shared" si="33"/>
        <v>0</v>
      </c>
      <c r="AG31" s="54" t="b">
        <f t="shared" si="34"/>
        <v>0</v>
      </c>
      <c r="AL31" s="56" t="b">
        <f>IF(AND('Cover Sheet'!$B$19="Non-Risk",$R31=1),TRUE,FALSE)</f>
        <v>0</v>
      </c>
      <c r="AM31" s="56" t="b">
        <f t="shared" si="35"/>
        <v>0</v>
      </c>
      <c r="AU31" s="69" t="str">
        <f t="shared" si="36"/>
        <v/>
      </c>
      <c r="BD31" s="110">
        <v>0</v>
      </c>
      <c r="BE31" s="126"/>
    </row>
    <row r="32" spans="1:57" ht="56.25" customHeight="1" x14ac:dyDescent="0.25">
      <c r="A32" s="294" t="s">
        <v>932</v>
      </c>
      <c r="B32" s="295" t="s">
        <v>933</v>
      </c>
      <c r="C32" s="295" t="s">
        <v>934</v>
      </c>
      <c r="D32" s="447" t="s">
        <v>924</v>
      </c>
      <c r="E32" s="297"/>
      <c r="F32" s="297"/>
      <c r="G32" s="297"/>
      <c r="H32" s="214"/>
      <c r="I32" s="92" t="s">
        <v>168</v>
      </c>
      <c r="J32" s="92" t="s">
        <v>178</v>
      </c>
      <c r="K32" s="92" t="s">
        <v>185</v>
      </c>
      <c r="L32" s="71" t="s">
        <v>190</v>
      </c>
      <c r="M32" s="71"/>
      <c r="N32" s="71"/>
      <c r="O32" s="71"/>
      <c r="P32" s="71" t="s">
        <v>380</v>
      </c>
      <c r="Q32" s="71" t="b">
        <f t="shared" si="37"/>
        <v>0</v>
      </c>
      <c r="R32" s="71" t="b">
        <f>IF('Cover Sheet'!$B$19="Non-Risk",1)</f>
        <v>0</v>
      </c>
      <c r="S32" s="64">
        <v>42917</v>
      </c>
      <c r="T32" s="64"/>
      <c r="U32" s="97">
        <f>IF(OR($E$27="N/A",AND(BD32=0,'Cover Sheet'!$B$29="Streamlined Review"),AND(E32="Met",F32&lt;&gt;""),AND(E32="Not Met",G32&lt;&gt;""),AND(E32="Unsure",G32&lt;&gt;""),AND(E32="N/A",H32&lt;&gt;""),AND(Y32=TRUE)),1,0)</f>
        <v>0</v>
      </c>
      <c r="V32" s="97"/>
      <c r="W32" s="97"/>
      <c r="X32" s="126" t="b">
        <f t="shared" si="26"/>
        <v>0</v>
      </c>
      <c r="Y32" s="126" t="b">
        <f t="shared" si="38"/>
        <v>0</v>
      </c>
      <c r="Z32" s="126">
        <f t="shared" si="27"/>
        <v>1</v>
      </c>
      <c r="AA32" s="126">
        <f t="shared" si="28"/>
        <v>0</v>
      </c>
      <c r="AB32" s="126">
        <f t="shared" si="29"/>
        <v>0</v>
      </c>
      <c r="AC32" s="126">
        <f t="shared" si="30"/>
        <v>0</v>
      </c>
      <c r="AD32" s="126">
        <f t="shared" si="31"/>
        <v>0</v>
      </c>
      <c r="AE32" s="126">
        <f t="shared" si="32"/>
        <v>0</v>
      </c>
      <c r="AF32" s="53" t="b">
        <f t="shared" si="33"/>
        <v>0</v>
      </c>
      <c r="AG32" s="54" t="b">
        <f t="shared" si="34"/>
        <v>0</v>
      </c>
      <c r="AL32" s="56" t="b">
        <f>IF(AND('Cover Sheet'!$B$19="Non-Risk",$R32=1),TRUE,FALSE)</f>
        <v>0</v>
      </c>
      <c r="AM32" s="56" t="b">
        <f t="shared" si="35"/>
        <v>0</v>
      </c>
      <c r="AU32" s="69" t="str">
        <f t="shared" si="36"/>
        <v/>
      </c>
      <c r="BD32" s="110">
        <v>0</v>
      </c>
      <c r="BE32" s="126"/>
    </row>
    <row r="33" spans="1:57" ht="38.25" x14ac:dyDescent="0.25">
      <c r="A33" s="294" t="s">
        <v>935</v>
      </c>
      <c r="B33" s="295" t="s">
        <v>936</v>
      </c>
      <c r="C33" s="295" t="s">
        <v>937</v>
      </c>
      <c r="D33" s="447" t="s">
        <v>924</v>
      </c>
      <c r="E33" s="297"/>
      <c r="F33" s="297"/>
      <c r="G33" s="297"/>
      <c r="H33" s="214"/>
      <c r="I33" s="92" t="s">
        <v>168</v>
      </c>
      <c r="J33" s="92" t="s">
        <v>178</v>
      </c>
      <c r="K33" s="92" t="s">
        <v>185</v>
      </c>
      <c r="L33" s="71" t="s">
        <v>190</v>
      </c>
      <c r="M33" s="71"/>
      <c r="N33" s="71"/>
      <c r="O33" s="71"/>
      <c r="P33" s="71" t="s">
        <v>380</v>
      </c>
      <c r="Q33" s="71" t="b">
        <f t="shared" si="37"/>
        <v>0</v>
      </c>
      <c r="R33" s="71" t="b">
        <f>IF('Cover Sheet'!$B$19="Non-Risk",1)</f>
        <v>0</v>
      </c>
      <c r="S33" s="64">
        <v>42917</v>
      </c>
      <c r="T33" s="64"/>
      <c r="U33" s="97">
        <f>IF(OR($E$27="N/A",AND(BD33=0,'Cover Sheet'!$B$29="Streamlined Review"),AND(E33="Met",F33&lt;&gt;""),AND(E33="Not Met",G33&lt;&gt;""),AND(E33="Unsure",G33&lt;&gt;""),AND(E33="N/A",H33&lt;&gt;""),AND(Y33=TRUE)),1,0)</f>
        <v>0</v>
      </c>
      <c r="V33" s="97"/>
      <c r="W33" s="97"/>
      <c r="X33" s="126" t="b">
        <f t="shared" si="26"/>
        <v>0</v>
      </c>
      <c r="Y33" s="126" t="b">
        <f t="shared" si="38"/>
        <v>0</v>
      </c>
      <c r="Z33" s="126">
        <f t="shared" si="27"/>
        <v>1</v>
      </c>
      <c r="AA33" s="126">
        <f t="shared" si="28"/>
        <v>0</v>
      </c>
      <c r="AB33" s="126">
        <f t="shared" si="29"/>
        <v>0</v>
      </c>
      <c r="AC33" s="126">
        <f t="shared" si="30"/>
        <v>0</v>
      </c>
      <c r="AD33" s="126">
        <f t="shared" si="31"/>
        <v>0</v>
      </c>
      <c r="AE33" s="126">
        <f t="shared" si="32"/>
        <v>0</v>
      </c>
      <c r="AF33" s="53" t="b">
        <f t="shared" si="33"/>
        <v>0</v>
      </c>
      <c r="AG33" s="54" t="b">
        <f t="shared" si="34"/>
        <v>0</v>
      </c>
      <c r="AL33" s="56" t="b">
        <f>IF(AND('Cover Sheet'!$B$19="Non-Risk",$R33=1),TRUE,FALSE)</f>
        <v>0</v>
      </c>
      <c r="AM33" s="56" t="b">
        <f t="shared" si="35"/>
        <v>0</v>
      </c>
      <c r="AU33" s="69" t="str">
        <f t="shared" si="36"/>
        <v/>
      </c>
      <c r="BD33" s="110">
        <v>0</v>
      </c>
      <c r="BE33" s="126"/>
    </row>
    <row r="34" spans="1:57" ht="30" customHeight="1" x14ac:dyDescent="0.25">
      <c r="A34" s="294" t="s">
        <v>938</v>
      </c>
      <c r="B34" s="295" t="s">
        <v>939</v>
      </c>
      <c r="C34" s="295" t="s">
        <v>940</v>
      </c>
      <c r="D34" s="447" t="s">
        <v>924</v>
      </c>
      <c r="E34" s="297"/>
      <c r="F34" s="297"/>
      <c r="G34" s="297"/>
      <c r="H34" s="214"/>
      <c r="I34" s="92" t="s">
        <v>168</v>
      </c>
      <c r="J34" s="92" t="s">
        <v>178</v>
      </c>
      <c r="K34" s="92" t="s">
        <v>185</v>
      </c>
      <c r="L34" s="71" t="s">
        <v>190</v>
      </c>
      <c r="M34" s="71"/>
      <c r="N34" s="71"/>
      <c r="O34" s="71"/>
      <c r="P34" s="71" t="s">
        <v>380</v>
      </c>
      <c r="Q34" s="71" t="b">
        <f t="shared" si="37"/>
        <v>0</v>
      </c>
      <c r="R34" s="71" t="b">
        <f>IF('Cover Sheet'!$B$19="Non-Risk",1)</f>
        <v>0</v>
      </c>
      <c r="S34" s="64">
        <v>42917</v>
      </c>
      <c r="T34" s="64"/>
      <c r="U34" s="97">
        <f>IF(OR($E$27="N/A",AND(BD34=0,'Cover Sheet'!$B$29="Streamlined Review"),AND(E34="Met",F34&lt;&gt;""),AND(E34="Not Met",G34&lt;&gt;""),AND(E34="Unsure",G34&lt;&gt;""),AND(E34="N/A",H34&lt;&gt;""),AND(Y34=TRUE)),1,0)</f>
        <v>0</v>
      </c>
      <c r="V34" s="97"/>
      <c r="W34" s="97"/>
      <c r="X34" s="126" t="b">
        <f t="shared" si="26"/>
        <v>0</v>
      </c>
      <c r="Y34" s="126" t="b">
        <f t="shared" si="38"/>
        <v>0</v>
      </c>
      <c r="Z34" s="126">
        <f t="shared" si="27"/>
        <v>1</v>
      </c>
      <c r="AA34" s="126">
        <f t="shared" si="28"/>
        <v>0</v>
      </c>
      <c r="AB34" s="126">
        <f t="shared" si="29"/>
        <v>0</v>
      </c>
      <c r="AC34" s="126">
        <f t="shared" si="30"/>
        <v>0</v>
      </c>
      <c r="AD34" s="126">
        <f t="shared" si="31"/>
        <v>0</v>
      </c>
      <c r="AE34" s="126">
        <f t="shared" si="32"/>
        <v>0</v>
      </c>
      <c r="AF34" s="53" t="b">
        <f t="shared" si="33"/>
        <v>0</v>
      </c>
      <c r="AG34" s="54" t="b">
        <f t="shared" si="34"/>
        <v>0</v>
      </c>
      <c r="AL34" s="56" t="b">
        <f>IF(AND('Cover Sheet'!$B$19="Non-Risk",$R34=1),TRUE,FALSE)</f>
        <v>0</v>
      </c>
      <c r="AM34" s="56" t="b">
        <f t="shared" si="35"/>
        <v>0</v>
      </c>
      <c r="AU34" s="69" t="str">
        <f t="shared" si="36"/>
        <v/>
      </c>
      <c r="BD34" s="110">
        <v>0</v>
      </c>
      <c r="BE34" s="126"/>
    </row>
    <row r="35" spans="1:57" ht="38.25" x14ac:dyDescent="0.25">
      <c r="A35" s="294" t="s">
        <v>941</v>
      </c>
      <c r="B35" s="295" t="s">
        <v>942</v>
      </c>
      <c r="C35" s="295" t="s">
        <v>943</v>
      </c>
      <c r="D35" s="447" t="s">
        <v>924</v>
      </c>
      <c r="E35" s="297"/>
      <c r="F35" s="297"/>
      <c r="G35" s="297"/>
      <c r="H35" s="214"/>
      <c r="I35" s="92" t="s">
        <v>168</v>
      </c>
      <c r="J35" s="92" t="s">
        <v>178</v>
      </c>
      <c r="K35" s="92" t="s">
        <v>185</v>
      </c>
      <c r="L35" s="71" t="s">
        <v>190</v>
      </c>
      <c r="M35" s="71"/>
      <c r="N35" s="71"/>
      <c r="O35" s="71"/>
      <c r="P35" s="71" t="s">
        <v>380</v>
      </c>
      <c r="Q35" s="71" t="b">
        <f t="shared" si="37"/>
        <v>0</v>
      </c>
      <c r="R35" s="71" t="b">
        <f>IF('Cover Sheet'!$B$19="Non-Risk",1)</f>
        <v>0</v>
      </c>
      <c r="S35" s="64">
        <v>42917</v>
      </c>
      <c r="T35" s="64"/>
      <c r="U35" s="97">
        <f>IF(OR($E$27="N/A",AND(BD35=0,'Cover Sheet'!$B$29="Streamlined Review"),AND(E35="Met",F35&lt;&gt;""),AND(E35="Not Met",G35&lt;&gt;""),AND(E35="Unsure",G35&lt;&gt;""),AND(E35="N/A",H35&lt;&gt;""),AND(Y35=TRUE)),1,0)</f>
        <v>0</v>
      </c>
      <c r="V35" s="97"/>
      <c r="W35" s="97"/>
      <c r="X35" s="126" t="b">
        <f t="shared" si="26"/>
        <v>0</v>
      </c>
      <c r="Y35" s="126" t="b">
        <f t="shared" si="38"/>
        <v>0</v>
      </c>
      <c r="Z35" s="126">
        <f t="shared" si="27"/>
        <v>1</v>
      </c>
      <c r="AA35" s="126">
        <f t="shared" si="28"/>
        <v>0</v>
      </c>
      <c r="AB35" s="126">
        <f t="shared" si="29"/>
        <v>0</v>
      </c>
      <c r="AC35" s="126">
        <f t="shared" si="30"/>
        <v>0</v>
      </c>
      <c r="AD35" s="126">
        <f t="shared" si="31"/>
        <v>0</v>
      </c>
      <c r="AE35" s="126">
        <f t="shared" si="32"/>
        <v>0</v>
      </c>
      <c r="AF35" s="53" t="b">
        <f t="shared" si="33"/>
        <v>0</v>
      </c>
      <c r="AG35" s="54" t="b">
        <f t="shared" si="34"/>
        <v>0</v>
      </c>
      <c r="AL35" s="56" t="b">
        <f>IF(AND('Cover Sheet'!$B$19="Non-Risk",$R35=1),TRUE,FALSE)</f>
        <v>0</v>
      </c>
      <c r="AM35" s="56" t="b">
        <f t="shared" si="35"/>
        <v>0</v>
      </c>
      <c r="AU35" s="69" t="str">
        <f t="shared" si="36"/>
        <v/>
      </c>
      <c r="BD35" s="110">
        <v>0</v>
      </c>
      <c r="BE35" s="126"/>
    </row>
    <row r="36" spans="1:57" ht="43.5" customHeight="1" x14ac:dyDescent="0.25">
      <c r="A36" s="294" t="s">
        <v>944</v>
      </c>
      <c r="B36" s="295" t="s">
        <v>945</v>
      </c>
      <c r="C36" s="295" t="s">
        <v>946</v>
      </c>
      <c r="D36" s="447" t="s">
        <v>924</v>
      </c>
      <c r="E36" s="297"/>
      <c r="F36" s="297"/>
      <c r="G36" s="297"/>
      <c r="H36" s="214"/>
      <c r="I36" s="92" t="s">
        <v>168</v>
      </c>
      <c r="J36" s="92" t="s">
        <v>178</v>
      </c>
      <c r="K36" s="92" t="s">
        <v>185</v>
      </c>
      <c r="L36" s="71" t="s">
        <v>190</v>
      </c>
      <c r="M36" s="71"/>
      <c r="N36" s="71"/>
      <c r="O36" s="71"/>
      <c r="P36" s="71" t="s">
        <v>380</v>
      </c>
      <c r="Q36" s="71" t="b">
        <f t="shared" si="37"/>
        <v>0</v>
      </c>
      <c r="R36" s="71" t="b">
        <f>IF('Cover Sheet'!$B$19="Non-Risk",1)</f>
        <v>0</v>
      </c>
      <c r="S36" s="64">
        <v>42917</v>
      </c>
      <c r="T36" s="64"/>
      <c r="U36" s="97">
        <f>IF(OR($E$27="N/A",AND(BD36=0,'Cover Sheet'!$B$29="Streamlined Review"),AND(E36="Met",F36&lt;&gt;""),AND(E36="Not Met",G36&lt;&gt;""),AND(E36="Unsure",G36&lt;&gt;""),AND(E36="N/A",H36&lt;&gt;""),AND(Y36=TRUE)),1,0)</f>
        <v>0</v>
      </c>
      <c r="V36" s="97"/>
      <c r="W36" s="97"/>
      <c r="X36" s="126" t="b">
        <f t="shared" si="26"/>
        <v>0</v>
      </c>
      <c r="Y36" s="126" t="b">
        <f t="shared" si="38"/>
        <v>0</v>
      </c>
      <c r="Z36" s="126">
        <f t="shared" si="27"/>
        <v>1</v>
      </c>
      <c r="AA36" s="126">
        <f t="shared" si="28"/>
        <v>0</v>
      </c>
      <c r="AB36" s="126">
        <f t="shared" si="29"/>
        <v>0</v>
      </c>
      <c r="AC36" s="126">
        <f t="shared" si="30"/>
        <v>0</v>
      </c>
      <c r="AD36" s="126">
        <f t="shared" si="31"/>
        <v>0</v>
      </c>
      <c r="AE36" s="126">
        <f t="shared" si="32"/>
        <v>0</v>
      </c>
      <c r="AF36" s="53" t="b">
        <f t="shared" si="33"/>
        <v>0</v>
      </c>
      <c r="AG36" s="54" t="b">
        <f t="shared" si="34"/>
        <v>0</v>
      </c>
      <c r="AL36" s="56" t="b">
        <f>IF(AND('Cover Sheet'!$B$19="Non-Risk",$R36=1),TRUE,FALSE)</f>
        <v>0</v>
      </c>
      <c r="AM36" s="56" t="b">
        <f t="shared" si="35"/>
        <v>0</v>
      </c>
      <c r="AU36" s="69" t="str">
        <f t="shared" si="36"/>
        <v/>
      </c>
      <c r="BD36" s="110">
        <v>0</v>
      </c>
      <c r="BE36" s="126"/>
    </row>
    <row r="37" spans="1:57" ht="29.25" customHeight="1" x14ac:dyDescent="0.25">
      <c r="A37" s="294" t="s">
        <v>947</v>
      </c>
      <c r="B37" s="295" t="s">
        <v>948</v>
      </c>
      <c r="C37" s="295" t="s">
        <v>949</v>
      </c>
      <c r="D37" s="447" t="s">
        <v>950</v>
      </c>
      <c r="E37" s="297"/>
      <c r="F37" s="297"/>
      <c r="G37" s="297"/>
      <c r="H37" s="214"/>
      <c r="I37" s="92" t="s">
        <v>168</v>
      </c>
      <c r="J37" s="92" t="s">
        <v>178</v>
      </c>
      <c r="K37" s="92" t="s">
        <v>185</v>
      </c>
      <c r="L37" s="71" t="s">
        <v>190</v>
      </c>
      <c r="M37" s="71"/>
      <c r="N37" s="71"/>
      <c r="O37" s="71"/>
      <c r="P37" s="71" t="s">
        <v>380</v>
      </c>
      <c r="Q37" s="71" t="b">
        <f t="shared" si="37"/>
        <v>0</v>
      </c>
      <c r="R37" s="71" t="b">
        <f>IF('Cover Sheet'!$B$19="Non-Risk",1)</f>
        <v>0</v>
      </c>
      <c r="S37" s="64">
        <v>42917</v>
      </c>
      <c r="T37" s="64"/>
      <c r="U37" s="97">
        <f>IF(OR($E$27="N/A",AND(BD37=0,'Cover Sheet'!$B$29="Streamlined Review"),AND(E37="Met",F37&lt;&gt;""),AND(E37="Not Met",G37&lt;&gt;""),AND(E37="Unsure",G37&lt;&gt;""),AND(E37="N/A",H37&lt;&gt;""),AND(Y37=TRUE)),1,0)</f>
        <v>0</v>
      </c>
      <c r="V37" s="97"/>
      <c r="W37" s="97"/>
      <c r="X37" s="126" t="b">
        <f t="shared" si="26"/>
        <v>0</v>
      </c>
      <c r="Y37" s="126" t="b">
        <f t="shared" si="38"/>
        <v>0</v>
      </c>
      <c r="Z37" s="126">
        <f t="shared" si="27"/>
        <v>1</v>
      </c>
      <c r="AA37" s="126">
        <f t="shared" si="28"/>
        <v>0</v>
      </c>
      <c r="AB37" s="126">
        <f t="shared" si="29"/>
        <v>0</v>
      </c>
      <c r="AC37" s="126">
        <f t="shared" si="30"/>
        <v>0</v>
      </c>
      <c r="AD37" s="126">
        <f t="shared" si="31"/>
        <v>0</v>
      </c>
      <c r="AE37" s="126">
        <f t="shared" si="32"/>
        <v>0</v>
      </c>
      <c r="AF37" s="53" t="b">
        <f t="shared" si="33"/>
        <v>0</v>
      </c>
      <c r="AG37" s="54" t="b">
        <f t="shared" si="34"/>
        <v>0</v>
      </c>
      <c r="AL37" s="56" t="b">
        <f>IF(AND('Cover Sheet'!$B$19="Non-Risk",$R37=1),TRUE,FALSE)</f>
        <v>0</v>
      </c>
      <c r="AM37" s="56" t="b">
        <f t="shared" si="35"/>
        <v>0</v>
      </c>
      <c r="AU37" s="69" t="str">
        <f t="shared" si="36"/>
        <v/>
      </c>
      <c r="BD37" s="110">
        <v>0</v>
      </c>
      <c r="BE37" s="126"/>
    </row>
    <row r="38" spans="1:57" ht="32.25" customHeight="1" x14ac:dyDescent="0.25">
      <c r="A38" s="294" t="s">
        <v>951</v>
      </c>
      <c r="B38" s="295" t="s">
        <v>948</v>
      </c>
      <c r="C38" s="295" t="s">
        <v>952</v>
      </c>
      <c r="D38" s="447" t="s">
        <v>950</v>
      </c>
      <c r="E38" s="297"/>
      <c r="F38" s="297"/>
      <c r="G38" s="297"/>
      <c r="H38" s="214"/>
      <c r="I38" s="92" t="s">
        <v>168</v>
      </c>
      <c r="J38" s="92" t="s">
        <v>178</v>
      </c>
      <c r="K38" s="92" t="s">
        <v>185</v>
      </c>
      <c r="L38" s="71" t="s">
        <v>190</v>
      </c>
      <c r="M38" s="71"/>
      <c r="N38" s="71"/>
      <c r="O38" s="71"/>
      <c r="P38" s="71" t="s">
        <v>380</v>
      </c>
      <c r="Q38" s="71" t="b">
        <f t="shared" si="37"/>
        <v>0</v>
      </c>
      <c r="R38" s="71" t="b">
        <f>IF('Cover Sheet'!$B$19="Non-Risk",1)</f>
        <v>0</v>
      </c>
      <c r="S38" s="64">
        <v>42917</v>
      </c>
      <c r="T38" s="64"/>
      <c r="U38" s="97">
        <f>IF(OR($E$27="N/A",AND(BD38=0,'Cover Sheet'!$B$29="Streamlined Review"),AND(E38="Met",F38&lt;&gt;""),AND(E38="Not Met",G38&lt;&gt;""),AND(E38="Unsure",G38&lt;&gt;""),AND(E38="N/A",H38&lt;&gt;""),AND(Y38=TRUE)),1,0)</f>
        <v>0</v>
      </c>
      <c r="V38" s="97"/>
      <c r="W38" s="97"/>
      <c r="X38" s="126" t="b">
        <f t="shared" si="26"/>
        <v>0</v>
      </c>
      <c r="Y38" s="126" t="b">
        <f t="shared" si="38"/>
        <v>0</v>
      </c>
      <c r="Z38" s="126">
        <f t="shared" si="27"/>
        <v>1</v>
      </c>
      <c r="AA38" s="126">
        <f t="shared" si="28"/>
        <v>0</v>
      </c>
      <c r="AB38" s="126">
        <f t="shared" si="29"/>
        <v>0</v>
      </c>
      <c r="AC38" s="126">
        <f t="shared" si="30"/>
        <v>0</v>
      </c>
      <c r="AD38" s="126">
        <f t="shared" si="31"/>
        <v>0</v>
      </c>
      <c r="AE38" s="126">
        <f t="shared" si="32"/>
        <v>0</v>
      </c>
      <c r="AF38" s="53" t="b">
        <f t="shared" si="33"/>
        <v>0</v>
      </c>
      <c r="AG38" s="54" t="b">
        <f t="shared" si="34"/>
        <v>0</v>
      </c>
      <c r="AL38" s="56" t="b">
        <f>IF(AND('Cover Sheet'!$B$19="Non-Risk",$R38=1),TRUE,FALSE)</f>
        <v>0</v>
      </c>
      <c r="AM38" s="56" t="b">
        <f t="shared" si="35"/>
        <v>0</v>
      </c>
      <c r="AU38" s="69" t="str">
        <f t="shared" si="36"/>
        <v/>
      </c>
      <c r="BD38" s="110">
        <v>0</v>
      </c>
      <c r="BE38" s="126"/>
    </row>
    <row r="39" spans="1:57" ht="32.25" customHeight="1" x14ac:dyDescent="0.25">
      <c r="A39" s="294" t="s">
        <v>953</v>
      </c>
      <c r="B39" s="295" t="s">
        <v>954</v>
      </c>
      <c r="C39" s="295" t="s">
        <v>955</v>
      </c>
      <c r="D39" s="447" t="s">
        <v>950</v>
      </c>
      <c r="E39" s="297"/>
      <c r="F39" s="297"/>
      <c r="G39" s="297"/>
      <c r="H39" s="214"/>
      <c r="I39" s="92" t="s">
        <v>168</v>
      </c>
      <c r="J39" s="92" t="s">
        <v>178</v>
      </c>
      <c r="K39" s="92" t="s">
        <v>185</v>
      </c>
      <c r="L39" s="71" t="s">
        <v>190</v>
      </c>
      <c r="M39" s="71"/>
      <c r="N39" s="71"/>
      <c r="O39" s="71"/>
      <c r="P39" s="71" t="s">
        <v>380</v>
      </c>
      <c r="Q39" s="71" t="b">
        <f t="shared" si="37"/>
        <v>0</v>
      </c>
      <c r="R39" s="71" t="b">
        <f>IF('Cover Sheet'!$B$19="Non-Risk",1)</f>
        <v>0</v>
      </c>
      <c r="S39" s="64">
        <v>42917</v>
      </c>
      <c r="T39" s="64"/>
      <c r="U39" s="97">
        <f>IF(OR($E$27="N/A",AND(BD39=0,'Cover Sheet'!$B$29="Streamlined Review"),AND(E39="Met",F39&lt;&gt;""),AND(E39="Not Met",G39&lt;&gt;""),AND(E39="Unsure",G39&lt;&gt;""),AND(E39="N/A",H39&lt;&gt;""),AND(Y39=TRUE)),1,0)</f>
        <v>0</v>
      </c>
      <c r="V39" s="97"/>
      <c r="W39" s="97"/>
      <c r="X39" s="126" t="b">
        <f t="shared" si="26"/>
        <v>0</v>
      </c>
      <c r="Y39" s="126" t="b">
        <f t="shared" si="38"/>
        <v>0</v>
      </c>
      <c r="Z39" s="126">
        <f t="shared" si="27"/>
        <v>1</v>
      </c>
      <c r="AA39" s="126">
        <f t="shared" si="28"/>
        <v>0</v>
      </c>
      <c r="AB39" s="126">
        <f t="shared" si="29"/>
        <v>0</v>
      </c>
      <c r="AC39" s="126">
        <f t="shared" si="30"/>
        <v>0</v>
      </c>
      <c r="AD39" s="126">
        <f t="shared" si="31"/>
        <v>0</v>
      </c>
      <c r="AE39" s="126">
        <f t="shared" si="32"/>
        <v>0</v>
      </c>
      <c r="AF39" s="53" t="b">
        <f t="shared" si="33"/>
        <v>0</v>
      </c>
      <c r="AG39" s="54" t="b">
        <f t="shared" si="34"/>
        <v>0</v>
      </c>
      <c r="AL39" s="56" t="b">
        <f>IF(AND('Cover Sheet'!$B$19="Non-Risk",$R39=1),TRUE,FALSE)</f>
        <v>0</v>
      </c>
      <c r="AM39" s="56" t="b">
        <f t="shared" si="35"/>
        <v>0</v>
      </c>
      <c r="AU39" s="69" t="str">
        <f t="shared" si="36"/>
        <v/>
      </c>
      <c r="BD39" s="110">
        <v>0</v>
      </c>
      <c r="BE39" s="126"/>
    </row>
    <row r="40" spans="1:57" ht="30.75" customHeight="1" x14ac:dyDescent="0.25">
      <c r="A40" s="294" t="s">
        <v>956</v>
      </c>
      <c r="B40" s="295" t="s">
        <v>957</v>
      </c>
      <c r="C40" s="295" t="s">
        <v>958</v>
      </c>
      <c r="D40" s="447" t="s">
        <v>924</v>
      </c>
      <c r="E40" s="297"/>
      <c r="F40" s="297"/>
      <c r="G40" s="297"/>
      <c r="H40" s="214"/>
      <c r="I40" s="92" t="s">
        <v>168</v>
      </c>
      <c r="J40" s="92" t="s">
        <v>178</v>
      </c>
      <c r="K40" s="92" t="s">
        <v>185</v>
      </c>
      <c r="L40" s="71" t="s">
        <v>190</v>
      </c>
      <c r="M40" s="71"/>
      <c r="N40" s="71"/>
      <c r="O40" s="71"/>
      <c r="P40" s="71" t="s">
        <v>380</v>
      </c>
      <c r="Q40" s="71" t="b">
        <f t="shared" si="37"/>
        <v>0</v>
      </c>
      <c r="R40" s="71" t="b">
        <f>IF('Cover Sheet'!$B$19="Non-Risk",1)</f>
        <v>0</v>
      </c>
      <c r="S40" s="64">
        <v>42917</v>
      </c>
      <c r="T40" s="64"/>
      <c r="U40" s="97">
        <f>IF(OR($E$27="N/A",AND(BD40=0,'Cover Sheet'!$B$29="Streamlined Review"),AND(E40="Met",F40&lt;&gt;""),AND(E40="Not Met",G40&lt;&gt;""),AND(E40="Unsure",G40&lt;&gt;""),AND(E40="N/A",H40&lt;&gt;""),AND(Y40=TRUE)),1,0)</f>
        <v>0</v>
      </c>
      <c r="V40" s="97"/>
      <c r="W40" s="97"/>
      <c r="X40" s="126" t="b">
        <f t="shared" si="26"/>
        <v>0</v>
      </c>
      <c r="Y40" s="126" t="b">
        <f t="shared" si="38"/>
        <v>0</v>
      </c>
      <c r="Z40" s="126">
        <f t="shared" si="27"/>
        <v>1</v>
      </c>
      <c r="AA40" s="126">
        <f t="shared" si="28"/>
        <v>0</v>
      </c>
      <c r="AB40" s="126">
        <f t="shared" si="29"/>
        <v>0</v>
      </c>
      <c r="AC40" s="126">
        <f t="shared" si="30"/>
        <v>0</v>
      </c>
      <c r="AD40" s="126">
        <f t="shared" si="31"/>
        <v>0</v>
      </c>
      <c r="AE40" s="126">
        <f t="shared" si="32"/>
        <v>0</v>
      </c>
      <c r="AF40" s="53" t="b">
        <f t="shared" si="33"/>
        <v>0</v>
      </c>
      <c r="AG40" s="54" t="b">
        <f t="shared" si="34"/>
        <v>0</v>
      </c>
      <c r="AL40" s="56" t="b">
        <f>IF(AND('Cover Sheet'!$B$19="Non-Risk",$R40=1),TRUE,FALSE)</f>
        <v>0</v>
      </c>
      <c r="AM40" s="56" t="b">
        <f t="shared" si="35"/>
        <v>0</v>
      </c>
      <c r="AU40" s="69" t="str">
        <f t="shared" si="36"/>
        <v/>
      </c>
      <c r="BD40" s="110">
        <v>0</v>
      </c>
      <c r="BE40" s="126"/>
    </row>
    <row r="41" spans="1:57" ht="44.25" customHeight="1" x14ac:dyDescent="0.25">
      <c r="A41" s="294" t="s">
        <v>959</v>
      </c>
      <c r="B41" s="295" t="s">
        <v>960</v>
      </c>
      <c r="C41" s="295" t="s">
        <v>961</v>
      </c>
      <c r="D41" s="447" t="s">
        <v>924</v>
      </c>
      <c r="E41" s="297"/>
      <c r="F41" s="297"/>
      <c r="G41" s="297"/>
      <c r="H41" s="214"/>
      <c r="I41" s="92" t="s">
        <v>168</v>
      </c>
      <c r="J41" s="92" t="s">
        <v>178</v>
      </c>
      <c r="K41" s="92" t="s">
        <v>185</v>
      </c>
      <c r="L41" s="71" t="s">
        <v>190</v>
      </c>
      <c r="M41" s="71"/>
      <c r="N41" s="71"/>
      <c r="O41" s="71"/>
      <c r="P41" s="71" t="s">
        <v>380</v>
      </c>
      <c r="Q41" s="71" t="b">
        <f t="shared" si="37"/>
        <v>0</v>
      </c>
      <c r="R41" s="71" t="b">
        <f>IF('Cover Sheet'!$B$19="Non-Risk",1)</f>
        <v>0</v>
      </c>
      <c r="S41" s="64">
        <v>42917</v>
      </c>
      <c r="T41" s="64"/>
      <c r="U41" s="97">
        <f>IF(OR($E$27="N/A",AND(BD41=0,'Cover Sheet'!$B$29="Streamlined Review"),AND(E41="Met",F41&lt;&gt;""),AND(E41="Not Met",G41&lt;&gt;""),AND(E41="Unsure",G41&lt;&gt;""),AND(E41="N/A",H41&lt;&gt;""),AND(Y41=TRUE)),1,0)</f>
        <v>0</v>
      </c>
      <c r="V41" s="97"/>
      <c r="W41" s="97"/>
      <c r="X41" s="126" t="b">
        <f t="shared" si="26"/>
        <v>0</v>
      </c>
      <c r="Y41" s="126" t="b">
        <f t="shared" si="38"/>
        <v>0</v>
      </c>
      <c r="Z41" s="126">
        <f t="shared" si="27"/>
        <v>1</v>
      </c>
      <c r="AA41" s="126">
        <f t="shared" si="28"/>
        <v>0</v>
      </c>
      <c r="AB41" s="126">
        <f t="shared" si="29"/>
        <v>0</v>
      </c>
      <c r="AC41" s="126">
        <f t="shared" si="30"/>
        <v>0</v>
      </c>
      <c r="AD41" s="126">
        <f t="shared" si="31"/>
        <v>0</v>
      </c>
      <c r="AE41" s="126">
        <f t="shared" si="32"/>
        <v>0</v>
      </c>
      <c r="AF41" s="53" t="b">
        <f t="shared" si="33"/>
        <v>0</v>
      </c>
      <c r="AG41" s="54" t="b">
        <f t="shared" si="34"/>
        <v>0</v>
      </c>
      <c r="AL41" s="56" t="b">
        <f>IF(AND('Cover Sheet'!$B$19="Non-Risk",$R41=1),TRUE,FALSE)</f>
        <v>0</v>
      </c>
      <c r="AM41" s="56" t="b">
        <f t="shared" si="35"/>
        <v>0</v>
      </c>
      <c r="AU41" s="69" t="str">
        <f t="shared" si="36"/>
        <v/>
      </c>
      <c r="BD41" s="110">
        <v>0</v>
      </c>
      <c r="BE41" s="126"/>
    </row>
    <row r="42" spans="1:57" ht="29.25" customHeight="1" x14ac:dyDescent="0.25">
      <c r="A42" s="294" t="s">
        <v>962</v>
      </c>
      <c r="B42" s="295" t="s">
        <v>963</v>
      </c>
      <c r="C42" s="295" t="s">
        <v>964</v>
      </c>
      <c r="D42" s="447" t="s">
        <v>924</v>
      </c>
      <c r="E42" s="297"/>
      <c r="F42" s="297"/>
      <c r="G42" s="297"/>
      <c r="H42" s="214"/>
      <c r="I42" s="92" t="s">
        <v>168</v>
      </c>
      <c r="J42" s="92" t="s">
        <v>178</v>
      </c>
      <c r="K42" s="92" t="s">
        <v>185</v>
      </c>
      <c r="L42" s="71" t="s">
        <v>190</v>
      </c>
      <c r="M42" s="71"/>
      <c r="N42" s="71"/>
      <c r="O42" s="71"/>
      <c r="P42" s="71" t="s">
        <v>380</v>
      </c>
      <c r="Q42" s="71" t="b">
        <f t="shared" si="37"/>
        <v>0</v>
      </c>
      <c r="R42" s="71" t="b">
        <f>IF('Cover Sheet'!$B$19="Non-Risk",1)</f>
        <v>0</v>
      </c>
      <c r="S42" s="64">
        <v>42917</v>
      </c>
      <c r="T42" s="64"/>
      <c r="U42" s="97">
        <f>IF(OR($E$27="N/A",AND(BD42=0,'Cover Sheet'!$B$29="Streamlined Review"),AND(E42="Met",F42&lt;&gt;""),AND(E42="Not Met",G42&lt;&gt;""),AND(E42="Unsure",G42&lt;&gt;""),AND(E42="N/A",H42&lt;&gt;""),AND(Y42=TRUE)),1,0)</f>
        <v>0</v>
      </c>
      <c r="V42" s="97"/>
      <c r="W42" s="97"/>
      <c r="X42" s="126" t="b">
        <f t="shared" si="26"/>
        <v>0</v>
      </c>
      <c r="Y42" s="126" t="b">
        <f t="shared" si="38"/>
        <v>0</v>
      </c>
      <c r="Z42" s="126">
        <f t="shared" si="27"/>
        <v>1</v>
      </c>
      <c r="AA42" s="126">
        <f t="shared" si="28"/>
        <v>0</v>
      </c>
      <c r="AB42" s="126">
        <f t="shared" si="29"/>
        <v>0</v>
      </c>
      <c r="AC42" s="126">
        <f t="shared" si="30"/>
        <v>0</v>
      </c>
      <c r="AD42" s="126">
        <f t="shared" si="31"/>
        <v>0</v>
      </c>
      <c r="AE42" s="126">
        <f t="shared" si="32"/>
        <v>0</v>
      </c>
      <c r="AF42" s="53" t="b">
        <f t="shared" si="33"/>
        <v>0</v>
      </c>
      <c r="AG42" s="54" t="b">
        <f t="shared" si="34"/>
        <v>0</v>
      </c>
      <c r="AL42" s="56" t="b">
        <f>IF(AND('Cover Sheet'!$B$19="Non-Risk",$R42=1),TRUE,FALSE)</f>
        <v>0</v>
      </c>
      <c r="AM42" s="56" t="b">
        <f t="shared" si="35"/>
        <v>0</v>
      </c>
      <c r="AU42" s="69" t="str">
        <f t="shared" si="36"/>
        <v/>
      </c>
      <c r="BD42" s="110">
        <v>0</v>
      </c>
      <c r="BE42" s="126"/>
    </row>
    <row r="43" spans="1:57" ht="30.75" customHeight="1" x14ac:dyDescent="0.25">
      <c r="A43" s="294" t="s">
        <v>965</v>
      </c>
      <c r="B43" s="295" t="s">
        <v>966</v>
      </c>
      <c r="C43" s="295" t="s">
        <v>967</v>
      </c>
      <c r="D43" s="447" t="s">
        <v>924</v>
      </c>
      <c r="E43" s="297"/>
      <c r="F43" s="297"/>
      <c r="G43" s="297"/>
      <c r="H43" s="214"/>
      <c r="I43" s="92" t="s">
        <v>168</v>
      </c>
      <c r="J43" s="92" t="s">
        <v>178</v>
      </c>
      <c r="K43" s="92" t="s">
        <v>185</v>
      </c>
      <c r="L43" s="71" t="s">
        <v>190</v>
      </c>
      <c r="M43" s="71"/>
      <c r="N43" s="71"/>
      <c r="O43" s="71"/>
      <c r="P43" s="71" t="s">
        <v>380</v>
      </c>
      <c r="Q43" s="71" t="b">
        <f t="shared" si="37"/>
        <v>0</v>
      </c>
      <c r="R43" s="71" t="b">
        <f>IF('Cover Sheet'!$B$19="Non-Risk",1)</f>
        <v>0</v>
      </c>
      <c r="S43" s="64">
        <v>42917</v>
      </c>
      <c r="T43" s="64"/>
      <c r="U43" s="97">
        <f>IF(OR($E$27="N/A",AND(BD43=0,'Cover Sheet'!$B$29="Streamlined Review"),AND(E43="Met",F43&lt;&gt;""),AND(E43="Not Met",G43&lt;&gt;""),AND(E43="Unsure",G43&lt;&gt;""),AND(E43="N/A",H43&lt;&gt;""),AND(Y43=TRUE)),1,0)</f>
        <v>0</v>
      </c>
      <c r="V43" s="97"/>
      <c r="W43" s="97"/>
      <c r="X43" s="126" t="b">
        <f t="shared" si="26"/>
        <v>0</v>
      </c>
      <c r="Y43" s="126" t="b">
        <f t="shared" si="38"/>
        <v>0</v>
      </c>
      <c r="Z43" s="126">
        <f t="shared" si="27"/>
        <v>1</v>
      </c>
      <c r="AA43" s="126">
        <f t="shared" si="28"/>
        <v>0</v>
      </c>
      <c r="AB43" s="126">
        <f t="shared" si="29"/>
        <v>0</v>
      </c>
      <c r="AC43" s="126">
        <f t="shared" si="30"/>
        <v>0</v>
      </c>
      <c r="AD43" s="126">
        <f t="shared" si="31"/>
        <v>0</v>
      </c>
      <c r="AE43" s="126">
        <f t="shared" si="32"/>
        <v>0</v>
      </c>
      <c r="AF43" s="53" t="b">
        <f t="shared" si="33"/>
        <v>0</v>
      </c>
      <c r="AG43" s="54" t="b">
        <f t="shared" si="34"/>
        <v>0</v>
      </c>
      <c r="AL43" s="56" t="b">
        <f>IF(AND('Cover Sheet'!$B$19="Non-Risk",$R43=1),TRUE,FALSE)</f>
        <v>0</v>
      </c>
      <c r="AM43" s="56" t="b">
        <f t="shared" si="35"/>
        <v>0</v>
      </c>
      <c r="AU43" s="69" t="str">
        <f t="shared" si="36"/>
        <v/>
      </c>
      <c r="BD43" s="110">
        <v>0</v>
      </c>
      <c r="BE43" s="126"/>
    </row>
    <row r="44" spans="1:57" ht="38.450000000000003" customHeight="1" x14ac:dyDescent="0.25">
      <c r="A44" s="294" t="s">
        <v>968</v>
      </c>
      <c r="B44" s="263" t="s">
        <v>969</v>
      </c>
      <c r="C44" s="263" t="s">
        <v>970</v>
      </c>
      <c r="D44" s="447" t="s">
        <v>924</v>
      </c>
      <c r="E44" s="297"/>
      <c r="F44" s="297"/>
      <c r="G44" s="297"/>
      <c r="H44" s="214"/>
      <c r="I44" s="92" t="s">
        <v>168</v>
      </c>
      <c r="J44" s="92" t="s">
        <v>178</v>
      </c>
      <c r="K44" s="92" t="s">
        <v>185</v>
      </c>
      <c r="L44" s="71" t="s">
        <v>190</v>
      </c>
      <c r="M44" s="71"/>
      <c r="N44" s="71"/>
      <c r="O44" s="71"/>
      <c r="P44" s="71" t="s">
        <v>380</v>
      </c>
      <c r="Q44" s="71" t="b">
        <f t="shared" si="37"/>
        <v>0</v>
      </c>
      <c r="R44" s="71" t="b">
        <f>IF('Cover Sheet'!$B$19="Non-Risk",1)</f>
        <v>0</v>
      </c>
      <c r="S44" s="64">
        <v>42917</v>
      </c>
      <c r="T44" s="94"/>
      <c r="U44" s="97">
        <f>IF(OR($E$27="N/A",AND(BD44=0,'Cover Sheet'!$B$29="Streamlined Review"),AND(E44="Met",F44&lt;&gt;""),AND(E44="Not Met",G44&lt;&gt;""),AND(E44="Unsure",G44&lt;&gt;""),AND(E44="N/A",H44&lt;&gt;""),AND(Y44=TRUE)),1,0)</f>
        <v>0</v>
      </c>
      <c r="V44" s="97"/>
      <c r="W44" s="97"/>
      <c r="X44" s="126" t="b">
        <f t="shared" si="26"/>
        <v>0</v>
      </c>
      <c r="Y44" s="126" t="b">
        <f t="shared" si="38"/>
        <v>0</v>
      </c>
      <c r="Z44" s="126">
        <f t="shared" si="27"/>
        <v>1</v>
      </c>
      <c r="AA44" s="126">
        <f t="shared" si="28"/>
        <v>0</v>
      </c>
      <c r="AB44" s="126">
        <f t="shared" si="29"/>
        <v>0</v>
      </c>
      <c r="AC44" s="126">
        <f t="shared" si="30"/>
        <v>0</v>
      </c>
      <c r="AD44" s="126">
        <f t="shared" si="31"/>
        <v>0</v>
      </c>
      <c r="AE44" s="126">
        <f t="shared" si="32"/>
        <v>0</v>
      </c>
      <c r="AF44" s="53" t="b">
        <f t="shared" si="33"/>
        <v>0</v>
      </c>
      <c r="AG44" s="54" t="b">
        <f t="shared" si="34"/>
        <v>0</v>
      </c>
      <c r="AL44" s="56" t="b">
        <f>IF(AND('Cover Sheet'!$B$19="Non-Risk",$R44=1),TRUE,FALSE)</f>
        <v>0</v>
      </c>
      <c r="AM44" s="56" t="b">
        <f t="shared" si="35"/>
        <v>0</v>
      </c>
      <c r="AU44" s="69" t="str">
        <f t="shared" si="36"/>
        <v/>
      </c>
      <c r="BD44" s="110">
        <v>0</v>
      </c>
      <c r="BE44" s="126"/>
    </row>
    <row r="45" spans="1:57" ht="29.25" customHeight="1" x14ac:dyDescent="0.25">
      <c r="A45" s="294" t="s">
        <v>971</v>
      </c>
      <c r="B45" s="295" t="s">
        <v>972</v>
      </c>
      <c r="C45" s="295" t="s">
        <v>973</v>
      </c>
      <c r="D45" s="447" t="s">
        <v>924</v>
      </c>
      <c r="E45" s="297"/>
      <c r="F45" s="297"/>
      <c r="G45" s="297"/>
      <c r="H45" s="214"/>
      <c r="I45" s="92" t="s">
        <v>168</v>
      </c>
      <c r="J45" s="92" t="s">
        <v>178</v>
      </c>
      <c r="K45" s="92" t="s">
        <v>185</v>
      </c>
      <c r="L45" s="71" t="s">
        <v>190</v>
      </c>
      <c r="M45" s="71"/>
      <c r="N45" s="71"/>
      <c r="O45" s="71"/>
      <c r="P45" s="71" t="s">
        <v>380</v>
      </c>
      <c r="Q45" s="71" t="b">
        <f t="shared" si="37"/>
        <v>0</v>
      </c>
      <c r="R45" s="71" t="b">
        <f>IF('Cover Sheet'!$B$19="Non-Risk",1)</f>
        <v>0</v>
      </c>
      <c r="S45" s="64">
        <v>42917</v>
      </c>
      <c r="T45" s="64"/>
      <c r="U45" s="97">
        <f>IF(OR($E$27="N/A",AND(BD45=0,'Cover Sheet'!$B$29="Streamlined Review"),AND(E45="Met",F45&lt;&gt;""),AND(E45="Not Met",G45&lt;&gt;""),AND(E45="Unsure",G45&lt;&gt;""),AND(E45="N/A",H45&lt;&gt;""),AND(Y45=TRUE)),1,0)</f>
        <v>0</v>
      </c>
      <c r="V45" s="97"/>
      <c r="W45" s="97"/>
      <c r="X45" s="126" t="b">
        <f t="shared" si="26"/>
        <v>0</v>
      </c>
      <c r="Y45" s="126" t="b">
        <f t="shared" si="38"/>
        <v>0</v>
      </c>
      <c r="Z45" s="126">
        <f t="shared" si="27"/>
        <v>1</v>
      </c>
      <c r="AA45" s="126">
        <f t="shared" si="28"/>
        <v>0</v>
      </c>
      <c r="AB45" s="126">
        <f t="shared" si="29"/>
        <v>0</v>
      </c>
      <c r="AC45" s="126">
        <f t="shared" si="30"/>
        <v>0</v>
      </c>
      <c r="AD45" s="126">
        <f t="shared" si="31"/>
        <v>0</v>
      </c>
      <c r="AE45" s="126">
        <f t="shared" si="32"/>
        <v>0</v>
      </c>
      <c r="AF45" s="53" t="b">
        <f t="shared" si="33"/>
        <v>0</v>
      </c>
      <c r="AG45" s="54" t="b">
        <f t="shared" si="34"/>
        <v>0</v>
      </c>
      <c r="AL45" s="56" t="b">
        <f>IF(AND('Cover Sheet'!$B$19="Non-Risk",$R45=1),TRUE,FALSE)</f>
        <v>0</v>
      </c>
      <c r="AM45" s="56" t="b">
        <f t="shared" si="35"/>
        <v>0</v>
      </c>
      <c r="AU45" s="69" t="str">
        <f t="shared" si="36"/>
        <v/>
      </c>
      <c r="BD45" s="110">
        <v>0</v>
      </c>
      <c r="BE45" s="126"/>
    </row>
    <row r="46" spans="1:57" ht="30.75" customHeight="1" x14ac:dyDescent="0.25">
      <c r="A46" s="294" t="s">
        <v>974</v>
      </c>
      <c r="B46" s="295" t="s">
        <v>975</v>
      </c>
      <c r="C46" s="295" t="s">
        <v>976</v>
      </c>
      <c r="D46" s="447" t="s">
        <v>924</v>
      </c>
      <c r="E46" s="297"/>
      <c r="F46" s="297"/>
      <c r="G46" s="297"/>
      <c r="H46" s="214"/>
      <c r="I46" s="92" t="s">
        <v>168</v>
      </c>
      <c r="J46" s="92" t="s">
        <v>178</v>
      </c>
      <c r="K46" s="92" t="s">
        <v>185</v>
      </c>
      <c r="L46" s="71" t="s">
        <v>190</v>
      </c>
      <c r="M46" s="71"/>
      <c r="N46" s="71"/>
      <c r="O46" s="71"/>
      <c r="P46" s="71" t="s">
        <v>380</v>
      </c>
      <c r="Q46" s="71" t="b">
        <f t="shared" si="37"/>
        <v>0</v>
      </c>
      <c r="R46" s="71" t="b">
        <f>IF('Cover Sheet'!$B$19="Non-Risk",1)</f>
        <v>0</v>
      </c>
      <c r="S46" s="64">
        <v>42917</v>
      </c>
      <c r="T46" s="64"/>
      <c r="U46" s="97">
        <f>IF(OR($E$27="N/A",AND(BD46=0,'Cover Sheet'!$B$29="Streamlined Review"),AND(E46="Met",F46&lt;&gt;""),AND(E46="Not Met",G46&lt;&gt;""),AND(E46="Unsure",G46&lt;&gt;""),AND(E46="N/A",H46&lt;&gt;""),AND(Y46=TRUE)),1,0)</f>
        <v>0</v>
      </c>
      <c r="V46" s="97"/>
      <c r="W46" s="97"/>
      <c r="X46" s="126" t="b">
        <f t="shared" si="26"/>
        <v>0</v>
      </c>
      <c r="Y46" s="126" t="b">
        <f t="shared" si="38"/>
        <v>0</v>
      </c>
      <c r="Z46" s="126">
        <f t="shared" si="27"/>
        <v>1</v>
      </c>
      <c r="AA46" s="126">
        <f t="shared" si="28"/>
        <v>0</v>
      </c>
      <c r="AB46" s="126">
        <f t="shared" si="29"/>
        <v>0</v>
      </c>
      <c r="AC46" s="126">
        <f t="shared" si="30"/>
        <v>0</v>
      </c>
      <c r="AD46" s="126">
        <f t="shared" si="31"/>
        <v>0</v>
      </c>
      <c r="AE46" s="126">
        <f t="shared" si="32"/>
        <v>0</v>
      </c>
      <c r="AF46" s="53" t="b">
        <f t="shared" si="33"/>
        <v>0</v>
      </c>
      <c r="AG46" s="54" t="b">
        <f t="shared" si="34"/>
        <v>0</v>
      </c>
      <c r="AL46" s="56" t="b">
        <f>IF(AND('Cover Sheet'!$B$19="Non-Risk",$R46=1),TRUE,FALSE)</f>
        <v>0</v>
      </c>
      <c r="AM46" s="56" t="b">
        <f t="shared" si="35"/>
        <v>0</v>
      </c>
      <c r="AU46" s="69" t="str">
        <f t="shared" si="36"/>
        <v/>
      </c>
      <c r="BD46" s="110">
        <v>0</v>
      </c>
      <c r="BE46" s="126"/>
    </row>
    <row r="47" spans="1:57" ht="30" customHeight="1" x14ac:dyDescent="0.25">
      <c r="A47" s="294" t="s">
        <v>977</v>
      </c>
      <c r="B47" s="295" t="s">
        <v>978</v>
      </c>
      <c r="C47" s="295" t="s">
        <v>979</v>
      </c>
      <c r="D47" s="447" t="s">
        <v>924</v>
      </c>
      <c r="E47" s="297"/>
      <c r="F47" s="297"/>
      <c r="G47" s="297"/>
      <c r="H47" s="214"/>
      <c r="I47" s="92" t="s">
        <v>168</v>
      </c>
      <c r="J47" s="92" t="s">
        <v>178</v>
      </c>
      <c r="K47" s="92" t="s">
        <v>185</v>
      </c>
      <c r="L47" s="71" t="s">
        <v>190</v>
      </c>
      <c r="M47" s="71"/>
      <c r="N47" s="71"/>
      <c r="O47" s="71"/>
      <c r="P47" s="71" t="s">
        <v>380</v>
      </c>
      <c r="Q47" s="71" t="b">
        <f t="shared" si="37"/>
        <v>0</v>
      </c>
      <c r="R47" s="71" t="b">
        <f>IF('Cover Sheet'!$B$19="Non-Risk",1)</f>
        <v>0</v>
      </c>
      <c r="S47" s="64">
        <v>42917</v>
      </c>
      <c r="T47" s="64"/>
      <c r="U47" s="97">
        <f>IF(OR($E$27="N/A",AND(BD47=0,'Cover Sheet'!$B$29="Streamlined Review"),AND(E47="Met",F47&lt;&gt;""),AND(E47="Not Met",G47&lt;&gt;""),AND(E47="Unsure",G47&lt;&gt;""),AND(E47="N/A",H47&lt;&gt;""),AND(Y47=TRUE)),1,0)</f>
        <v>0</v>
      </c>
      <c r="V47" s="97"/>
      <c r="W47" s="97"/>
      <c r="X47" s="126" t="b">
        <f t="shared" si="26"/>
        <v>0</v>
      </c>
      <c r="Y47" s="126" t="b">
        <f t="shared" si="38"/>
        <v>0</v>
      </c>
      <c r="Z47" s="126">
        <f t="shared" si="27"/>
        <v>1</v>
      </c>
      <c r="AA47" s="126">
        <f t="shared" si="28"/>
        <v>0</v>
      </c>
      <c r="AB47" s="126">
        <f t="shared" si="29"/>
        <v>0</v>
      </c>
      <c r="AC47" s="126">
        <f t="shared" si="30"/>
        <v>0</v>
      </c>
      <c r="AD47" s="126">
        <f t="shared" si="31"/>
        <v>0</v>
      </c>
      <c r="AE47" s="126">
        <f t="shared" si="32"/>
        <v>0</v>
      </c>
      <c r="AF47" s="53" t="b">
        <f t="shared" si="33"/>
        <v>0</v>
      </c>
      <c r="AG47" s="54" t="b">
        <f t="shared" si="34"/>
        <v>0</v>
      </c>
      <c r="AL47" s="56" t="b">
        <f>IF(AND('Cover Sheet'!$B$19="Non-Risk",$R47=1),TRUE,FALSE)</f>
        <v>0</v>
      </c>
      <c r="AM47" s="56" t="b">
        <f t="shared" si="35"/>
        <v>0</v>
      </c>
      <c r="AU47" s="69" t="str">
        <f t="shared" si="36"/>
        <v/>
      </c>
      <c r="BD47" s="110">
        <v>0</v>
      </c>
      <c r="BE47" s="126"/>
    </row>
    <row r="48" spans="1:57" ht="29.25" customHeight="1" x14ac:dyDescent="0.25">
      <c r="A48" s="294" t="s">
        <v>980</v>
      </c>
      <c r="B48" s="295" t="s">
        <v>978</v>
      </c>
      <c r="C48" s="295" t="s">
        <v>981</v>
      </c>
      <c r="D48" s="447" t="s">
        <v>924</v>
      </c>
      <c r="E48" s="297"/>
      <c r="F48" s="297"/>
      <c r="G48" s="297"/>
      <c r="H48" s="214"/>
      <c r="I48" s="92" t="s">
        <v>168</v>
      </c>
      <c r="J48" s="92" t="s">
        <v>178</v>
      </c>
      <c r="K48" s="92" t="s">
        <v>185</v>
      </c>
      <c r="L48" s="71" t="s">
        <v>190</v>
      </c>
      <c r="M48" s="71"/>
      <c r="N48" s="71"/>
      <c r="O48" s="71"/>
      <c r="P48" s="71" t="s">
        <v>380</v>
      </c>
      <c r="Q48" s="71" t="b">
        <f t="shared" si="37"/>
        <v>0</v>
      </c>
      <c r="R48" s="71" t="b">
        <f>IF('Cover Sheet'!$B$19="Non-Risk",1)</f>
        <v>0</v>
      </c>
      <c r="S48" s="64">
        <v>42917</v>
      </c>
      <c r="T48" s="64"/>
      <c r="U48" s="97">
        <f>IF(OR($E$27="N/A",AND(BD48=0,'Cover Sheet'!$B$29="Streamlined Review"),AND(E48="Met",F48&lt;&gt;""),AND(E48="Not Met",G48&lt;&gt;""),AND(E48="Unsure",G48&lt;&gt;""),AND(E48="N/A",H48&lt;&gt;""),AND(Y48=TRUE)),1,0)</f>
        <v>0</v>
      </c>
      <c r="V48" s="97"/>
      <c r="W48" s="97"/>
      <c r="X48" s="126" t="b">
        <f t="shared" si="26"/>
        <v>0</v>
      </c>
      <c r="Y48" s="126" t="b">
        <f t="shared" si="38"/>
        <v>0</v>
      </c>
      <c r="Z48" s="126">
        <f t="shared" si="27"/>
        <v>1</v>
      </c>
      <c r="AA48" s="126">
        <f t="shared" si="28"/>
        <v>0</v>
      </c>
      <c r="AB48" s="126">
        <f t="shared" si="29"/>
        <v>0</v>
      </c>
      <c r="AC48" s="126">
        <f t="shared" si="30"/>
        <v>0</v>
      </c>
      <c r="AD48" s="126">
        <f t="shared" si="31"/>
        <v>0</v>
      </c>
      <c r="AE48" s="126">
        <f t="shared" si="32"/>
        <v>0</v>
      </c>
      <c r="AF48" s="53" t="b">
        <f t="shared" si="33"/>
        <v>0</v>
      </c>
      <c r="AG48" s="54" t="b">
        <f t="shared" si="34"/>
        <v>0</v>
      </c>
      <c r="AL48" s="56" t="b">
        <f>IF(AND('Cover Sheet'!$B$19="Non-Risk",$R48=1),TRUE,FALSE)</f>
        <v>0</v>
      </c>
      <c r="AM48" s="56" t="b">
        <f t="shared" si="35"/>
        <v>0</v>
      </c>
      <c r="AU48" s="69" t="str">
        <f t="shared" si="36"/>
        <v/>
      </c>
      <c r="BD48" s="110">
        <v>0</v>
      </c>
      <c r="BE48" s="126"/>
    </row>
    <row r="49" spans="1:58" ht="30" customHeight="1" x14ac:dyDescent="0.25">
      <c r="A49" s="294" t="s">
        <v>982</v>
      </c>
      <c r="B49" s="295" t="s">
        <v>978</v>
      </c>
      <c r="C49" s="295" t="s">
        <v>983</v>
      </c>
      <c r="D49" s="447" t="s">
        <v>924</v>
      </c>
      <c r="E49" s="297"/>
      <c r="F49" s="297"/>
      <c r="G49" s="297"/>
      <c r="H49" s="214"/>
      <c r="I49" s="92" t="s">
        <v>168</v>
      </c>
      <c r="J49" s="92" t="s">
        <v>178</v>
      </c>
      <c r="K49" s="92" t="s">
        <v>185</v>
      </c>
      <c r="L49" s="71" t="s">
        <v>190</v>
      </c>
      <c r="M49" s="71"/>
      <c r="N49" s="71"/>
      <c r="O49" s="71"/>
      <c r="P49" s="71" t="s">
        <v>380</v>
      </c>
      <c r="Q49" s="71" t="b">
        <f t="shared" si="37"/>
        <v>0</v>
      </c>
      <c r="R49" s="71" t="b">
        <f>IF('Cover Sheet'!$B$19="Non-Risk",1)</f>
        <v>0</v>
      </c>
      <c r="S49" s="64">
        <v>42917</v>
      </c>
      <c r="T49" s="64"/>
      <c r="U49" s="97">
        <f>IF(OR($E$27="N/A",AND(BD49=0,'Cover Sheet'!$B$29="Streamlined Review"),AND(E49="Met",F49&lt;&gt;""),AND(E49="Not Met",G49&lt;&gt;""),AND(E49="Unsure",G49&lt;&gt;""),AND(E49="N/A",H49&lt;&gt;""),AND(Y49=TRUE)),1,0)</f>
        <v>0</v>
      </c>
      <c r="V49" s="97"/>
      <c r="W49" s="97"/>
      <c r="X49" s="126" t="b">
        <f t="shared" si="26"/>
        <v>0</v>
      </c>
      <c r="Y49" s="126" t="b">
        <f t="shared" si="38"/>
        <v>0</v>
      </c>
      <c r="Z49" s="126">
        <f t="shared" si="27"/>
        <v>1</v>
      </c>
      <c r="AA49" s="126">
        <f t="shared" si="28"/>
        <v>0</v>
      </c>
      <c r="AB49" s="126">
        <f t="shared" si="29"/>
        <v>0</v>
      </c>
      <c r="AC49" s="126">
        <f t="shared" si="30"/>
        <v>0</v>
      </c>
      <c r="AD49" s="126">
        <f t="shared" si="31"/>
        <v>0</v>
      </c>
      <c r="AE49" s="126">
        <f t="shared" si="32"/>
        <v>0</v>
      </c>
      <c r="AF49" s="53" t="b">
        <f t="shared" si="33"/>
        <v>0</v>
      </c>
      <c r="AG49" s="54" t="b">
        <f t="shared" si="34"/>
        <v>0</v>
      </c>
      <c r="AL49" s="56" t="b">
        <f>IF(AND('Cover Sheet'!$B$19="Non-Risk",$R49=1),TRUE,FALSE)</f>
        <v>0</v>
      </c>
      <c r="AM49" s="56" t="b">
        <f t="shared" si="35"/>
        <v>0</v>
      </c>
      <c r="AU49" s="69" t="str">
        <f t="shared" si="36"/>
        <v/>
      </c>
      <c r="BD49" s="110">
        <v>0</v>
      </c>
      <c r="BE49" s="126"/>
    </row>
    <row r="50" spans="1:58" ht="36" customHeight="1" x14ac:dyDescent="0.25">
      <c r="A50" s="294" t="s">
        <v>984</v>
      </c>
      <c r="B50" s="295" t="s">
        <v>985</v>
      </c>
      <c r="C50" s="295" t="s">
        <v>986</v>
      </c>
      <c r="D50" s="447" t="s">
        <v>924</v>
      </c>
      <c r="E50" s="297"/>
      <c r="F50" s="297"/>
      <c r="G50" s="297"/>
      <c r="H50" s="214"/>
      <c r="I50" s="92" t="s">
        <v>168</v>
      </c>
      <c r="J50" s="92" t="s">
        <v>178</v>
      </c>
      <c r="K50" s="92" t="s">
        <v>185</v>
      </c>
      <c r="L50" s="71" t="s">
        <v>190</v>
      </c>
      <c r="M50" s="71"/>
      <c r="N50" s="71"/>
      <c r="O50" s="71"/>
      <c r="P50" s="71" t="s">
        <v>380</v>
      </c>
      <c r="Q50" s="71" t="b">
        <f t="shared" si="37"/>
        <v>0</v>
      </c>
      <c r="R50" s="71" t="b">
        <f>IF('Cover Sheet'!$B$19="Non-Risk",1)</f>
        <v>0</v>
      </c>
      <c r="S50" s="64"/>
      <c r="T50" s="64"/>
      <c r="U50" s="97">
        <f>IF(OR($E$27="N/A",AND(BD50=0,'Cover Sheet'!$B$29="Streamlined Review"),AND(E50="Met",F50&lt;&gt;""),AND(E50="Not Met",G50&lt;&gt;""),AND(E50="Unsure",G50&lt;&gt;""),AND(E50="N/A",H50&lt;&gt;""),AND(Y50=TRUE),X50=TRUE),1,0)</f>
        <v>0</v>
      </c>
      <c r="V50" s="97"/>
      <c r="W50" s="97"/>
      <c r="X50" s="126" t="b">
        <f t="shared" si="26"/>
        <v>0</v>
      </c>
      <c r="Y50" s="126" t="b">
        <f t="shared" ref="Y50" si="39">IF(SUM(Z50:AE50)&lt;1,TRUE,FALSE)</f>
        <v>0</v>
      </c>
      <c r="Z50" s="126">
        <f t="shared" ref="Z50" si="40">IF($Z$2=I50,1,0)</f>
        <v>1</v>
      </c>
      <c r="AA50" s="126">
        <f t="shared" ref="AA50" si="41">IF($AA$2=J50,1,0)</f>
        <v>0</v>
      </c>
      <c r="AB50" s="126">
        <f t="shared" ref="AB50" si="42">IF($AB$2=K50,1,0)</f>
        <v>0</v>
      </c>
      <c r="AC50" s="126">
        <f t="shared" ref="AC50" si="43">IF($AC$2=L50,1,0)</f>
        <v>0</v>
      </c>
      <c r="AD50" s="126">
        <f t="shared" ref="AD50" si="44">IF($AD$2=M50,1,0)</f>
        <v>0</v>
      </c>
      <c r="AE50" s="126">
        <f t="shared" ref="AE50" si="45">IF($AE$2=O50,1,0)</f>
        <v>0</v>
      </c>
      <c r="AF50" s="53" t="b">
        <f t="shared" ref="AF50" si="46">IF($H$1&lt;&gt;0,IF($H$1&lt;&gt;I50,IF($H$1&lt;&gt;J50,IF($H$1&lt;&gt;K50,IF($H$1&lt;&gt;L50,IF($H$1&lt;&gt;M50,IF($H$1&lt;&gt;N50,IF($H$1&lt;&gt;O50,TRUE,FALSE))))))))</f>
        <v>0</v>
      </c>
      <c r="AG50" s="54" t="b">
        <f t="shared" ref="AG50" si="47">IF(OR(AL50=TRUE,AM50=TRUE),TRUE,FALSE)</f>
        <v>0</v>
      </c>
      <c r="AL50" s="56" t="b">
        <f>IF(AND('Cover Sheet'!$B$19="Non-Risk",$R50=1),TRUE,FALSE)</f>
        <v>0</v>
      </c>
      <c r="AM50" s="56" t="b">
        <f t="shared" si="35"/>
        <v>0</v>
      </c>
      <c r="AU50" s="69" t="str">
        <f t="shared" ref="AU50" si="48">IF(AT50=1,1,"")</f>
        <v/>
      </c>
      <c r="BD50" s="110">
        <v>0</v>
      </c>
      <c r="BE50" s="126"/>
      <c r="BF50">
        <f>IF(BF51=1,0,1)</f>
        <v>1</v>
      </c>
    </row>
    <row r="51" spans="1:58" ht="63" customHeight="1" x14ac:dyDescent="0.25">
      <c r="A51" s="294" t="s">
        <v>984</v>
      </c>
      <c r="B51" s="295" t="s">
        <v>985</v>
      </c>
      <c r="C51" s="295" t="s">
        <v>987</v>
      </c>
      <c r="D51" s="447" t="s">
        <v>924</v>
      </c>
      <c r="E51" s="297"/>
      <c r="F51" s="297"/>
      <c r="G51" s="297"/>
      <c r="H51" s="214"/>
      <c r="I51" s="92" t="s">
        <v>168</v>
      </c>
      <c r="J51" s="92" t="s">
        <v>178</v>
      </c>
      <c r="K51" s="92" t="s">
        <v>185</v>
      </c>
      <c r="L51" s="71" t="s">
        <v>190</v>
      </c>
      <c r="M51" s="71"/>
      <c r="N51" s="71"/>
      <c r="O51" s="71"/>
      <c r="P51" s="71" t="s">
        <v>380</v>
      </c>
      <c r="Q51" s="71" t="b">
        <f t="shared" si="37"/>
        <v>0</v>
      </c>
      <c r="R51" s="71" t="b">
        <f>IF('Cover Sheet'!$B$19="Non-Risk",1)</f>
        <v>0</v>
      </c>
      <c r="S51" s="64">
        <v>45482</v>
      </c>
      <c r="T51" s="64"/>
      <c r="U51" s="97">
        <f>IF(OR($E$27="N/A",AND(BD51=0,'Cover Sheet'!$B$29="Streamlined Review"),AND(E51="Met",F51&lt;&gt;""),AND(E51="Not Met",G51&lt;&gt;""),AND(E51="Unsure",G51&lt;&gt;""),AND(E51="N/A",H51&lt;&gt;""),AND(Y51=TRUE),X51=TRUE),1,0)</f>
        <v>1</v>
      </c>
      <c r="V51" s="97"/>
      <c r="W51" s="97"/>
      <c r="X51" s="126" t="b">
        <f>IF(OR(Y51=TRUE,BF51=0,R51=1),TRUE,FALSE)</f>
        <v>1</v>
      </c>
      <c r="Y51" s="126" t="b">
        <f t="shared" si="38"/>
        <v>0</v>
      </c>
      <c r="Z51" s="126">
        <f t="shared" si="27"/>
        <v>1</v>
      </c>
      <c r="AA51" s="126">
        <f t="shared" si="28"/>
        <v>0</v>
      </c>
      <c r="AB51" s="126">
        <f t="shared" si="29"/>
        <v>0</v>
      </c>
      <c r="AC51" s="126">
        <f t="shared" si="30"/>
        <v>0</v>
      </c>
      <c r="AD51" s="126">
        <f t="shared" si="31"/>
        <v>0</v>
      </c>
      <c r="AE51" s="126">
        <f t="shared" si="32"/>
        <v>0</v>
      </c>
      <c r="AF51" s="53" t="b">
        <f t="shared" si="33"/>
        <v>0</v>
      </c>
      <c r="AG51" s="54" t="b">
        <f t="shared" si="34"/>
        <v>0</v>
      </c>
      <c r="AL51" s="56" t="b">
        <f>IF(AND('Cover Sheet'!$B$19="Non-Risk",$R51=1),TRUE,FALSE)</f>
        <v>0</v>
      </c>
      <c r="AM51" s="56" t="b">
        <f t="shared" si="35"/>
        <v>0</v>
      </c>
      <c r="AU51" s="69" t="str">
        <f t="shared" si="36"/>
        <v/>
      </c>
      <c r="BD51" s="110">
        <v>0</v>
      </c>
      <c r="BE51" s="126"/>
      <c r="BF51">
        <f>IF('Cover Sheet'!$B$25&gt;=S51,1,0)</f>
        <v>0</v>
      </c>
    </row>
    <row r="52" spans="1:58" ht="30.75" customHeight="1" x14ac:dyDescent="0.25">
      <c r="A52" s="294" t="s">
        <v>988</v>
      </c>
      <c r="B52" s="295" t="s">
        <v>989</v>
      </c>
      <c r="C52" s="295" t="s">
        <v>990</v>
      </c>
      <c r="D52" s="447" t="s">
        <v>950</v>
      </c>
      <c r="E52" s="297"/>
      <c r="F52" s="297"/>
      <c r="G52" s="297"/>
      <c r="H52" s="214"/>
      <c r="I52" s="92" t="s">
        <v>168</v>
      </c>
      <c r="J52" s="92" t="s">
        <v>178</v>
      </c>
      <c r="K52" s="92" t="s">
        <v>185</v>
      </c>
      <c r="L52" s="71" t="s">
        <v>190</v>
      </c>
      <c r="M52" s="71"/>
      <c r="N52" s="71"/>
      <c r="O52" s="71"/>
      <c r="P52" s="71" t="s">
        <v>380</v>
      </c>
      <c r="Q52" s="71" t="b">
        <f t="shared" si="37"/>
        <v>0</v>
      </c>
      <c r="R52" s="71" t="b">
        <f>IF('Cover Sheet'!$B$19="Non-Risk",1)</f>
        <v>0</v>
      </c>
      <c r="S52" s="64">
        <v>42917</v>
      </c>
      <c r="T52" s="64"/>
      <c r="U52" s="97">
        <f>IF(OR($E$27="N/A",AND(BD52=0,'Cover Sheet'!$B$29="Streamlined Review"),AND(E52="Met",F52&lt;&gt;""),AND(E52="Not Met",G52&lt;&gt;""),AND(E52="Unsure",G52&lt;&gt;""),AND(E52="N/A",H52&lt;&gt;""),AND(Y52=TRUE)),1,0)</f>
        <v>0</v>
      </c>
      <c r="V52" s="97"/>
      <c r="W52" s="97"/>
      <c r="X52" s="126" t="b">
        <f t="shared" ref="X52:X62" si="49">IF(OR(Y52=TRUE,R52=1),TRUE,FALSE)</f>
        <v>0</v>
      </c>
      <c r="Y52" s="126" t="b">
        <f t="shared" si="38"/>
        <v>0</v>
      </c>
      <c r="Z52" s="126">
        <f t="shared" si="27"/>
        <v>1</v>
      </c>
      <c r="AA52" s="126">
        <f t="shared" si="28"/>
        <v>0</v>
      </c>
      <c r="AB52" s="126">
        <f t="shared" si="29"/>
        <v>0</v>
      </c>
      <c r="AC52" s="126">
        <f t="shared" si="30"/>
        <v>0</v>
      </c>
      <c r="AD52" s="126">
        <f t="shared" si="31"/>
        <v>0</v>
      </c>
      <c r="AE52" s="126">
        <f t="shared" si="32"/>
        <v>0</v>
      </c>
      <c r="AF52" s="53" t="b">
        <f t="shared" si="33"/>
        <v>0</v>
      </c>
      <c r="AG52" s="54" t="b">
        <f t="shared" si="34"/>
        <v>0</v>
      </c>
      <c r="AL52" s="56" t="b">
        <f>IF(AND('Cover Sheet'!$B$19="Non-Risk",$R52=1),TRUE,FALSE)</f>
        <v>0</v>
      </c>
      <c r="AM52" s="56" t="b">
        <f t="shared" si="35"/>
        <v>0</v>
      </c>
      <c r="AU52" s="69" t="str">
        <f t="shared" si="36"/>
        <v/>
      </c>
      <c r="BD52" s="110">
        <v>0</v>
      </c>
      <c r="BE52" s="126"/>
    </row>
    <row r="53" spans="1:58" ht="30.75" customHeight="1" x14ac:dyDescent="0.25">
      <c r="A53" s="294" t="s">
        <v>991</v>
      </c>
      <c r="B53" s="295" t="s">
        <v>992</v>
      </c>
      <c r="C53" s="295" t="s">
        <v>993</v>
      </c>
      <c r="D53" s="447" t="s">
        <v>924</v>
      </c>
      <c r="E53" s="297"/>
      <c r="F53" s="297"/>
      <c r="G53" s="297"/>
      <c r="H53" s="214"/>
      <c r="I53" s="92" t="s">
        <v>168</v>
      </c>
      <c r="J53" s="92" t="s">
        <v>178</v>
      </c>
      <c r="K53" s="92" t="s">
        <v>185</v>
      </c>
      <c r="L53" s="71" t="s">
        <v>190</v>
      </c>
      <c r="M53" s="71"/>
      <c r="N53" s="71"/>
      <c r="O53" s="71"/>
      <c r="P53" s="71" t="s">
        <v>380</v>
      </c>
      <c r="Q53" s="71" t="b">
        <f t="shared" si="37"/>
        <v>0</v>
      </c>
      <c r="R53" s="71" t="b">
        <f>IF('Cover Sheet'!$B$19="Non-Risk",1)</f>
        <v>0</v>
      </c>
      <c r="S53" s="64">
        <v>42917</v>
      </c>
      <c r="T53" s="64"/>
      <c r="U53" s="97">
        <f>IF(OR($E$27="N/A",AND(BD53=0,'Cover Sheet'!$B$29="Streamlined Review"),AND(E53="Met",F53&lt;&gt;""),AND(E53="Not Met",G53&lt;&gt;""),AND(E53="Unsure",G53&lt;&gt;""),AND(E53="N/A",H53&lt;&gt;""),AND(Y53=TRUE)),1,0)</f>
        <v>0</v>
      </c>
      <c r="V53" s="97"/>
      <c r="W53" s="97"/>
      <c r="X53" s="126" t="b">
        <f t="shared" si="49"/>
        <v>0</v>
      </c>
      <c r="Y53" s="126" t="b">
        <f t="shared" si="38"/>
        <v>0</v>
      </c>
      <c r="Z53" s="126">
        <f t="shared" si="27"/>
        <v>1</v>
      </c>
      <c r="AA53" s="126">
        <f t="shared" si="28"/>
        <v>0</v>
      </c>
      <c r="AB53" s="126">
        <f t="shared" si="29"/>
        <v>0</v>
      </c>
      <c r="AC53" s="126">
        <f t="shared" si="30"/>
        <v>0</v>
      </c>
      <c r="AD53" s="126">
        <f t="shared" si="31"/>
        <v>0</v>
      </c>
      <c r="AE53" s="126">
        <f t="shared" si="32"/>
        <v>0</v>
      </c>
      <c r="AF53" s="53" t="b">
        <f t="shared" si="33"/>
        <v>0</v>
      </c>
      <c r="AG53" s="54" t="b">
        <f t="shared" si="34"/>
        <v>0</v>
      </c>
      <c r="AL53" s="56" t="b">
        <f>IF(AND('Cover Sheet'!$B$19="Non-Risk",$R53=1),TRUE,FALSE)</f>
        <v>0</v>
      </c>
      <c r="AM53" s="56" t="b">
        <f t="shared" si="35"/>
        <v>0</v>
      </c>
      <c r="AU53" s="69" t="str">
        <f t="shared" si="36"/>
        <v/>
      </c>
      <c r="BD53" s="110">
        <v>0</v>
      </c>
      <c r="BE53" s="126"/>
    </row>
    <row r="54" spans="1:58" ht="31.5" customHeight="1" x14ac:dyDescent="0.25">
      <c r="A54" s="294" t="s">
        <v>994</v>
      </c>
      <c r="B54" s="295" t="s">
        <v>995</v>
      </c>
      <c r="C54" s="295" t="s">
        <v>996</v>
      </c>
      <c r="D54" s="447" t="s">
        <v>924</v>
      </c>
      <c r="E54" s="297"/>
      <c r="F54" s="297"/>
      <c r="G54" s="297"/>
      <c r="H54" s="214"/>
      <c r="I54" s="92" t="s">
        <v>168</v>
      </c>
      <c r="J54" s="92" t="s">
        <v>178</v>
      </c>
      <c r="K54" s="92" t="s">
        <v>185</v>
      </c>
      <c r="L54" s="71" t="s">
        <v>190</v>
      </c>
      <c r="M54" s="71"/>
      <c r="N54" s="71"/>
      <c r="O54" s="71"/>
      <c r="P54" s="71" t="s">
        <v>380</v>
      </c>
      <c r="Q54" s="71" t="b">
        <f t="shared" si="37"/>
        <v>0</v>
      </c>
      <c r="R54" s="71" t="b">
        <f>IF('Cover Sheet'!$B$19="Non-Risk",1)</f>
        <v>0</v>
      </c>
      <c r="S54" s="64">
        <v>42917</v>
      </c>
      <c r="T54" s="64"/>
      <c r="U54" s="97">
        <f>IF(OR($E$27="N/A",AND(BD54=0,'Cover Sheet'!$B$29="Streamlined Review"),AND(E54="Met",F54&lt;&gt;""),AND(E54="Not Met",G54&lt;&gt;""),AND(E54="Unsure",G54&lt;&gt;""),AND(E54="N/A",H54&lt;&gt;""),AND(Y54=TRUE)),1,0)</f>
        <v>0</v>
      </c>
      <c r="V54" s="97"/>
      <c r="W54" s="97"/>
      <c r="X54" s="126" t="b">
        <f t="shared" si="49"/>
        <v>0</v>
      </c>
      <c r="Y54" s="126" t="b">
        <f t="shared" si="38"/>
        <v>0</v>
      </c>
      <c r="Z54" s="126">
        <f t="shared" si="27"/>
        <v>1</v>
      </c>
      <c r="AA54" s="126">
        <f t="shared" si="28"/>
        <v>0</v>
      </c>
      <c r="AB54" s="126">
        <f t="shared" si="29"/>
        <v>0</v>
      </c>
      <c r="AC54" s="126">
        <f t="shared" si="30"/>
        <v>0</v>
      </c>
      <c r="AD54" s="126">
        <f t="shared" si="31"/>
        <v>0</v>
      </c>
      <c r="AE54" s="126">
        <f t="shared" si="32"/>
        <v>0</v>
      </c>
      <c r="AF54" s="53" t="b">
        <f t="shared" si="33"/>
        <v>0</v>
      </c>
      <c r="AG54" s="54" t="b">
        <f t="shared" si="34"/>
        <v>0</v>
      </c>
      <c r="AL54" s="56" t="b">
        <f>IF(AND('Cover Sheet'!$B$19="Non-Risk",$R54=1),TRUE,FALSE)</f>
        <v>0</v>
      </c>
      <c r="AM54" s="56" t="b">
        <f t="shared" si="35"/>
        <v>0</v>
      </c>
      <c r="AU54" s="69" t="str">
        <f t="shared" si="36"/>
        <v/>
      </c>
      <c r="BD54" s="110">
        <v>0</v>
      </c>
      <c r="BE54" s="126"/>
    </row>
    <row r="55" spans="1:58" ht="42.75" customHeight="1" x14ac:dyDescent="0.25">
      <c r="A55" s="294" t="s">
        <v>997</v>
      </c>
      <c r="B55" s="295" t="s">
        <v>998</v>
      </c>
      <c r="C55" s="295" t="s">
        <v>999</v>
      </c>
      <c r="D55" s="447" t="s">
        <v>924</v>
      </c>
      <c r="E55" s="297"/>
      <c r="F55" s="297"/>
      <c r="G55" s="297"/>
      <c r="H55" s="214"/>
      <c r="I55" s="92" t="s">
        <v>168</v>
      </c>
      <c r="J55" s="92" t="s">
        <v>178</v>
      </c>
      <c r="K55" s="92" t="s">
        <v>185</v>
      </c>
      <c r="L55" s="71" t="s">
        <v>190</v>
      </c>
      <c r="M55" s="71"/>
      <c r="N55" s="71"/>
      <c r="O55" s="71"/>
      <c r="P55" s="71" t="s">
        <v>380</v>
      </c>
      <c r="Q55" s="71" t="b">
        <f t="shared" si="37"/>
        <v>0</v>
      </c>
      <c r="R55" s="71" t="b">
        <f>IF('Cover Sheet'!$B$19="Non-Risk",1)</f>
        <v>0</v>
      </c>
      <c r="S55" s="64">
        <v>42917</v>
      </c>
      <c r="T55" s="64"/>
      <c r="U55" s="97">
        <f>IF(OR($E$27="N/A",AND(BD55=0,'Cover Sheet'!$B$29="Streamlined Review"),AND(E55="Met",F55&lt;&gt;""),AND(E55="Not Met",G55&lt;&gt;""),AND(E55="Unsure",G55&lt;&gt;""),AND(E55="N/A",H55&lt;&gt;""),AND(Y55=TRUE)),1,0)</f>
        <v>0</v>
      </c>
      <c r="V55" s="97"/>
      <c r="W55" s="97"/>
      <c r="X55" s="126" t="b">
        <f t="shared" si="49"/>
        <v>0</v>
      </c>
      <c r="Y55" s="126" t="b">
        <f t="shared" si="38"/>
        <v>0</v>
      </c>
      <c r="Z55" s="126">
        <f t="shared" si="27"/>
        <v>1</v>
      </c>
      <c r="AA55" s="126">
        <f t="shared" si="28"/>
        <v>0</v>
      </c>
      <c r="AB55" s="126">
        <f t="shared" si="29"/>
        <v>0</v>
      </c>
      <c r="AC55" s="126">
        <f t="shared" si="30"/>
        <v>0</v>
      </c>
      <c r="AD55" s="126">
        <f t="shared" si="31"/>
        <v>0</v>
      </c>
      <c r="AE55" s="126">
        <f t="shared" si="32"/>
        <v>0</v>
      </c>
      <c r="AF55" s="53" t="b">
        <f t="shared" si="33"/>
        <v>0</v>
      </c>
      <c r="AG55" s="54" t="b">
        <f t="shared" si="34"/>
        <v>0</v>
      </c>
      <c r="AL55" s="56" t="b">
        <f>IF(AND('Cover Sheet'!$B$19="Non-Risk",$R55=1),TRUE,FALSE)</f>
        <v>0</v>
      </c>
      <c r="AM55" s="56" t="b">
        <f t="shared" si="35"/>
        <v>0</v>
      </c>
      <c r="AU55" s="69" t="str">
        <f t="shared" si="36"/>
        <v/>
      </c>
      <c r="BD55" s="110">
        <v>0</v>
      </c>
      <c r="BE55" s="126"/>
    </row>
    <row r="56" spans="1:58" ht="42" customHeight="1" x14ac:dyDescent="0.25">
      <c r="A56" s="294" t="s">
        <v>1000</v>
      </c>
      <c r="B56" s="295" t="s">
        <v>1001</v>
      </c>
      <c r="C56" s="295" t="s">
        <v>1002</v>
      </c>
      <c r="D56" s="447" t="s">
        <v>924</v>
      </c>
      <c r="E56" s="297"/>
      <c r="F56" s="297"/>
      <c r="G56" s="297"/>
      <c r="H56" s="214"/>
      <c r="I56" s="92" t="s">
        <v>168</v>
      </c>
      <c r="J56" s="92" t="s">
        <v>178</v>
      </c>
      <c r="K56" s="92" t="s">
        <v>185</v>
      </c>
      <c r="L56" s="71" t="s">
        <v>190</v>
      </c>
      <c r="M56" s="71"/>
      <c r="N56" s="71"/>
      <c r="O56" s="71"/>
      <c r="P56" s="71" t="s">
        <v>380</v>
      </c>
      <c r="Q56" s="71" t="b">
        <f t="shared" si="37"/>
        <v>0</v>
      </c>
      <c r="R56" s="71" t="b">
        <f>IF('Cover Sheet'!$B$19="Non-Risk",1)</f>
        <v>0</v>
      </c>
      <c r="S56" s="64">
        <v>42917</v>
      </c>
      <c r="T56" s="64"/>
      <c r="U56" s="97">
        <f>IF(OR($E$27="N/A",AND(BD56=0,'Cover Sheet'!$B$29="Streamlined Review"),AND(E56="Met",F56&lt;&gt;""),AND(E56="Not Met",G56&lt;&gt;""),AND(E56="Unsure",G56&lt;&gt;""),AND(E56="N/A",H56&lt;&gt;""),AND(Y56=TRUE)),1,0)</f>
        <v>0</v>
      </c>
      <c r="V56" s="97"/>
      <c r="W56" s="97"/>
      <c r="X56" s="126" t="b">
        <f t="shared" si="49"/>
        <v>0</v>
      </c>
      <c r="Y56" s="126" t="b">
        <f t="shared" si="38"/>
        <v>0</v>
      </c>
      <c r="Z56" s="126">
        <f t="shared" si="27"/>
        <v>1</v>
      </c>
      <c r="AA56" s="126">
        <f t="shared" si="28"/>
        <v>0</v>
      </c>
      <c r="AB56" s="126">
        <f t="shared" si="29"/>
        <v>0</v>
      </c>
      <c r="AC56" s="126">
        <f t="shared" si="30"/>
        <v>0</v>
      </c>
      <c r="AD56" s="126">
        <f t="shared" si="31"/>
        <v>0</v>
      </c>
      <c r="AE56" s="126">
        <f t="shared" si="32"/>
        <v>0</v>
      </c>
      <c r="AF56" s="53" t="b">
        <f t="shared" si="33"/>
        <v>0</v>
      </c>
      <c r="AG56" s="54" t="b">
        <f t="shared" si="34"/>
        <v>0</v>
      </c>
      <c r="AL56" s="56" t="b">
        <f>IF(AND('Cover Sheet'!$B$19="Non-Risk",$R56=1),TRUE,FALSE)</f>
        <v>0</v>
      </c>
      <c r="AM56" s="56" t="b">
        <f t="shared" si="35"/>
        <v>0</v>
      </c>
      <c r="AU56" s="69" t="str">
        <f t="shared" si="36"/>
        <v/>
      </c>
      <c r="BD56" s="110">
        <v>0</v>
      </c>
      <c r="BE56" s="126"/>
    </row>
    <row r="57" spans="1:58" ht="29.25" customHeight="1" x14ac:dyDescent="0.25">
      <c r="A57" s="294" t="s">
        <v>1003</v>
      </c>
      <c r="B57" s="295" t="s">
        <v>1004</v>
      </c>
      <c r="C57" s="295" t="s">
        <v>1005</v>
      </c>
      <c r="D57" s="447" t="s">
        <v>924</v>
      </c>
      <c r="E57" s="297"/>
      <c r="F57" s="297"/>
      <c r="G57" s="297"/>
      <c r="H57" s="214"/>
      <c r="I57" s="92" t="s">
        <v>168</v>
      </c>
      <c r="J57" s="92" t="s">
        <v>178</v>
      </c>
      <c r="K57" s="92" t="s">
        <v>185</v>
      </c>
      <c r="L57" s="71" t="s">
        <v>190</v>
      </c>
      <c r="M57" s="71"/>
      <c r="N57" s="71"/>
      <c r="O57" s="71"/>
      <c r="P57" s="71" t="s">
        <v>380</v>
      </c>
      <c r="Q57" s="71" t="b">
        <f t="shared" si="37"/>
        <v>0</v>
      </c>
      <c r="R57" s="71" t="b">
        <f>IF('Cover Sheet'!$B$19="Non-Risk",1)</f>
        <v>0</v>
      </c>
      <c r="S57" s="64">
        <v>42917</v>
      </c>
      <c r="T57" s="64"/>
      <c r="U57" s="97">
        <f>IF(OR($E$27="N/A",AND(BD57=0,'Cover Sheet'!$B$29="Streamlined Review"),AND(E57="Met",F57&lt;&gt;""),AND(E57="Not Met",G57&lt;&gt;""),AND(E57="Unsure",G57&lt;&gt;""),AND(E57="N/A",H57&lt;&gt;""),AND(Y57=TRUE)),1,0)</f>
        <v>0</v>
      </c>
      <c r="V57" s="97"/>
      <c r="W57" s="97"/>
      <c r="X57" s="126" t="b">
        <f t="shared" si="49"/>
        <v>0</v>
      </c>
      <c r="Y57" s="126" t="b">
        <f t="shared" si="38"/>
        <v>0</v>
      </c>
      <c r="Z57" s="126">
        <f t="shared" si="27"/>
        <v>1</v>
      </c>
      <c r="AA57" s="126">
        <f t="shared" si="28"/>
        <v>0</v>
      </c>
      <c r="AB57" s="126">
        <f t="shared" si="29"/>
        <v>0</v>
      </c>
      <c r="AC57" s="126">
        <f t="shared" si="30"/>
        <v>0</v>
      </c>
      <c r="AD57" s="126">
        <f t="shared" si="31"/>
        <v>0</v>
      </c>
      <c r="AE57" s="126">
        <f t="shared" si="32"/>
        <v>0</v>
      </c>
      <c r="AF57" s="53" t="b">
        <f t="shared" si="33"/>
        <v>0</v>
      </c>
      <c r="AG57" s="54" t="b">
        <f t="shared" si="34"/>
        <v>0</v>
      </c>
      <c r="AL57" s="56" t="b">
        <f>IF(AND('Cover Sheet'!$B$19="Non-Risk",$R57=1),TRUE,FALSE)</f>
        <v>0</v>
      </c>
      <c r="AM57" s="56" t="b">
        <f t="shared" si="35"/>
        <v>0</v>
      </c>
      <c r="AU57" s="69" t="str">
        <f t="shared" si="36"/>
        <v/>
      </c>
      <c r="BD57" s="110">
        <v>0</v>
      </c>
      <c r="BE57" s="126"/>
    </row>
    <row r="58" spans="1:58" ht="42.75" customHeight="1" x14ac:dyDescent="0.25">
      <c r="A58" s="294" t="s">
        <v>1006</v>
      </c>
      <c r="B58" s="295" t="s">
        <v>1007</v>
      </c>
      <c r="C58" s="295" t="s">
        <v>1008</v>
      </c>
      <c r="D58" s="447" t="s">
        <v>722</v>
      </c>
      <c r="E58" s="297"/>
      <c r="F58" s="297"/>
      <c r="G58" s="297"/>
      <c r="H58" s="214"/>
      <c r="I58" s="92" t="s">
        <v>168</v>
      </c>
      <c r="J58" s="92" t="s">
        <v>178</v>
      </c>
      <c r="K58" s="92" t="s">
        <v>185</v>
      </c>
      <c r="L58" s="71" t="s">
        <v>190</v>
      </c>
      <c r="M58" s="71"/>
      <c r="N58" s="71"/>
      <c r="O58" s="71"/>
      <c r="P58" s="71" t="s">
        <v>380</v>
      </c>
      <c r="Q58" s="71" t="b">
        <f t="shared" si="37"/>
        <v>0</v>
      </c>
      <c r="R58" s="71" t="b">
        <f>IF('Cover Sheet'!$B$19="Non-Risk",1)</f>
        <v>0</v>
      </c>
      <c r="S58" s="64">
        <v>42917</v>
      </c>
      <c r="T58" s="64"/>
      <c r="U58" s="97">
        <f>IF(OR($E$27="N/A",AND(BD58=0,'Cover Sheet'!$B$29="Streamlined Review"),AND(E58="Met",F58&lt;&gt;""),AND(E58="Not Met",G58&lt;&gt;""),AND(E58="Unsure",G58&lt;&gt;""),AND(E58="N/A",H58&lt;&gt;""),AND(Y58=TRUE)),1,0)</f>
        <v>0</v>
      </c>
      <c r="V58" s="97"/>
      <c r="W58" s="97"/>
      <c r="X58" s="126" t="b">
        <f t="shared" si="49"/>
        <v>0</v>
      </c>
      <c r="Y58" s="126" t="b">
        <f t="shared" si="38"/>
        <v>0</v>
      </c>
      <c r="Z58" s="126">
        <f t="shared" si="27"/>
        <v>1</v>
      </c>
      <c r="AA58" s="126">
        <f t="shared" si="28"/>
        <v>0</v>
      </c>
      <c r="AB58" s="126">
        <f t="shared" si="29"/>
        <v>0</v>
      </c>
      <c r="AC58" s="126">
        <f t="shared" si="30"/>
        <v>0</v>
      </c>
      <c r="AD58" s="126">
        <f t="shared" si="31"/>
        <v>0</v>
      </c>
      <c r="AE58" s="126">
        <f t="shared" si="32"/>
        <v>0</v>
      </c>
      <c r="AF58" s="53" t="b">
        <f t="shared" si="33"/>
        <v>0</v>
      </c>
      <c r="AG58" s="54" t="b">
        <f t="shared" si="34"/>
        <v>0</v>
      </c>
      <c r="AL58" s="56" t="b">
        <f>IF(AND('Cover Sheet'!$B$19="Non-Risk",$R58=1),TRUE,FALSE)</f>
        <v>0</v>
      </c>
      <c r="AM58" s="56" t="b">
        <f t="shared" si="35"/>
        <v>0</v>
      </c>
      <c r="AU58" s="69" t="str">
        <f t="shared" si="36"/>
        <v/>
      </c>
      <c r="BD58" s="110">
        <v>0</v>
      </c>
      <c r="BE58" s="126"/>
    </row>
    <row r="59" spans="1:58" ht="68.25" customHeight="1" x14ac:dyDescent="0.25">
      <c r="A59" s="294" t="s">
        <v>1009</v>
      </c>
      <c r="B59" s="295" t="s">
        <v>1010</v>
      </c>
      <c r="C59" s="295" t="s">
        <v>1011</v>
      </c>
      <c r="D59" s="447" t="s">
        <v>924</v>
      </c>
      <c r="E59" s="297"/>
      <c r="F59" s="297"/>
      <c r="G59" s="297"/>
      <c r="H59" s="214"/>
      <c r="I59" s="92" t="s">
        <v>168</v>
      </c>
      <c r="J59" s="92" t="s">
        <v>178</v>
      </c>
      <c r="K59" s="92" t="s">
        <v>185</v>
      </c>
      <c r="L59" s="71" t="s">
        <v>190</v>
      </c>
      <c r="M59" s="71"/>
      <c r="N59" s="71"/>
      <c r="O59" s="71"/>
      <c r="P59" s="71" t="s">
        <v>380</v>
      </c>
      <c r="Q59" s="71" t="b">
        <f t="shared" si="37"/>
        <v>0</v>
      </c>
      <c r="R59" s="71" t="b">
        <f>IF('Cover Sheet'!$B$19="Non-Risk",1)</f>
        <v>0</v>
      </c>
      <c r="S59" s="64">
        <v>42917</v>
      </c>
      <c r="T59" s="64"/>
      <c r="U59" s="97">
        <f>IF(OR($E$27="N/A",AND(BD59=0,'Cover Sheet'!$B$29="Streamlined Review"),AND(E59="Met",F59&lt;&gt;""),AND(E59="Not Met",G59&lt;&gt;""),AND(E59="Unsure",G59&lt;&gt;""),AND(E59="N/A",H59&lt;&gt;""),AND(Y59=TRUE)),1,0)</f>
        <v>0</v>
      </c>
      <c r="V59" s="97"/>
      <c r="W59" s="97"/>
      <c r="X59" s="126" t="b">
        <f t="shared" si="49"/>
        <v>0</v>
      </c>
      <c r="Y59" s="126" t="b">
        <f t="shared" si="38"/>
        <v>0</v>
      </c>
      <c r="Z59" s="126">
        <f t="shared" si="27"/>
        <v>1</v>
      </c>
      <c r="AA59" s="126">
        <f t="shared" si="28"/>
        <v>0</v>
      </c>
      <c r="AB59" s="126">
        <f t="shared" si="29"/>
        <v>0</v>
      </c>
      <c r="AC59" s="126">
        <f t="shared" si="30"/>
        <v>0</v>
      </c>
      <c r="AD59" s="126">
        <f t="shared" si="31"/>
        <v>0</v>
      </c>
      <c r="AE59" s="126">
        <f t="shared" si="32"/>
        <v>0</v>
      </c>
      <c r="AF59" s="53" t="b">
        <f t="shared" si="33"/>
        <v>0</v>
      </c>
      <c r="AG59" s="54" t="b">
        <f t="shared" si="34"/>
        <v>0</v>
      </c>
      <c r="AL59" s="56" t="b">
        <f>IF(AND('Cover Sheet'!$B$19="Non-Risk",$R59=1),TRUE,FALSE)</f>
        <v>0</v>
      </c>
      <c r="AM59" s="56" t="b">
        <f t="shared" si="35"/>
        <v>0</v>
      </c>
      <c r="AU59" s="69" t="str">
        <f t="shared" si="36"/>
        <v/>
      </c>
      <c r="BD59" s="110">
        <v>0</v>
      </c>
      <c r="BE59" s="126"/>
    </row>
    <row r="60" spans="1:58" ht="57.75" customHeight="1" x14ac:dyDescent="0.25">
      <c r="A60" s="294" t="s">
        <v>1012</v>
      </c>
      <c r="B60" s="295" t="s">
        <v>1013</v>
      </c>
      <c r="C60" s="295" t="s">
        <v>1014</v>
      </c>
      <c r="D60" s="447" t="s">
        <v>924</v>
      </c>
      <c r="E60" s="297"/>
      <c r="F60" s="297"/>
      <c r="G60" s="297"/>
      <c r="H60" s="214"/>
      <c r="I60" s="92" t="s">
        <v>168</v>
      </c>
      <c r="J60" s="92" t="s">
        <v>178</v>
      </c>
      <c r="K60" s="92" t="s">
        <v>185</v>
      </c>
      <c r="L60" s="71" t="s">
        <v>190</v>
      </c>
      <c r="M60" s="71"/>
      <c r="N60" s="71"/>
      <c r="O60" s="71"/>
      <c r="P60" s="71" t="s">
        <v>380</v>
      </c>
      <c r="Q60" s="71" t="b">
        <f t="shared" si="37"/>
        <v>0</v>
      </c>
      <c r="R60" s="71" t="b">
        <f>IF('Cover Sheet'!$B$19="Non-Risk",1)</f>
        <v>0</v>
      </c>
      <c r="S60" s="64">
        <v>42917</v>
      </c>
      <c r="T60" s="64"/>
      <c r="U60" s="97">
        <f>IF(OR($E$27="N/A",AND(BD60=0,'Cover Sheet'!$B$29="Streamlined Review"),AND(E60="Met",F60&lt;&gt;""),AND(E60="Not Met",G60&lt;&gt;""),AND(E60="Unsure",G60&lt;&gt;""),AND(E60="N/A",H60&lt;&gt;""),AND(Y60=TRUE)),1,0)</f>
        <v>0</v>
      </c>
      <c r="V60" s="97"/>
      <c r="W60" s="97"/>
      <c r="X60" s="126" t="b">
        <f t="shared" si="49"/>
        <v>0</v>
      </c>
      <c r="Y60" s="126" t="b">
        <f t="shared" si="38"/>
        <v>0</v>
      </c>
      <c r="Z60" s="126">
        <f t="shared" si="27"/>
        <v>1</v>
      </c>
      <c r="AA60" s="126">
        <f t="shared" si="28"/>
        <v>0</v>
      </c>
      <c r="AB60" s="126">
        <f t="shared" si="29"/>
        <v>0</v>
      </c>
      <c r="AC60" s="126">
        <f t="shared" si="30"/>
        <v>0</v>
      </c>
      <c r="AD60" s="126">
        <f t="shared" si="31"/>
        <v>0</v>
      </c>
      <c r="AE60" s="126">
        <f t="shared" si="32"/>
        <v>0</v>
      </c>
      <c r="AF60" s="53" t="b">
        <f t="shared" si="33"/>
        <v>0</v>
      </c>
      <c r="AG60" s="54" t="b">
        <f t="shared" si="34"/>
        <v>0</v>
      </c>
      <c r="AL60" s="56" t="b">
        <f>IF(AND('Cover Sheet'!$B$19="Non-Risk",$R60=1),TRUE,FALSE)</f>
        <v>0</v>
      </c>
      <c r="AM60" s="56" t="b">
        <f t="shared" si="35"/>
        <v>0</v>
      </c>
      <c r="AU60" s="69" t="str">
        <f t="shared" si="36"/>
        <v/>
      </c>
      <c r="BD60" s="110">
        <v>0</v>
      </c>
      <c r="BE60" s="126"/>
    </row>
    <row r="61" spans="1:58" ht="57" customHeight="1" x14ac:dyDescent="0.25">
      <c r="A61" s="294" t="s">
        <v>1015</v>
      </c>
      <c r="B61" s="295" t="s">
        <v>1013</v>
      </c>
      <c r="C61" s="295" t="s">
        <v>1016</v>
      </c>
      <c r="D61" s="447" t="s">
        <v>924</v>
      </c>
      <c r="E61" s="297"/>
      <c r="F61" s="297"/>
      <c r="G61" s="297"/>
      <c r="H61" s="214"/>
      <c r="I61" s="92" t="s">
        <v>168</v>
      </c>
      <c r="J61" s="92" t="s">
        <v>178</v>
      </c>
      <c r="K61" s="92" t="s">
        <v>185</v>
      </c>
      <c r="L61" s="71" t="s">
        <v>190</v>
      </c>
      <c r="M61" s="71"/>
      <c r="N61" s="71"/>
      <c r="O61" s="71"/>
      <c r="P61" s="71" t="s">
        <v>380</v>
      </c>
      <c r="Q61" s="71" t="b">
        <f t="shared" si="37"/>
        <v>0</v>
      </c>
      <c r="R61" s="71" t="b">
        <f>IF('Cover Sheet'!$B$19="Non-Risk",1)</f>
        <v>0</v>
      </c>
      <c r="S61" s="64">
        <v>42917</v>
      </c>
      <c r="T61" s="64"/>
      <c r="U61" s="97">
        <f>IF(OR($E$27="N/A",AND(BD61=0,'Cover Sheet'!$B$29="Streamlined Review"),AND(E61="Met",F61&lt;&gt;""),AND(E61="Not Met",G61&lt;&gt;""),AND(E61="Unsure",G61&lt;&gt;""),AND(E61="N/A",H61&lt;&gt;""),AND(Y61=TRUE)),1,0)</f>
        <v>0</v>
      </c>
      <c r="V61" s="97"/>
      <c r="W61" s="97"/>
      <c r="X61" s="126" t="b">
        <f t="shared" si="49"/>
        <v>0</v>
      </c>
      <c r="Y61" s="126" t="b">
        <f t="shared" si="38"/>
        <v>0</v>
      </c>
      <c r="Z61" s="126">
        <f t="shared" si="27"/>
        <v>1</v>
      </c>
      <c r="AA61" s="126">
        <f t="shared" si="28"/>
        <v>0</v>
      </c>
      <c r="AB61" s="126">
        <f t="shared" si="29"/>
        <v>0</v>
      </c>
      <c r="AC61" s="126">
        <f t="shared" si="30"/>
        <v>0</v>
      </c>
      <c r="AD61" s="126">
        <f t="shared" si="31"/>
        <v>0</v>
      </c>
      <c r="AE61" s="126">
        <f t="shared" si="32"/>
        <v>0</v>
      </c>
      <c r="AF61" s="53" t="b">
        <f t="shared" si="33"/>
        <v>0</v>
      </c>
      <c r="AG61" s="54" t="b">
        <f t="shared" si="34"/>
        <v>0</v>
      </c>
      <c r="AL61" s="56" t="b">
        <f>IF(AND('Cover Sheet'!$B$19="Non-Risk",$R61=1),TRUE,FALSE)</f>
        <v>0</v>
      </c>
      <c r="AM61" s="56" t="b">
        <f t="shared" si="35"/>
        <v>0</v>
      </c>
      <c r="AU61" s="69" t="str">
        <f t="shared" si="36"/>
        <v/>
      </c>
      <c r="BD61" s="110">
        <v>0</v>
      </c>
      <c r="BE61" s="126"/>
    </row>
    <row r="62" spans="1:58" ht="36" customHeight="1" thickBot="1" x14ac:dyDescent="0.3">
      <c r="A62" s="294" t="s">
        <v>1017</v>
      </c>
      <c r="B62" s="295" t="s">
        <v>1018</v>
      </c>
      <c r="C62" s="295" t="s">
        <v>1019</v>
      </c>
      <c r="D62" s="447" t="s">
        <v>924</v>
      </c>
      <c r="E62" s="297"/>
      <c r="F62" s="297"/>
      <c r="G62" s="297"/>
      <c r="H62" s="214"/>
      <c r="I62" s="92" t="s">
        <v>168</v>
      </c>
      <c r="J62" s="92" t="s">
        <v>178</v>
      </c>
      <c r="K62" s="92" t="s">
        <v>185</v>
      </c>
      <c r="L62" s="71" t="s">
        <v>190</v>
      </c>
      <c r="M62" s="71"/>
      <c r="N62" s="71"/>
      <c r="O62" s="71"/>
      <c r="P62" s="71" t="s">
        <v>380</v>
      </c>
      <c r="Q62" s="71" t="b">
        <f t="shared" si="37"/>
        <v>0</v>
      </c>
      <c r="R62" s="71" t="b">
        <f>IF('Cover Sheet'!$B$19="Non-Risk",1)</f>
        <v>0</v>
      </c>
      <c r="S62" s="64">
        <v>42917</v>
      </c>
      <c r="T62" s="64"/>
      <c r="U62" s="97">
        <f>IF(OR($E$27="N/A",AND(BD62=0,'Cover Sheet'!$B$29="Streamlined Review"),AND(E62="Met",F62&lt;&gt;""),AND(E62="Not Met",G62&lt;&gt;""),AND(E62="Unsure",G62&lt;&gt;""),AND(E62="N/A",H62&lt;&gt;""),AND(Y62=TRUE)),1,0)</f>
        <v>0</v>
      </c>
      <c r="V62" s="97"/>
      <c r="W62" s="97"/>
      <c r="X62" s="126" t="b">
        <f t="shared" si="49"/>
        <v>0</v>
      </c>
      <c r="Y62" s="126" t="b">
        <f t="shared" si="38"/>
        <v>0</v>
      </c>
      <c r="Z62" s="126">
        <f t="shared" si="27"/>
        <v>1</v>
      </c>
      <c r="AA62" s="126">
        <f t="shared" si="28"/>
        <v>0</v>
      </c>
      <c r="AB62" s="126">
        <f t="shared" si="29"/>
        <v>0</v>
      </c>
      <c r="AC62" s="126">
        <f t="shared" si="30"/>
        <v>0</v>
      </c>
      <c r="AD62" s="126">
        <f t="shared" si="31"/>
        <v>0</v>
      </c>
      <c r="AE62" s="126">
        <f t="shared" si="32"/>
        <v>0</v>
      </c>
      <c r="AF62" s="53" t="b">
        <f t="shared" si="33"/>
        <v>0</v>
      </c>
      <c r="AG62" s="54" t="b">
        <f t="shared" si="34"/>
        <v>0</v>
      </c>
      <c r="AL62" s="56" t="b">
        <f>IF(AND('Cover Sheet'!$B$19="Non-Risk",$R62=1),TRUE,FALSE)</f>
        <v>0</v>
      </c>
      <c r="AM62" s="56" t="b">
        <f t="shared" si="35"/>
        <v>0</v>
      </c>
      <c r="AU62" s="69" t="str">
        <f t="shared" si="36"/>
        <v/>
      </c>
      <c r="BD62" s="110">
        <v>0</v>
      </c>
      <c r="BE62" s="126"/>
    </row>
    <row r="63" spans="1:58" ht="15.75" thickBot="1" x14ac:dyDescent="0.3">
      <c r="A63" s="450"/>
      <c r="B63" s="451"/>
      <c r="C63" s="452" t="s">
        <v>1020</v>
      </c>
      <c r="D63" s="442"/>
      <c r="E63" s="443"/>
      <c r="F63" s="444"/>
      <c r="G63" s="444"/>
      <c r="H63" s="445"/>
      <c r="I63" s="74"/>
      <c r="J63" s="74"/>
      <c r="K63" s="74"/>
      <c r="L63" s="87"/>
      <c r="M63" s="87"/>
      <c r="S63" s="116"/>
      <c r="T63" s="116"/>
      <c r="U63" s="126"/>
      <c r="V63" s="126"/>
      <c r="W63" s="126"/>
      <c r="Z63" s="126"/>
      <c r="AA63" s="126"/>
      <c r="AB63" s="126"/>
      <c r="AC63" s="126"/>
      <c r="AD63" s="126"/>
      <c r="AE63" s="126"/>
      <c r="AI63" s="121" t="str">
        <f>IF(OR(AL63=TRUE,AM63=TRUE),TRUE,"")</f>
        <v/>
      </c>
      <c r="AL63" s="68"/>
      <c r="AM63" s="68"/>
      <c r="BD63" s="110"/>
      <c r="BE63" s="126"/>
    </row>
    <row r="64" spans="1:58" ht="92.25" customHeight="1" x14ac:dyDescent="0.25">
      <c r="A64" s="294" t="s">
        <v>1021</v>
      </c>
      <c r="B64" s="295" t="s">
        <v>1022</v>
      </c>
      <c r="C64" s="295" t="s">
        <v>1023</v>
      </c>
      <c r="D64" s="446"/>
      <c r="E64" s="297"/>
      <c r="F64" s="297"/>
      <c r="G64" s="297"/>
      <c r="H64" s="214"/>
      <c r="I64" s="92" t="s">
        <v>168</v>
      </c>
      <c r="J64" s="92" t="s">
        <v>178</v>
      </c>
      <c r="K64" s="167" t="s">
        <v>185</v>
      </c>
      <c r="L64" s="166" t="s">
        <v>190</v>
      </c>
      <c r="M64" s="166" t="s">
        <v>195</v>
      </c>
      <c r="N64" s="71"/>
      <c r="O64" s="71"/>
      <c r="P64" s="71" t="s">
        <v>380</v>
      </c>
      <c r="Q64" s="71" t="b">
        <f>IF(OR(AND($C$2="Base contract",$C$3="No, section requirements must be reviewed", $AF64=FALSE,$AG64=FALSE),AND($C$2="Contract amendment",$C$3="No, section requirements must be reviewed",$AF64=FALSE,$AG64=FALSE)),"MUNN")</f>
        <v>0</v>
      </c>
      <c r="R64" s="71"/>
      <c r="S64" s="64"/>
      <c r="T64" s="64"/>
      <c r="U64" s="97">
        <f>IF(OR($E$63="N/A",AND(BD64=0,'Cover Sheet'!$B$29="Streamlined Review"),AND(E64="Met",F64&lt;&gt;""),AND(E64="Not Met",G64&lt;&gt;""),AND(E64="Unsure",G64&lt;&gt;""),AND(E64="N/A",H64&lt;&gt;""),AND(Y64=TRUE)),1,0)</f>
        <v>0</v>
      </c>
      <c r="V64" s="97"/>
      <c r="W64" s="97"/>
      <c r="X64" s="126" t="b">
        <f t="shared" ref="X64:X78" si="50">IF(OR(Y64=TRUE),TRUE,FALSE)</f>
        <v>0</v>
      </c>
      <c r="Y64" s="126" t="b">
        <f>IF(SUM(Z64:AE64)&lt;1,TRUE,FALSE)</f>
        <v>0</v>
      </c>
      <c r="Z64" s="126">
        <f>IF($Z$2=I64,1,0)</f>
        <v>1</v>
      </c>
      <c r="AA64" s="126">
        <f>IF($AA$2=J64,1,0)</f>
        <v>0</v>
      </c>
      <c r="AB64" s="126">
        <f>IF($AB$2=K64,1,0)</f>
        <v>0</v>
      </c>
      <c r="AC64" s="126">
        <f>IF($AC$2=L64,1,0)</f>
        <v>0</v>
      </c>
      <c r="AD64" s="126">
        <f>IF($AD$2=M64,1,0)</f>
        <v>0</v>
      </c>
      <c r="AE64" s="126">
        <f>IF($AE$2=O64,1,0)</f>
        <v>0</v>
      </c>
      <c r="AF64" s="53" t="b">
        <f>IF($H$1&lt;&gt;0,IF($H$1&lt;&gt;I64,IF($H$1&lt;&gt;J64,IF($H$1&lt;&gt;K64,IF($H$1&lt;&gt;L64,IF($H$1&lt;&gt;M64,IF($H$1&lt;&gt;N64,IF($H$1&lt;&gt;O64,TRUE,FALSE))))))))</f>
        <v>0</v>
      </c>
      <c r="AG64" s="54" t="b">
        <f t="shared" si="34"/>
        <v>0</v>
      </c>
      <c r="AL64" s="56" t="b">
        <f>IF(AND('Cover Sheet'!$B$19="Non-Risk",$R64=1),TRUE,FALSE)</f>
        <v>0</v>
      </c>
      <c r="AM64" s="56" t="b">
        <f>IF(OR(AND($H$6="Medicaid",MID($A64,1,FIND(".",$A64,1)-1)="II"),AND($H$6="CHIP",MID($A64,1,FIND(".",$A64,1)-1)="I")),TRUE,FALSE)</f>
        <v>0</v>
      </c>
      <c r="AU64" s="69" t="str">
        <f>IF(AT64=1,1,"")</f>
        <v/>
      </c>
      <c r="BD64" s="110">
        <v>0</v>
      </c>
      <c r="BE64" s="126"/>
    </row>
    <row r="65" spans="1:60" ht="78" customHeight="1" x14ac:dyDescent="0.25">
      <c r="A65" s="294" t="s">
        <v>1024</v>
      </c>
      <c r="B65" s="295" t="s">
        <v>1025</v>
      </c>
      <c r="C65" s="295" t="s">
        <v>1026</v>
      </c>
      <c r="D65" s="446"/>
      <c r="E65" s="297"/>
      <c r="F65" s="297"/>
      <c r="G65" s="297"/>
      <c r="H65" s="214"/>
      <c r="I65" s="92" t="s">
        <v>168</v>
      </c>
      <c r="J65" s="92" t="s">
        <v>178</v>
      </c>
      <c r="K65" s="167" t="s">
        <v>185</v>
      </c>
      <c r="L65" s="166" t="s">
        <v>190</v>
      </c>
      <c r="M65" s="166" t="s">
        <v>195</v>
      </c>
      <c r="N65" s="71"/>
      <c r="O65" s="71"/>
      <c r="P65" s="71" t="s">
        <v>380</v>
      </c>
      <c r="Q65" s="71" t="b">
        <f>IF(OR(AND($C$2="Base contract",$C$3="No, section requirements must be reviewed", $AF65=FALSE,$AG65=FALSE),AND($C$2="Contract amendment",$C$3="No, section requirements must be reviewed",$AF65=FALSE,$AG65=FALSE)),"MUNN")</f>
        <v>0</v>
      </c>
      <c r="R65" s="71"/>
      <c r="S65" s="64"/>
      <c r="T65" s="64"/>
      <c r="U65" s="97">
        <f>IF(OR($E$63="N/A",AND(BD65=0,'Cover Sheet'!$B$29="Streamlined Review"),AND(E65="Met",F65&lt;&gt;""),AND(E65="Not Met",G65&lt;&gt;""),AND(E65="Unsure",G65&lt;&gt;""),AND(E65="N/A",H65&lt;&gt;""),AND(Y65=TRUE)),1,0)</f>
        <v>0</v>
      </c>
      <c r="V65" s="97"/>
      <c r="W65" s="97"/>
      <c r="X65" s="126" t="b">
        <f t="shared" si="50"/>
        <v>0</v>
      </c>
      <c r="Y65" s="126" t="b">
        <f>IF(SUM(Z65:AE65)&lt;1,TRUE,FALSE)</f>
        <v>0</v>
      </c>
      <c r="Z65" s="126">
        <f>IF($Z$2=I65,1,0)</f>
        <v>1</v>
      </c>
      <c r="AA65" s="126">
        <f>IF($AA$2=J65,1,0)</f>
        <v>0</v>
      </c>
      <c r="AB65" s="126">
        <f>IF($AB$2=K65,1,0)</f>
        <v>0</v>
      </c>
      <c r="AC65" s="126">
        <f>IF($AC$2=L65,1,0)</f>
        <v>0</v>
      </c>
      <c r="AD65" s="126">
        <f>IF($AD$2=M65,1,0)</f>
        <v>0</v>
      </c>
      <c r="AE65" s="126">
        <f>IF($AE$2=O65,1,0)</f>
        <v>0</v>
      </c>
      <c r="AF65" s="53" t="b">
        <f>IF($H$1&lt;&gt;0,IF($H$1&lt;&gt;I65,IF($H$1&lt;&gt;J65,IF($H$1&lt;&gt;K65,IF($H$1&lt;&gt;L65,IF($H$1&lt;&gt;M65,IF($H$1&lt;&gt;N65,IF($H$1&lt;&gt;O65,TRUE,FALSE))))))))</f>
        <v>0</v>
      </c>
      <c r="AG65" s="54" t="b">
        <f t="shared" si="34"/>
        <v>0</v>
      </c>
      <c r="AL65" s="56" t="b">
        <f>IF(AND('Cover Sheet'!$B$19="Non-Risk",$R65=1),TRUE,FALSE)</f>
        <v>0</v>
      </c>
      <c r="AM65" s="56" t="b">
        <f>IF(OR(AND($H$6="Medicaid",MID($A65,1,FIND(".",$A65,1)-1)="II"),AND($H$6="CHIP",MID($A65,1,FIND(".",$A65,1)-1)="I")),TRUE,FALSE)</f>
        <v>0</v>
      </c>
      <c r="AU65" s="69" t="str">
        <f>IF(AT65=1,1,"")</f>
        <v/>
      </c>
      <c r="BD65" s="110">
        <v>0</v>
      </c>
      <c r="BE65" s="126"/>
    </row>
    <row r="66" spans="1:60" ht="68.25" customHeight="1" thickBot="1" x14ac:dyDescent="0.3">
      <c r="A66" s="294" t="s">
        <v>1027</v>
      </c>
      <c r="B66" s="295" t="s">
        <v>1028</v>
      </c>
      <c r="C66" s="295" t="s">
        <v>1029</v>
      </c>
      <c r="D66" s="446"/>
      <c r="E66" s="297"/>
      <c r="F66" s="297"/>
      <c r="G66" s="297"/>
      <c r="H66" s="214"/>
      <c r="I66" s="92" t="s">
        <v>168</v>
      </c>
      <c r="J66" s="92" t="s">
        <v>178</v>
      </c>
      <c r="K66" s="167" t="s">
        <v>185</v>
      </c>
      <c r="L66" s="166" t="s">
        <v>190</v>
      </c>
      <c r="M66" s="166" t="s">
        <v>195</v>
      </c>
      <c r="N66" s="71"/>
      <c r="O66" s="71"/>
      <c r="P66" s="71" t="s">
        <v>380</v>
      </c>
      <c r="Q66" s="71" t="b">
        <f>IF(OR(AND($C$2="Base contract",$C$3="No, section requirements must be reviewed", $AF66=FALSE,$AG66=FALSE),AND($C$2="Contract amendment",$C$3="No, section requirements must be reviewed",$AF66=FALSE,$AG66=FALSE)),"MUNN")</f>
        <v>0</v>
      </c>
      <c r="R66" s="71"/>
      <c r="S66" s="64"/>
      <c r="T66" s="64"/>
      <c r="U66" s="97">
        <f>IF(OR($E$63="N/A",AND(BD66=0,'Cover Sheet'!$B$29="Streamlined Review"),AND(E66="Met",F66&lt;&gt;""),AND(E66="Not Met",G66&lt;&gt;""),AND(E66="Unsure",G66&lt;&gt;""),AND(E66="N/A",H66&lt;&gt;""),AND(Y66=TRUE)),1,0)</f>
        <v>0</v>
      </c>
      <c r="V66" s="97"/>
      <c r="W66" s="97"/>
      <c r="X66" s="126" t="b">
        <f t="shared" si="50"/>
        <v>0</v>
      </c>
      <c r="Y66" s="126" t="b">
        <f>IF(SUM(Z66:AE66)&lt;1,TRUE,FALSE)</f>
        <v>0</v>
      </c>
      <c r="Z66" s="126">
        <f>IF($Z$2=I66,1,0)</f>
        <v>1</v>
      </c>
      <c r="AA66" s="126">
        <f>IF($AA$2=J66,1,0)</f>
        <v>0</v>
      </c>
      <c r="AB66" s="126">
        <f>IF($AB$2=K66,1,0)</f>
        <v>0</v>
      </c>
      <c r="AC66" s="126">
        <f>IF($AC$2=L66,1,0)</f>
        <v>0</v>
      </c>
      <c r="AD66" s="126">
        <f>IF($AD$2=M66,1,0)</f>
        <v>0</v>
      </c>
      <c r="AE66" s="126">
        <f>IF($AE$2=O66,1,0)</f>
        <v>0</v>
      </c>
      <c r="AF66" s="53" t="b">
        <f>IF($H$1&lt;&gt;0,IF($H$1&lt;&gt;I66,IF($H$1&lt;&gt;J66,IF($H$1&lt;&gt;K66,IF($H$1&lt;&gt;L66,IF($H$1&lt;&gt;M66,IF($H$1&lt;&gt;N66,IF($H$1&lt;&gt;O66,TRUE,FALSE))))))))</f>
        <v>0</v>
      </c>
      <c r="AG66" s="54" t="b">
        <f t="shared" si="34"/>
        <v>0</v>
      </c>
      <c r="AL66" s="56" t="b">
        <f>IF(AND('Cover Sheet'!$B$19="Non-Risk",$R66=1),TRUE,FALSE)</f>
        <v>0</v>
      </c>
      <c r="AM66" s="56" t="b">
        <f>IF(OR(AND($H$6="Medicaid",MID($A66,1,FIND(".",$A66,1)-1)="II"),AND($H$6="CHIP",MID($A66,1,FIND(".",$A66,1)-1)="I")),TRUE,FALSE)</f>
        <v>0</v>
      </c>
      <c r="AU66" s="69" t="str">
        <f>IF(AT66=1,1,"")</f>
        <v/>
      </c>
      <c r="BD66" s="110">
        <v>0</v>
      </c>
      <c r="BE66" s="126"/>
    </row>
    <row r="67" spans="1:60" ht="15.75" thickBot="1" x14ac:dyDescent="0.3">
      <c r="A67" s="450"/>
      <c r="B67" s="451"/>
      <c r="C67" s="452" t="s">
        <v>29</v>
      </c>
      <c r="D67" s="442"/>
      <c r="E67" s="443"/>
      <c r="F67" s="444"/>
      <c r="G67" s="444"/>
      <c r="H67" s="445"/>
      <c r="I67" s="74"/>
      <c r="J67" s="74"/>
      <c r="K67" s="74"/>
      <c r="L67" s="87"/>
      <c r="M67" s="87"/>
      <c r="S67" s="116"/>
      <c r="T67" s="116"/>
      <c r="U67" s="126"/>
      <c r="V67" s="126"/>
      <c r="W67" s="126"/>
      <c r="Z67" s="126"/>
      <c r="AA67" s="126"/>
      <c r="AB67" s="126"/>
      <c r="AC67" s="126"/>
      <c r="AD67" s="126"/>
      <c r="AE67" s="126"/>
      <c r="AI67" s="121" t="str">
        <f>IF(OR(AL67=TRUE,AM67=TRUE),TRUE,"")</f>
        <v/>
      </c>
      <c r="AL67" s="68"/>
      <c r="AM67" s="68"/>
      <c r="BD67" s="110"/>
      <c r="BE67" s="126"/>
    </row>
    <row r="68" spans="1:60" ht="78" customHeight="1" x14ac:dyDescent="0.25">
      <c r="A68" s="294" t="s">
        <v>1030</v>
      </c>
      <c r="B68" s="295" t="s">
        <v>1031</v>
      </c>
      <c r="C68" s="295" t="s">
        <v>1032</v>
      </c>
      <c r="D68" s="447">
        <v>10</v>
      </c>
      <c r="E68" s="297"/>
      <c r="F68" s="297"/>
      <c r="G68" s="297"/>
      <c r="H68" s="214"/>
      <c r="I68" s="92" t="s">
        <v>168</v>
      </c>
      <c r="J68" s="92" t="s">
        <v>178</v>
      </c>
      <c r="K68" s="92"/>
      <c r="L68" s="71"/>
      <c r="M68" s="71"/>
      <c r="N68" s="71"/>
      <c r="O68" s="71"/>
      <c r="P68" s="71" t="s">
        <v>380</v>
      </c>
      <c r="Q68" s="71" t="b">
        <f>IF(OR(AND($C$2="Base contract",$C$3="No, section requirements must be reviewed", $AF68=FALSE,$AG68=FALSE),AND($C$2="Contract amendment",$C$3="No, section requirements must be reviewed",$AF68=FALSE,$AG68=FALSE)),"MUNN")</f>
        <v>0</v>
      </c>
      <c r="R68" s="71"/>
      <c r="S68" s="64"/>
      <c r="T68" s="64"/>
      <c r="U68" s="97">
        <f>IF(OR($E$67="N/A",AND(BD68=0,'Cover Sheet'!$B$29="Streamlined Review"),AND(E68="Met",F68&lt;&gt;""),AND(E68="Not Met",G68&lt;&gt;""),AND(E68="Unsure",G68&lt;&gt;""),AND(E68="N/A",H68&lt;&gt;""),AND(Y68=TRUE)),1,0)</f>
        <v>0</v>
      </c>
      <c r="V68" s="97"/>
      <c r="W68" s="97"/>
      <c r="X68" s="126" t="b">
        <f t="shared" si="50"/>
        <v>0</v>
      </c>
      <c r="Y68" s="126" t="b">
        <f>IF(SUM(Z68:AE68)&lt;1,TRUE,FALSE)</f>
        <v>0</v>
      </c>
      <c r="Z68" s="126">
        <f>IF($Z$2=I68,1,0)</f>
        <v>1</v>
      </c>
      <c r="AA68" s="126">
        <f>IF($AA$2=J68,1,0)</f>
        <v>0</v>
      </c>
      <c r="AB68" s="126">
        <f>IF($AB$2=K68,1,0)</f>
        <v>0</v>
      </c>
      <c r="AC68" s="126">
        <f>IF($AC$2=L68,1,0)</f>
        <v>0</v>
      </c>
      <c r="AD68" s="126">
        <f>IF($AD$2=M68,1,0)</f>
        <v>0</v>
      </c>
      <c r="AE68" s="126">
        <f>IF($AE$2=O68,1,0)</f>
        <v>0</v>
      </c>
      <c r="AF68" s="53" t="b">
        <f>IF($H$1&lt;&gt;0,IF($H$1&lt;&gt;I68,IF($H$1&lt;&gt;J68,IF($H$1&lt;&gt;K68,IF($H$1&lt;&gt;L68,IF($H$1&lt;&gt;M68,IF($H$1&lt;&gt;N68,IF($H$1&lt;&gt;O68,TRUE,FALSE))))))))</f>
        <v>0</v>
      </c>
      <c r="AG68" s="54" t="b">
        <f t="shared" si="34"/>
        <v>0</v>
      </c>
      <c r="AL68" s="56" t="b">
        <f>IF(AND('Cover Sheet'!$B$19="Non-Risk",$R68=1),TRUE,FALSE)</f>
        <v>0</v>
      </c>
      <c r="AM68" s="56" t="b">
        <f>IF(OR(AND($H$6="Medicaid",MID($A68,1,FIND(".",$A68,1)-1)="II"),AND($H$6="CHIP",MID($A68,1,FIND(".",$A68,1)-1)="I")),TRUE,FALSE)</f>
        <v>0</v>
      </c>
      <c r="AT68" s="69">
        <v>1</v>
      </c>
      <c r="AU68" s="69">
        <f>IF(AT68=1,1,"")</f>
        <v>1</v>
      </c>
      <c r="BD68" s="110">
        <v>0</v>
      </c>
      <c r="BE68" s="126"/>
    </row>
    <row r="69" spans="1:60" ht="81" customHeight="1" thickBot="1" x14ac:dyDescent="0.3">
      <c r="A69" s="294" t="s">
        <v>1033</v>
      </c>
      <c r="B69" s="295" t="s">
        <v>1034</v>
      </c>
      <c r="C69" s="295" t="s">
        <v>1035</v>
      </c>
      <c r="D69" s="447">
        <v>10</v>
      </c>
      <c r="E69" s="297"/>
      <c r="F69" s="297"/>
      <c r="G69" s="297"/>
      <c r="H69" s="214"/>
      <c r="I69" s="92" t="s">
        <v>168</v>
      </c>
      <c r="J69" s="92" t="s">
        <v>178</v>
      </c>
      <c r="K69" s="92"/>
      <c r="L69" s="71"/>
      <c r="M69" s="71"/>
      <c r="N69" s="71"/>
      <c r="O69" s="71"/>
      <c r="P69" s="71" t="s">
        <v>380</v>
      </c>
      <c r="Q69" s="71" t="b">
        <f>IF(OR(AND($C$2="Base contract",$C$3="No, section requirements must be reviewed", $AF69=FALSE,$AG69=FALSE),AND($C$2="Contract amendment",$C$3="No, section requirements must be reviewed",$AF69=FALSE,$AG69=FALSE)),"MUNN")</f>
        <v>0</v>
      </c>
      <c r="R69" s="71"/>
      <c r="S69" s="64"/>
      <c r="T69" s="64"/>
      <c r="U69" s="97">
        <f>IF(OR($E$67="N/A",AND(BD69=0,'Cover Sheet'!$B$29="Streamlined Review"),AND(E69="Met",F69&lt;&gt;""),AND(E69="Not Met",G69&lt;&gt;""),AND(E69="Unsure",G69&lt;&gt;""),AND(E69="N/A",H69&lt;&gt;""),AND(Y69=TRUE)),1,0)</f>
        <v>0</v>
      </c>
      <c r="V69" s="97"/>
      <c r="W69" s="97"/>
      <c r="X69" s="126" t="b">
        <f t="shared" si="50"/>
        <v>0</v>
      </c>
      <c r="Y69" s="126" t="b">
        <f>IF(SUM(Z69:AE69)&lt;1,TRUE,FALSE)</f>
        <v>0</v>
      </c>
      <c r="Z69" s="126">
        <f>IF($Z$2=I69,1,0)</f>
        <v>1</v>
      </c>
      <c r="AA69" s="126">
        <f>IF($AA$2=J69,1,0)</f>
        <v>0</v>
      </c>
      <c r="AB69" s="126">
        <f>IF($AB$2=K69,1,0)</f>
        <v>0</v>
      </c>
      <c r="AC69" s="126">
        <f>IF($AC$2=L69,1,0)</f>
        <v>0</v>
      </c>
      <c r="AD69" s="126">
        <f>IF($AD$2=M69,1,0)</f>
        <v>0</v>
      </c>
      <c r="AE69" s="126">
        <f>IF($AE$2=O69,1,0)</f>
        <v>0</v>
      </c>
      <c r="AF69" s="53" t="b">
        <f>IF($H$1&lt;&gt;0,IF($H$1&lt;&gt;I69,IF($H$1&lt;&gt;J69,IF($H$1&lt;&gt;K69,IF($H$1&lt;&gt;L69,IF($H$1&lt;&gt;M69,IF($H$1&lt;&gt;N69,IF($H$1&lt;&gt;O69,TRUE,FALSE))))))))</f>
        <v>0</v>
      </c>
      <c r="AG69" s="54" t="b">
        <f t="shared" si="34"/>
        <v>0</v>
      </c>
      <c r="AL69" s="56" t="b">
        <f>IF(AND('Cover Sheet'!$B$19="Non-Risk",$R69=1),TRUE,FALSE)</f>
        <v>0</v>
      </c>
      <c r="AM69" s="56" t="b">
        <f>IF(OR(AND($H$6="Medicaid",MID($A69,1,FIND(".",$A69,1)-1)="II"),AND($H$6="CHIP",MID($A69,1,FIND(".",$A69,1)-1)="I")),TRUE,FALSE)</f>
        <v>0</v>
      </c>
      <c r="AT69" s="69">
        <v>1</v>
      </c>
      <c r="AU69" s="69">
        <f>IF(AT69=1,1,"")</f>
        <v>1</v>
      </c>
      <c r="BD69" s="110">
        <v>0</v>
      </c>
      <c r="BE69" s="126"/>
    </row>
    <row r="70" spans="1:60" s="150" customFormat="1" ht="15.75" thickBot="1" x14ac:dyDescent="0.3">
      <c r="A70" s="464"/>
      <c r="B70" s="465"/>
      <c r="C70" s="465" t="s">
        <v>30</v>
      </c>
      <c r="D70" s="442"/>
      <c r="E70" s="443"/>
      <c r="F70" s="482"/>
      <c r="G70" s="482"/>
      <c r="H70" s="483"/>
      <c r="I70" s="74"/>
      <c r="J70" s="74"/>
      <c r="K70" s="74"/>
      <c r="L70" s="87"/>
      <c r="M70" s="87"/>
      <c r="N70" s="116"/>
      <c r="O70" s="116"/>
      <c r="P70" s="116"/>
      <c r="Q70" s="116"/>
      <c r="R70" s="116"/>
      <c r="S70" s="116"/>
      <c r="T70" s="116"/>
      <c r="U70" s="127"/>
      <c r="V70" s="127"/>
      <c r="W70" s="127"/>
      <c r="X70" s="129"/>
      <c r="Y70" s="129"/>
      <c r="Z70" s="126"/>
      <c r="AA70" s="126"/>
      <c r="AB70" s="126"/>
      <c r="AC70" s="126"/>
      <c r="AD70" s="126"/>
      <c r="AE70" s="126"/>
      <c r="AF70" s="129"/>
      <c r="AG70" s="130"/>
      <c r="AH70" s="130"/>
      <c r="AI70" s="130"/>
      <c r="AJ70" s="130"/>
      <c r="AK70" s="130"/>
      <c r="AL70" s="131"/>
      <c r="AM70" s="131"/>
      <c r="AN70" s="73"/>
      <c r="AO70" s="128"/>
      <c r="AP70" s="73"/>
      <c r="AQ70" s="73"/>
      <c r="AR70" s="73"/>
      <c r="AS70" s="73"/>
      <c r="AT70" s="73"/>
      <c r="AU70" s="73"/>
      <c r="AV70" s="73"/>
      <c r="AW70" s="73"/>
      <c r="AX70" s="73"/>
      <c r="AY70" s="73"/>
      <c r="AZ70" s="73"/>
      <c r="BA70" s="73"/>
      <c r="BB70" s="73"/>
      <c r="BC70" s="73"/>
      <c r="BD70" s="174"/>
      <c r="BE70" s="127"/>
      <c r="BF70" s="73"/>
      <c r="BG70" s="73"/>
      <c r="BH70" s="73"/>
    </row>
    <row r="71" spans="1:60" ht="102.75" customHeight="1" x14ac:dyDescent="0.25">
      <c r="A71" s="294" t="s">
        <v>1036</v>
      </c>
      <c r="B71" s="295" t="s">
        <v>1037</v>
      </c>
      <c r="C71" s="295" t="s">
        <v>1038</v>
      </c>
      <c r="D71" s="447" t="s">
        <v>1039</v>
      </c>
      <c r="E71" s="297"/>
      <c r="F71" s="297"/>
      <c r="G71" s="297"/>
      <c r="H71" s="214"/>
      <c r="I71" s="92" t="s">
        <v>168</v>
      </c>
      <c r="J71" s="92" t="s">
        <v>178</v>
      </c>
      <c r="K71" s="92" t="s">
        <v>185</v>
      </c>
      <c r="L71" s="71" t="s">
        <v>190</v>
      </c>
      <c r="M71" s="71"/>
      <c r="N71" s="71"/>
      <c r="O71" s="71"/>
      <c r="P71" s="71" t="s">
        <v>380</v>
      </c>
      <c r="Q71" s="71" t="b">
        <f t="shared" ref="Q71:Q76" si="51">IF(OR(AND($C$2="Base contract",$C$3="No, section requirements must be reviewed", $AF71=FALSE,$AG71=FALSE),AND($C$2="Contract amendment",$C$3="No, section requirements must be reviewed",$AF71=FALSE,$AG71=FALSE)),"MUNN")</f>
        <v>0</v>
      </c>
      <c r="R71" s="71"/>
      <c r="S71" s="64">
        <v>42917</v>
      </c>
      <c r="T71" s="64"/>
      <c r="U71" s="97">
        <f>IF(OR($E$70="N/A",AND(BD71=0,'Cover Sheet'!$B$29="Streamlined Review"),AND(E71="Met",F71&lt;&gt;""),AND(E71="Not Met",G71&lt;&gt;""),AND(E71="Unsure",G71&lt;&gt;""),AND(E71="N/A",H71&lt;&gt;""),AND(Y71=TRUE)),1,0)</f>
        <v>0</v>
      </c>
      <c r="V71" s="97"/>
      <c r="W71" s="97"/>
      <c r="X71" s="126" t="b">
        <f t="shared" si="50"/>
        <v>0</v>
      </c>
      <c r="Y71" s="126" t="b">
        <f t="shared" ref="Y71:Y76" si="52">IF(SUM(Z71:AE71)&lt;1,TRUE,FALSE)</f>
        <v>0</v>
      </c>
      <c r="Z71" s="126">
        <f t="shared" ref="Z71:Z76" si="53">IF($Z$2=I71,1,0)</f>
        <v>1</v>
      </c>
      <c r="AA71" s="126">
        <f t="shared" ref="AA71:AA76" si="54">IF($AA$2=J71,1,0)</f>
        <v>0</v>
      </c>
      <c r="AB71" s="126">
        <f t="shared" ref="AB71:AB76" si="55">IF($AB$2=K71,1,0)</f>
        <v>0</v>
      </c>
      <c r="AC71" s="126">
        <f t="shared" ref="AC71:AC76" si="56">IF($AC$2=L71,1,0)</f>
        <v>0</v>
      </c>
      <c r="AD71" s="126">
        <f t="shared" ref="AD71:AD76" si="57">IF($AD$2=M71,1,0)</f>
        <v>0</v>
      </c>
      <c r="AE71" s="126">
        <f t="shared" ref="AE71:AE76" si="58">IF($AE$2=O71,1,0)</f>
        <v>0</v>
      </c>
      <c r="AF71" s="53" t="b">
        <f t="shared" ref="AF71:AF76" si="59">IF($H$1&lt;&gt;0,IF($H$1&lt;&gt;I71,IF($H$1&lt;&gt;J71,IF($H$1&lt;&gt;K71,IF($H$1&lt;&gt;L71,IF($H$1&lt;&gt;M71,IF($H$1&lt;&gt;N71,IF($H$1&lt;&gt;O71,TRUE,FALSE))))))))</f>
        <v>0</v>
      </c>
      <c r="AG71" s="54" t="b">
        <f t="shared" si="34"/>
        <v>0</v>
      </c>
      <c r="AL71" s="56" t="b">
        <f>IF(AND('Cover Sheet'!$B$19="Non-Risk",$R71=1),TRUE,FALSE)</f>
        <v>0</v>
      </c>
      <c r="AM71" s="56" t="b">
        <f t="shared" ref="AM71:AM76" si="60">IF(OR(AND($H$6="Medicaid",MID($A71,1,FIND(".",$A71,1)-1)="II"),AND($H$6="CHIP",MID($A71,1,FIND(".",$A71,1)-1)="I")),TRUE,FALSE)</f>
        <v>0</v>
      </c>
      <c r="AT71" s="69">
        <v>1</v>
      </c>
      <c r="AU71" s="69">
        <f t="shared" ref="AU71:AU76" si="61">IF(AT71=1,1,"")</f>
        <v>1</v>
      </c>
      <c r="BD71" s="110">
        <v>0</v>
      </c>
      <c r="BE71" s="126"/>
    </row>
    <row r="72" spans="1:60" ht="204" x14ac:dyDescent="0.25">
      <c r="A72" s="294" t="s">
        <v>1040</v>
      </c>
      <c r="B72" s="295" t="s">
        <v>1041</v>
      </c>
      <c r="C72" s="295" t="s">
        <v>1042</v>
      </c>
      <c r="D72" s="447" t="s">
        <v>1039</v>
      </c>
      <c r="E72" s="297"/>
      <c r="F72" s="297"/>
      <c r="G72" s="297"/>
      <c r="H72" s="214"/>
      <c r="I72" s="92" t="s">
        <v>168</v>
      </c>
      <c r="J72" s="92" t="s">
        <v>178</v>
      </c>
      <c r="K72" s="92" t="s">
        <v>185</v>
      </c>
      <c r="L72" s="71" t="s">
        <v>190</v>
      </c>
      <c r="M72" s="71"/>
      <c r="N72" s="71"/>
      <c r="O72" s="71"/>
      <c r="P72" s="71" t="s">
        <v>380</v>
      </c>
      <c r="Q72" s="71" t="b">
        <f t="shared" si="51"/>
        <v>0</v>
      </c>
      <c r="R72" s="71"/>
      <c r="S72" s="64">
        <v>42917</v>
      </c>
      <c r="T72" s="64"/>
      <c r="U72" s="97">
        <f>IF(OR($E$70="N/A",AND(BD72=0,'Cover Sheet'!$B$29="Streamlined Review"),AND(E72="Met",F72&lt;&gt;""),AND(E72="Not Met",G72&lt;&gt;""),AND(E72="Unsure",G72&lt;&gt;""),AND(E72="N/A",H72&lt;&gt;""),AND(Y72=TRUE)),1,0)</f>
        <v>0</v>
      </c>
      <c r="V72" s="97"/>
      <c r="W72" s="97"/>
      <c r="X72" s="126" t="b">
        <f t="shared" si="50"/>
        <v>0</v>
      </c>
      <c r="Y72" s="126" t="b">
        <f t="shared" si="52"/>
        <v>0</v>
      </c>
      <c r="Z72" s="126">
        <f t="shared" si="53"/>
        <v>1</v>
      </c>
      <c r="AA72" s="126">
        <f t="shared" si="54"/>
        <v>0</v>
      </c>
      <c r="AB72" s="126">
        <f t="shared" si="55"/>
        <v>0</v>
      </c>
      <c r="AC72" s="126">
        <f t="shared" si="56"/>
        <v>0</v>
      </c>
      <c r="AD72" s="126">
        <f t="shared" si="57"/>
        <v>0</v>
      </c>
      <c r="AE72" s="126">
        <f t="shared" si="58"/>
        <v>0</v>
      </c>
      <c r="AF72" s="53" t="b">
        <f t="shared" si="59"/>
        <v>0</v>
      </c>
      <c r="AG72" s="54" t="b">
        <f t="shared" si="34"/>
        <v>0</v>
      </c>
      <c r="AL72" s="56" t="b">
        <f>IF(AND('Cover Sheet'!$B$19="Non-Risk",$R72=1),TRUE,FALSE)</f>
        <v>0</v>
      </c>
      <c r="AM72" s="56" t="b">
        <f t="shared" si="60"/>
        <v>0</v>
      </c>
      <c r="AT72" s="69">
        <v>1</v>
      </c>
      <c r="AU72" s="69">
        <f t="shared" si="61"/>
        <v>1</v>
      </c>
      <c r="BD72" s="110">
        <v>0</v>
      </c>
      <c r="BE72" s="126"/>
    </row>
    <row r="73" spans="1:60" ht="192" customHeight="1" x14ac:dyDescent="0.25">
      <c r="A73" s="294" t="s">
        <v>1043</v>
      </c>
      <c r="B73" s="295" t="s">
        <v>1044</v>
      </c>
      <c r="C73" s="295" t="s">
        <v>1045</v>
      </c>
      <c r="D73" s="447" t="s">
        <v>1046</v>
      </c>
      <c r="E73" s="297"/>
      <c r="F73" s="297"/>
      <c r="G73" s="297"/>
      <c r="H73" s="214"/>
      <c r="I73" s="92" t="s">
        <v>168</v>
      </c>
      <c r="J73" s="92" t="s">
        <v>178</v>
      </c>
      <c r="K73" s="92" t="s">
        <v>185</v>
      </c>
      <c r="L73" s="71" t="s">
        <v>190</v>
      </c>
      <c r="M73" s="71"/>
      <c r="N73" s="71"/>
      <c r="O73" s="71"/>
      <c r="P73" s="71" t="s">
        <v>380</v>
      </c>
      <c r="Q73" s="71" t="b">
        <f t="shared" si="51"/>
        <v>0</v>
      </c>
      <c r="R73" s="71"/>
      <c r="S73" s="64">
        <v>42917</v>
      </c>
      <c r="T73" s="64"/>
      <c r="U73" s="97">
        <f>IF(OR($E$70="N/A",AND(BD73=0,'Cover Sheet'!$B$29="Streamlined Review"),AND(E73="Met",F73&lt;&gt;""),AND(E73="Not Met",G73&lt;&gt;""),AND(E73="Unsure",G73&lt;&gt;""),AND(E73="N/A",H73&lt;&gt;""),AND(Y73=TRUE)),1,0)</f>
        <v>0</v>
      </c>
      <c r="V73" s="97"/>
      <c r="W73" s="97"/>
      <c r="X73" s="126" t="b">
        <f t="shared" si="50"/>
        <v>0</v>
      </c>
      <c r="Y73" s="126" t="b">
        <f t="shared" si="52"/>
        <v>0</v>
      </c>
      <c r="Z73" s="126">
        <f t="shared" si="53"/>
        <v>1</v>
      </c>
      <c r="AA73" s="126">
        <f t="shared" si="54"/>
        <v>0</v>
      </c>
      <c r="AB73" s="126">
        <f t="shared" si="55"/>
        <v>0</v>
      </c>
      <c r="AC73" s="126">
        <f t="shared" si="56"/>
        <v>0</v>
      </c>
      <c r="AD73" s="126">
        <f t="shared" si="57"/>
        <v>0</v>
      </c>
      <c r="AE73" s="126">
        <f t="shared" si="58"/>
        <v>0</v>
      </c>
      <c r="AF73" s="53" t="b">
        <f t="shared" si="59"/>
        <v>0</v>
      </c>
      <c r="AG73" s="54" t="b">
        <f t="shared" si="34"/>
        <v>0</v>
      </c>
      <c r="AL73" s="56" t="b">
        <f>IF(AND('Cover Sheet'!$B$19="Non-Risk",$R73=1),TRUE,FALSE)</f>
        <v>0</v>
      </c>
      <c r="AM73" s="56" t="b">
        <f t="shared" si="60"/>
        <v>0</v>
      </c>
      <c r="AR73" s="68"/>
      <c r="AS73" s="68"/>
      <c r="AT73" s="69">
        <v>1</v>
      </c>
      <c r="AU73" s="69">
        <f t="shared" si="61"/>
        <v>1</v>
      </c>
      <c r="BD73" s="110">
        <v>0</v>
      </c>
      <c r="BE73" s="126"/>
    </row>
    <row r="74" spans="1:60" ht="202.5" customHeight="1" x14ac:dyDescent="0.25">
      <c r="A74" s="330" t="s">
        <v>1047</v>
      </c>
      <c r="B74" s="295" t="s">
        <v>1048</v>
      </c>
      <c r="C74" s="261" t="s">
        <v>1049</v>
      </c>
      <c r="D74" s="447" t="s">
        <v>1050</v>
      </c>
      <c r="E74" s="297"/>
      <c r="F74" s="297"/>
      <c r="G74" s="297"/>
      <c r="H74" s="331"/>
      <c r="I74" s="92" t="s">
        <v>168</v>
      </c>
      <c r="J74" s="92" t="s">
        <v>178</v>
      </c>
      <c r="K74" s="92" t="s">
        <v>185</v>
      </c>
      <c r="L74" s="71" t="s">
        <v>190</v>
      </c>
      <c r="M74" s="71"/>
      <c r="N74" s="71"/>
      <c r="O74" s="71"/>
      <c r="P74" s="71" t="s">
        <v>397</v>
      </c>
      <c r="Q74" s="71" t="e">
        <f t="shared" si="51"/>
        <v>#REF!</v>
      </c>
      <c r="R74" s="71"/>
      <c r="S74" s="64">
        <v>44378</v>
      </c>
      <c r="T74" s="64" t="s">
        <v>398</v>
      </c>
      <c r="U74" s="97">
        <f>IF(OR($E$70="N/A",AND(BD74=0,'Cover Sheet'!$B$29="Streamlined Review"),AND(E74="Met",F74&lt;&gt;""),AND(E74="Not Met",G74&lt;&gt;""),AND(E74="Unsure",G74&lt;&gt;""),AND(E74="N/A",H74&lt;&gt;""),AND(Y74=TRUE)),1,0)</f>
        <v>0</v>
      </c>
      <c r="V74" s="97"/>
      <c r="W74" s="97"/>
      <c r="X74" s="126" t="b">
        <f t="shared" si="50"/>
        <v>0</v>
      </c>
      <c r="Y74" s="126" t="b">
        <f t="shared" si="52"/>
        <v>0</v>
      </c>
      <c r="Z74" s="126">
        <f t="shared" si="53"/>
        <v>1</v>
      </c>
      <c r="AA74" s="126">
        <f t="shared" si="54"/>
        <v>0</v>
      </c>
      <c r="AB74" s="126">
        <f t="shared" si="55"/>
        <v>0</v>
      </c>
      <c r="AC74" s="126">
        <f t="shared" si="56"/>
        <v>0</v>
      </c>
      <c r="AD74" s="126">
        <f t="shared" si="57"/>
        <v>0</v>
      </c>
      <c r="AE74" s="126">
        <f t="shared" si="58"/>
        <v>0</v>
      </c>
      <c r="AF74" s="53" t="b">
        <f t="shared" si="59"/>
        <v>0</v>
      </c>
      <c r="AG74" s="54" t="e">
        <f>IF(AND(AH74=TRUE,AI74=""),FALSE,IF(AND(AI74=TRUE,AH74=""),TRUE,IF(AND(AH74=TRUE,AI74=TRUE),TRUE)))</f>
        <v>#REF!</v>
      </c>
      <c r="AH74" s="54" t="e">
        <f>IF(OR($AG$2=TRUE,AND('Cover Sheet'!$B$19="Risk")),TRUE,"")</f>
        <v>#REF!</v>
      </c>
      <c r="AI74" s="54" t="e">
        <f>IF(OR(AJ74=TRUE,AK74=TRUE,AL74=TRUE,AM74=TRUE),TRUE,"")</f>
        <v>#REF!</v>
      </c>
      <c r="AJ74" s="54" t="str">
        <f>IF(BE74="DATE",IF($AG$2=FALSE,IF(S74&gt;$AH$2,TRUE,"ReqEffectiveEarlierThanContractDate"),"Dates Missing"),"Not DATE")</f>
        <v>Not DATE</v>
      </c>
      <c r="AK74" s="54" t="e">
        <f>IF(BE74="RP",IF($AG$2=FALSE,IF(S74&gt;$AI$2,TRUE,"ReqEffectiveEarlierThanRatePeriodStartDate"),"Dates Missing"),"Not RP")</f>
        <v>#REF!</v>
      </c>
      <c r="AL74" s="56" t="b">
        <f>IF(AND('Cover Sheet'!$B$19="Non-Risk",$R74=1),TRUE,FALSE)</f>
        <v>0</v>
      </c>
      <c r="AM74" s="56" t="b">
        <f t="shared" si="60"/>
        <v>0</v>
      </c>
      <c r="AR74" s="68"/>
      <c r="AS74" s="68"/>
      <c r="AT74" s="69">
        <v>1</v>
      </c>
      <c r="AU74" s="69">
        <f t="shared" si="61"/>
        <v>1</v>
      </c>
      <c r="BC74" s="64" t="s">
        <v>398</v>
      </c>
      <c r="BD74" s="110">
        <v>0</v>
      </c>
      <c r="BE74" s="38" t="str">
        <f>IF(AND($BE$2="Non-risk",T74="RP"),"DATE",T74)</f>
        <v>RP</v>
      </c>
    </row>
    <row r="75" spans="1:60" ht="204.75" customHeight="1" x14ac:dyDescent="0.25">
      <c r="A75" s="330" t="s">
        <v>1051</v>
      </c>
      <c r="B75" s="295" t="s">
        <v>1048</v>
      </c>
      <c r="C75" s="263" t="s">
        <v>1052</v>
      </c>
      <c r="D75" s="447" t="s">
        <v>1050</v>
      </c>
      <c r="E75" s="297"/>
      <c r="F75" s="297"/>
      <c r="G75" s="297"/>
      <c r="H75" s="207"/>
      <c r="I75" s="92" t="s">
        <v>168</v>
      </c>
      <c r="J75" s="92" t="s">
        <v>178</v>
      </c>
      <c r="K75" s="92" t="s">
        <v>185</v>
      </c>
      <c r="L75" s="71" t="s">
        <v>190</v>
      </c>
      <c r="M75" s="71"/>
      <c r="N75" s="71"/>
      <c r="O75" s="71"/>
      <c r="P75" s="71" t="s">
        <v>397</v>
      </c>
      <c r="Q75" s="71" t="e">
        <f t="shared" si="51"/>
        <v>#REF!</v>
      </c>
      <c r="R75" s="71"/>
      <c r="S75" s="64">
        <v>44378</v>
      </c>
      <c r="T75" s="64" t="s">
        <v>398</v>
      </c>
      <c r="U75" s="97">
        <f>IF(OR($E$70="N/A",AND(BD75=0,'Cover Sheet'!$B$29="Streamlined Review"),AND(E75="Met",F75&lt;&gt;""),AND(E75="Not Met",G75&lt;&gt;""),AND(E75="Unsure",G75&lt;&gt;""),AND(E75="N/A",H75&lt;&gt;""),AND(Y75=TRUE)),1,0)</f>
        <v>0</v>
      </c>
      <c r="V75" s="97"/>
      <c r="W75" s="97"/>
      <c r="X75" s="126" t="b">
        <f t="shared" si="50"/>
        <v>0</v>
      </c>
      <c r="Y75" s="126" t="b">
        <f t="shared" si="52"/>
        <v>0</v>
      </c>
      <c r="Z75" s="126">
        <f t="shared" si="53"/>
        <v>1</v>
      </c>
      <c r="AA75" s="126">
        <f t="shared" si="54"/>
        <v>0</v>
      </c>
      <c r="AB75" s="126">
        <f t="shared" si="55"/>
        <v>0</v>
      </c>
      <c r="AC75" s="126">
        <f t="shared" si="56"/>
        <v>0</v>
      </c>
      <c r="AD75" s="126">
        <f t="shared" si="57"/>
        <v>0</v>
      </c>
      <c r="AE75" s="126">
        <f t="shared" si="58"/>
        <v>0</v>
      </c>
      <c r="AF75" s="53" t="b">
        <f t="shared" si="59"/>
        <v>0</v>
      </c>
      <c r="AG75" s="54" t="e">
        <f>IF(AND(AH75=TRUE,AI75=""),FALSE,IF(AND(AI75=TRUE,AH75=""),TRUE,IF(AND(AH75=TRUE,AI75=TRUE),TRUE)))</f>
        <v>#REF!</v>
      </c>
      <c r="AH75" s="54" t="e">
        <f>IF(OR($AG$2=TRUE,AND('Cover Sheet'!$B$19="Risk")),TRUE,"")</f>
        <v>#REF!</v>
      </c>
      <c r="AI75" s="54" t="e">
        <f>IF(OR(AJ75=TRUE,AK75=TRUE,AL75=TRUE,AM75=TRUE),TRUE,"")</f>
        <v>#REF!</v>
      </c>
      <c r="AJ75" s="54" t="str">
        <f>IF(BE75="DATE",IF($AG$2=FALSE,IF(S75&gt;$AH$2,TRUE,"ReqEffectiveEarlierThanContractDate"),"Dates Missing"),"Not DATE")</f>
        <v>Not DATE</v>
      </c>
      <c r="AK75" s="54" t="e">
        <f>IF(BE75="RP",IF($AG$2=FALSE,IF(S75&gt;$AI$2,TRUE,"ReqEffectiveEarlierThanRatePeriodStartDate"),"Dates Missing"),"Not RP")</f>
        <v>#REF!</v>
      </c>
      <c r="AL75" s="56" t="b">
        <f>IF(AND('Cover Sheet'!$B$19="Non-Risk",$R75=1),TRUE,FALSE)</f>
        <v>0</v>
      </c>
      <c r="AM75" s="56" t="b">
        <f t="shared" si="60"/>
        <v>0</v>
      </c>
      <c r="AR75" s="68"/>
      <c r="AS75" s="68"/>
      <c r="AT75" s="69">
        <v>1</v>
      </c>
      <c r="AU75" s="69">
        <f t="shared" si="61"/>
        <v>1</v>
      </c>
      <c r="BC75" s="64" t="s">
        <v>398</v>
      </c>
      <c r="BD75" s="110">
        <v>0</v>
      </c>
      <c r="BE75" s="38" t="str">
        <f>IF(AND($BE$2="Non-risk",T75="RP"),"DATE",T75)</f>
        <v>RP</v>
      </c>
    </row>
    <row r="76" spans="1:60" ht="204.75" customHeight="1" thickBot="1" x14ac:dyDescent="0.3">
      <c r="A76" s="466" t="s">
        <v>1053</v>
      </c>
      <c r="B76" s="467" t="s">
        <v>1048</v>
      </c>
      <c r="C76" s="467" t="s">
        <v>1054</v>
      </c>
      <c r="D76" s="447" t="s">
        <v>1050</v>
      </c>
      <c r="E76" s="311"/>
      <c r="F76" s="311"/>
      <c r="G76" s="311"/>
      <c r="H76" s="332"/>
      <c r="I76" s="92" t="s">
        <v>168</v>
      </c>
      <c r="J76" s="92" t="s">
        <v>178</v>
      </c>
      <c r="K76" s="92" t="s">
        <v>185</v>
      </c>
      <c r="L76" s="71" t="s">
        <v>190</v>
      </c>
      <c r="M76" s="71"/>
      <c r="N76" s="71"/>
      <c r="O76" s="71"/>
      <c r="P76" s="71" t="s">
        <v>397</v>
      </c>
      <c r="Q76" s="71" t="e">
        <f t="shared" si="51"/>
        <v>#REF!</v>
      </c>
      <c r="R76" s="71"/>
      <c r="S76" s="64">
        <v>44378</v>
      </c>
      <c r="T76" s="64" t="s">
        <v>398</v>
      </c>
      <c r="U76" s="97">
        <f>IF(OR($E$70="N/A",AND(BD76=0,'Cover Sheet'!$B$29="Streamlined Review"),AND(E76="Met",F76&lt;&gt;""),AND(E76="Not Met",G76&lt;&gt;""),AND(E76="Unsure",G76&lt;&gt;""),AND(E76="N/A",H76&lt;&gt;""),AND(Y76=TRUE)),1,0)</f>
        <v>0</v>
      </c>
      <c r="V76" s="97"/>
      <c r="W76" s="97"/>
      <c r="X76" s="126" t="b">
        <f t="shared" si="50"/>
        <v>0</v>
      </c>
      <c r="Y76" s="126" t="b">
        <f t="shared" si="52"/>
        <v>0</v>
      </c>
      <c r="Z76" s="126">
        <f t="shared" si="53"/>
        <v>1</v>
      </c>
      <c r="AA76" s="126">
        <f t="shared" si="54"/>
        <v>0</v>
      </c>
      <c r="AB76" s="126">
        <f t="shared" si="55"/>
        <v>0</v>
      </c>
      <c r="AC76" s="126">
        <f t="shared" si="56"/>
        <v>0</v>
      </c>
      <c r="AD76" s="126">
        <f t="shared" si="57"/>
        <v>0</v>
      </c>
      <c r="AE76" s="126">
        <f t="shared" si="58"/>
        <v>0</v>
      </c>
      <c r="AF76" s="53" t="b">
        <f t="shared" si="59"/>
        <v>0</v>
      </c>
      <c r="AG76" s="54" t="e">
        <f>IF(AND(AH76=TRUE,AI76=""),FALSE,IF(AND(AI76=TRUE,AH76=""),TRUE,IF(AND(AH76=TRUE,AI76=TRUE),TRUE)))</f>
        <v>#REF!</v>
      </c>
      <c r="AH76" s="54" t="e">
        <f>IF(OR($AG$2=TRUE,AND('Cover Sheet'!$B$19="Risk")),TRUE,"")</f>
        <v>#REF!</v>
      </c>
      <c r="AI76" s="54" t="e">
        <f>IF(OR(AJ76=TRUE,AK76=TRUE,AL76=TRUE,AM76=TRUE),TRUE,"")</f>
        <v>#REF!</v>
      </c>
      <c r="AJ76" s="54" t="str">
        <f>IF(BE76="DATE",IF($AG$2=FALSE,IF(S76&gt;$AH$2,TRUE,"ReqEffectiveEarlierThanContractDate"),"Dates Missing"),"Not DATE")</f>
        <v>Not DATE</v>
      </c>
      <c r="AK76" s="54" t="e">
        <f>IF(BE76="RP",IF($AG$2=FALSE,IF(S76&gt;$AI$2,TRUE,"ReqEffectiveEarlierThanRatePeriodStartDate"),"Dates Missing"),"Not RP")</f>
        <v>#REF!</v>
      </c>
      <c r="AL76" s="56" t="b">
        <f>IF(AND('Cover Sheet'!$B$19="Non-Risk",$R76=1),TRUE,FALSE)</f>
        <v>0</v>
      </c>
      <c r="AM76" s="56" t="b">
        <f t="shared" si="60"/>
        <v>0</v>
      </c>
      <c r="AR76" s="68"/>
      <c r="AS76" s="68"/>
      <c r="AT76" s="69">
        <v>1</v>
      </c>
      <c r="AU76" s="69">
        <f t="shared" si="61"/>
        <v>1</v>
      </c>
      <c r="BC76" s="64" t="s">
        <v>398</v>
      </c>
      <c r="BD76" s="110">
        <v>0</v>
      </c>
      <c r="BE76" s="38" t="str">
        <f>IF(AND($BE$2="Non-risk",T76="RP"),"DATE",T76)</f>
        <v>RP</v>
      </c>
    </row>
    <row r="77" spans="1:60" ht="17.100000000000001" customHeight="1" thickBot="1" x14ac:dyDescent="0.3">
      <c r="A77" s="468"/>
      <c r="B77" s="469"/>
      <c r="C77" s="452" t="s">
        <v>1055</v>
      </c>
      <c r="D77" s="484"/>
      <c r="E77" s="443"/>
      <c r="F77" s="333"/>
      <c r="G77" s="333"/>
      <c r="H77" s="334"/>
      <c r="I77" s="92"/>
      <c r="J77" s="92"/>
      <c r="K77" s="92"/>
      <c r="L77" s="71"/>
      <c r="M77" s="71"/>
      <c r="N77" s="71"/>
      <c r="O77" s="71"/>
      <c r="P77" s="71"/>
      <c r="Q77" s="71"/>
      <c r="R77" s="71"/>
      <c r="S77" s="64"/>
      <c r="T77" s="64"/>
      <c r="U77" s="97"/>
      <c r="V77" s="97"/>
      <c r="W77" s="97"/>
      <c r="Z77" s="126"/>
      <c r="AA77" s="126"/>
      <c r="AB77" s="126"/>
      <c r="AC77" s="126"/>
      <c r="AD77" s="126"/>
      <c r="AE77" s="126"/>
      <c r="AF77" s="53"/>
      <c r="AG77" s="54"/>
      <c r="AL77" s="56"/>
      <c r="AM77" s="56"/>
      <c r="BD77" s="110"/>
      <c r="BE77" s="126"/>
    </row>
    <row r="78" spans="1:60" ht="153" x14ac:dyDescent="0.25">
      <c r="A78" s="255" t="s">
        <v>1056</v>
      </c>
      <c r="B78" s="255" t="s">
        <v>1057</v>
      </c>
      <c r="C78" s="255" t="s">
        <v>1058</v>
      </c>
      <c r="D78" s="473"/>
      <c r="E78" s="313"/>
      <c r="F78" s="313"/>
      <c r="G78" s="313"/>
      <c r="H78" s="313"/>
      <c r="I78" s="167" t="s">
        <v>168</v>
      </c>
      <c r="J78" s="92"/>
      <c r="K78" s="167" t="s">
        <v>185</v>
      </c>
      <c r="L78" s="166" t="s">
        <v>190</v>
      </c>
      <c r="M78" s="71"/>
      <c r="N78" s="71"/>
      <c r="O78" s="71"/>
      <c r="P78" s="166" t="s">
        <v>1059</v>
      </c>
      <c r="Q78" s="71" t="e">
        <f>IF(OR(AND($C$2="Base contract",$C$3="No, section requirements must be reviewed", $AF78=FALSE,$AG78=FALSE),AND($C$2="Contract amendment",$C$3="No, section requirements must be reviewed",$AF78=FALSE,$AG78=FALSE)),"MUNN")</f>
        <v>#REF!</v>
      </c>
      <c r="R78" s="166"/>
      <c r="S78" s="169"/>
      <c r="T78" s="169"/>
      <c r="U78" s="97">
        <f>IF(OR($E$77="N/A",AND(BD78=0,'Cover Sheet'!$B$29="Streamlined Review"),AND(E78="Met",F78&lt;&gt;""),AND(E78="Not Met",G78&lt;&gt;""),AND(E78="Unsure",G78&lt;&gt;""),AND(E78="N/A",H78&lt;&gt;""),AND(Y78=TRUE)),1,0)</f>
        <v>0</v>
      </c>
      <c r="V78" s="97"/>
      <c r="W78" s="97"/>
      <c r="X78" s="126" t="b">
        <f t="shared" si="50"/>
        <v>0</v>
      </c>
      <c r="Y78" s="126" t="b">
        <f>IF(SUM(Z78:AE78)&lt;1,TRUE,FALSE)</f>
        <v>0</v>
      </c>
      <c r="Z78" s="126">
        <f>IF($Z$2=I78,1,0)</f>
        <v>1</v>
      </c>
      <c r="AA78" s="126">
        <f>IF($AA$2=J78,1,0)</f>
        <v>0</v>
      </c>
      <c r="AB78" s="126">
        <f>IF($AB$2=K78,1,0)</f>
        <v>0</v>
      </c>
      <c r="AC78" s="126">
        <f>IF($AC$2=L78,1,0)</f>
        <v>0</v>
      </c>
      <c r="AD78" s="126">
        <f>IF($AD$2=M78,1,0)</f>
        <v>0</v>
      </c>
      <c r="AE78" s="126">
        <f>IF($AE$2=O78,1,0)</f>
        <v>0</v>
      </c>
      <c r="AF78" s="53" t="b">
        <f>IF($H$1&lt;&gt;0,IF($H$1&lt;&gt;I78,IF($H$1&lt;&gt;J78,IF($H$1&lt;&gt;K78,IF($H$1&lt;&gt;L78,IF($H$1&lt;&gt;M78,IF($H$1&lt;&gt;N78,IF($H$1&lt;&gt;O78,TRUE,FALSE))))))))</f>
        <v>0</v>
      </c>
      <c r="AG78" s="54" t="e">
        <f>IF(AND(AH78=TRUE,AI78=""),FALSE,IF(AND(AI78=TRUE,AH78=""),TRUE,IF(AND(AH78=TRUE,AI78=TRUE),TRUE)))</f>
        <v>#REF!</v>
      </c>
      <c r="AH78" s="54" t="e">
        <f>IF(OR($AG$2=TRUE,AND('Cover Sheet'!$B$19="Risk")),TRUE,"")</f>
        <v>#REF!</v>
      </c>
      <c r="AJ78" s="54" t="str">
        <f>IF(BE78="DATE",IF($AG$2=FALSE,IF(S78&gt;$AH$2,TRUE,"ReqEffectiveEarlierThanContractDate"),"Dates Missing"),"Not DATE")</f>
        <v>Not DATE</v>
      </c>
      <c r="AK78" s="54" t="str">
        <f>IF(BE78="RP",IF($AG$2=FALSE,IF(S78&gt;$AI$2,TRUE,"ReqEffectiveEarlierThanRatePeriodStartDate"),"Dates Missing"),"Not RP")</f>
        <v>Not RP</v>
      </c>
      <c r="AL78" s="56" t="b">
        <f>IF(AND('Cover Sheet'!$B$19="Non-Risk",$R78=1),TRUE,FALSE)</f>
        <v>0</v>
      </c>
      <c r="AM78" s="56" t="b">
        <f>IF(OR(AND($H$6="Medicaid",MID($A78,1,FIND(".",$A78,1)-1)="II"),AND($H$6="CHIP",MID($A78,1,FIND(".",$A78,1)-1)="I")),TRUE,FALSE)</f>
        <v>0</v>
      </c>
      <c r="BD78" s="110">
        <v>1</v>
      </c>
      <c r="BE78" s="38">
        <f>IF(AND($BE$2="Non-risk",T78="RP"),"DATE",T78)</f>
        <v>0</v>
      </c>
    </row>
    <row r="79" spans="1:60" ht="15.75" customHeight="1" x14ac:dyDescent="0.25">
      <c r="A79" s="302" t="s">
        <v>442</v>
      </c>
      <c r="B79" s="303"/>
      <c r="C79" s="547"/>
      <c r="D79" s="304"/>
      <c r="E79" s="269"/>
      <c r="F79" s="270"/>
      <c r="G79" s="271"/>
      <c r="H79" s="271"/>
      <c r="AL79" s="68"/>
      <c r="AM79" s="68"/>
    </row>
    <row r="80" spans="1:60" ht="16.5" customHeight="1" x14ac:dyDescent="0.25">
      <c r="A80" s="417">
        <v>1</v>
      </c>
      <c r="B80" s="571" t="s">
        <v>1060</v>
      </c>
      <c r="C80" s="571"/>
      <c r="D80" s="571"/>
      <c r="E80" s="571"/>
      <c r="F80" s="571"/>
      <c r="G80" s="571"/>
      <c r="H80" s="571"/>
      <c r="AL80" s="68"/>
      <c r="AM80" s="68"/>
    </row>
    <row r="81" spans="1:39" ht="15.75" customHeight="1" x14ac:dyDescent="0.25">
      <c r="A81" s="417">
        <v>2</v>
      </c>
      <c r="B81" s="571" t="s">
        <v>1061</v>
      </c>
      <c r="C81" s="571"/>
      <c r="D81" s="571"/>
      <c r="E81" s="571"/>
      <c r="F81" s="571"/>
      <c r="G81" s="571"/>
      <c r="H81" s="571"/>
      <c r="AL81" s="68"/>
      <c r="AM81" s="68"/>
    </row>
    <row r="82" spans="1:39" ht="40.5" customHeight="1" x14ac:dyDescent="0.25">
      <c r="A82" s="417">
        <v>3</v>
      </c>
      <c r="B82" s="571" t="s">
        <v>1062</v>
      </c>
      <c r="C82" s="571"/>
      <c r="D82" s="571"/>
      <c r="E82" s="571"/>
      <c r="F82" s="571"/>
      <c r="G82" s="571"/>
      <c r="H82" s="571"/>
      <c r="AL82" s="68"/>
      <c r="AM82" s="68"/>
    </row>
    <row r="83" spans="1:39" ht="16.5" customHeight="1" x14ac:dyDescent="0.25">
      <c r="A83" s="417">
        <v>4</v>
      </c>
      <c r="B83" s="571" t="s">
        <v>1063</v>
      </c>
      <c r="C83" s="571"/>
      <c r="D83" s="571"/>
      <c r="E83" s="571"/>
      <c r="F83" s="571"/>
      <c r="G83" s="571"/>
      <c r="H83" s="571"/>
      <c r="AL83" s="68"/>
      <c r="AM83" s="68"/>
    </row>
    <row r="84" spans="1:39" ht="39.75" customHeight="1" x14ac:dyDescent="0.25">
      <c r="A84" s="417">
        <v>5</v>
      </c>
      <c r="B84" s="571" t="s">
        <v>1064</v>
      </c>
      <c r="C84" s="571"/>
      <c r="D84" s="571"/>
      <c r="E84" s="571"/>
      <c r="F84" s="571"/>
      <c r="G84" s="571"/>
      <c r="H84" s="571"/>
      <c r="AL84" s="68"/>
      <c r="AM84" s="68"/>
    </row>
    <row r="85" spans="1:39" ht="24" customHeight="1" x14ac:dyDescent="0.25">
      <c r="A85" s="417">
        <v>6</v>
      </c>
      <c r="B85" s="571" t="s">
        <v>1065</v>
      </c>
      <c r="C85" s="571"/>
      <c r="D85" s="571"/>
      <c r="E85" s="571"/>
      <c r="F85" s="571"/>
      <c r="G85" s="571"/>
      <c r="H85" s="571"/>
      <c r="AL85" s="68"/>
      <c r="AM85" s="68"/>
    </row>
    <row r="86" spans="1:39" ht="39.75" customHeight="1" x14ac:dyDescent="0.25">
      <c r="A86" s="417">
        <v>7</v>
      </c>
      <c r="B86" s="571" t="s">
        <v>1066</v>
      </c>
      <c r="C86" s="571"/>
      <c r="D86" s="571"/>
      <c r="E86" s="571"/>
      <c r="F86" s="571"/>
      <c r="G86" s="571"/>
      <c r="H86" s="571"/>
      <c r="AL86" s="68"/>
      <c r="AM86" s="68"/>
    </row>
    <row r="87" spans="1:39" ht="15.75" customHeight="1" x14ac:dyDescent="0.25">
      <c r="A87" s="417">
        <v>8</v>
      </c>
      <c r="B87" s="571" t="s">
        <v>1067</v>
      </c>
      <c r="C87" s="571"/>
      <c r="D87" s="571"/>
      <c r="E87" s="571"/>
      <c r="F87" s="571"/>
      <c r="G87" s="571"/>
      <c r="H87" s="571"/>
      <c r="AL87" s="68"/>
      <c r="AM87" s="68"/>
    </row>
    <row r="88" spans="1:39" ht="12.75" customHeight="1" x14ac:dyDescent="0.25">
      <c r="A88" s="417">
        <v>9</v>
      </c>
      <c r="B88" s="571" t="s">
        <v>1068</v>
      </c>
      <c r="C88" s="571"/>
      <c r="D88" s="571"/>
      <c r="E88" s="571"/>
      <c r="F88" s="571"/>
      <c r="G88" s="571"/>
      <c r="H88" s="571"/>
      <c r="AL88" s="68"/>
      <c r="AM88" s="68"/>
    </row>
    <row r="89" spans="1:39" ht="24.75" customHeight="1" x14ac:dyDescent="0.25">
      <c r="A89" s="417">
        <v>10</v>
      </c>
      <c r="B89" s="571" t="s">
        <v>1069</v>
      </c>
      <c r="C89" s="571"/>
      <c r="D89" s="571"/>
      <c r="E89" s="571"/>
      <c r="F89" s="571"/>
      <c r="G89" s="571"/>
      <c r="H89" s="571"/>
      <c r="AL89" s="68"/>
      <c r="AM89" s="68"/>
    </row>
    <row r="90" spans="1:39" x14ac:dyDescent="0.25">
      <c r="A90" s="417">
        <v>11</v>
      </c>
      <c r="B90" s="571" t="s">
        <v>1070</v>
      </c>
      <c r="C90" s="571"/>
      <c r="D90" s="571"/>
      <c r="E90" s="571"/>
      <c r="F90" s="571"/>
      <c r="G90" s="571"/>
      <c r="H90" s="571"/>
      <c r="AL90" s="68"/>
      <c r="AM90" s="68"/>
    </row>
    <row r="91" spans="1:39" ht="63.75" customHeight="1" x14ac:dyDescent="0.25">
      <c r="A91" s="417">
        <v>12</v>
      </c>
      <c r="B91" s="571" t="s">
        <v>1071</v>
      </c>
      <c r="C91" s="571"/>
      <c r="D91" s="571"/>
      <c r="E91" s="571"/>
      <c r="F91" s="571"/>
      <c r="G91" s="571"/>
      <c r="H91" s="571"/>
      <c r="AL91" s="68"/>
      <c r="AM91" s="68"/>
    </row>
    <row r="92" spans="1:39" ht="64.5" customHeight="1" x14ac:dyDescent="0.25">
      <c r="A92" s="417">
        <v>13</v>
      </c>
      <c r="B92" s="571" t="s">
        <v>1072</v>
      </c>
      <c r="C92" s="571"/>
      <c r="D92" s="571"/>
      <c r="E92" s="571"/>
      <c r="F92" s="571"/>
      <c r="G92" s="571"/>
      <c r="H92" s="571"/>
      <c r="AL92" s="68"/>
      <c r="AM92" s="68"/>
    </row>
    <row r="93" spans="1:39" ht="15.95" customHeight="1" x14ac:dyDescent="0.25">
      <c r="A93" s="417">
        <v>14</v>
      </c>
      <c r="B93" s="571" t="s">
        <v>1073</v>
      </c>
      <c r="C93" s="571"/>
      <c r="D93" s="571"/>
      <c r="E93" s="571"/>
      <c r="F93" s="571"/>
      <c r="G93" s="571"/>
      <c r="H93" s="571"/>
      <c r="AL93" s="68"/>
      <c r="AM93" s="68"/>
    </row>
    <row r="94" spans="1:39" ht="15.95" customHeight="1" x14ac:dyDescent="0.25">
      <c r="A94" s="417">
        <v>15</v>
      </c>
      <c r="B94" s="571" t="s">
        <v>1074</v>
      </c>
      <c r="C94" s="571"/>
      <c r="D94" s="571"/>
      <c r="E94" s="571"/>
      <c r="F94" s="571"/>
      <c r="G94" s="571"/>
      <c r="H94" s="571"/>
      <c r="AL94" s="68"/>
      <c r="AM94" s="68"/>
    </row>
    <row r="95" spans="1:39" ht="27.75" customHeight="1" x14ac:dyDescent="0.25">
      <c r="A95" s="417">
        <v>16</v>
      </c>
      <c r="B95" s="571" t="s">
        <v>1075</v>
      </c>
      <c r="C95" s="571"/>
      <c r="D95" s="571"/>
      <c r="E95" s="571"/>
      <c r="F95" s="571"/>
      <c r="G95" s="571"/>
      <c r="H95" s="571"/>
      <c r="AL95" s="68"/>
      <c r="AM95" s="68"/>
    </row>
    <row r="96" spans="1:39" x14ac:dyDescent="0.25">
      <c r="A96" s="279"/>
      <c r="B96" s="279"/>
      <c r="C96" s="279"/>
      <c r="D96" s="279"/>
      <c r="E96" s="279"/>
      <c r="F96" s="335"/>
      <c r="G96" s="279"/>
      <c r="H96" s="279"/>
      <c r="AL96" s="68"/>
      <c r="AM96" s="68"/>
    </row>
    <row r="97" spans="1:39" x14ac:dyDescent="0.25">
      <c r="A97" s="279"/>
      <c r="B97" s="279"/>
      <c r="C97" s="279"/>
      <c r="D97" s="279"/>
      <c r="E97" s="279"/>
      <c r="F97" s="335"/>
      <c r="G97" s="279"/>
      <c r="H97" s="279"/>
      <c r="AL97" s="68"/>
      <c r="AM97" s="68"/>
    </row>
    <row r="98" spans="1:39" x14ac:dyDescent="0.25">
      <c r="A98" s="279"/>
      <c r="B98" s="279"/>
      <c r="C98" s="279"/>
      <c r="D98" s="279"/>
      <c r="E98" s="279"/>
      <c r="F98" s="335"/>
      <c r="G98" s="279"/>
      <c r="H98" s="279"/>
      <c r="AL98" s="68"/>
      <c r="AM98" s="68"/>
    </row>
    <row r="99" spans="1:39" x14ac:dyDescent="0.25">
      <c r="A99" s="279"/>
      <c r="B99" s="279"/>
      <c r="C99" s="279"/>
      <c r="D99" s="279"/>
      <c r="E99" s="279"/>
      <c r="F99" s="335"/>
      <c r="G99" s="279"/>
      <c r="H99" s="279"/>
      <c r="AL99" s="68"/>
      <c r="AM99" s="68"/>
    </row>
    <row r="100" spans="1:39" x14ac:dyDescent="0.25">
      <c r="A100" s="279"/>
      <c r="B100" s="279"/>
      <c r="C100" s="279"/>
      <c r="D100" s="279"/>
      <c r="E100" s="279"/>
      <c r="F100" s="335"/>
      <c r="G100" s="279"/>
      <c r="H100" s="279"/>
      <c r="AL100" s="68"/>
      <c r="AM100" s="68"/>
    </row>
    <row r="101" spans="1:39" x14ac:dyDescent="0.25">
      <c r="A101" s="279"/>
      <c r="B101" s="279"/>
      <c r="C101" s="279"/>
      <c r="D101" s="279"/>
      <c r="E101" s="279"/>
      <c r="F101" s="335"/>
      <c r="G101" s="279"/>
      <c r="H101" s="279"/>
      <c r="AL101" s="68"/>
      <c r="AM101" s="68"/>
    </row>
    <row r="102" spans="1:39" x14ac:dyDescent="0.25">
      <c r="A102" s="279"/>
      <c r="B102" s="279"/>
      <c r="C102" s="279"/>
      <c r="D102" s="279"/>
      <c r="E102" s="279"/>
      <c r="F102" s="335"/>
      <c r="G102" s="279"/>
      <c r="H102" s="279"/>
      <c r="AL102" s="68"/>
      <c r="AM102" s="68"/>
    </row>
    <row r="103" spans="1:39" x14ac:dyDescent="0.25">
      <c r="A103" s="279"/>
      <c r="B103" s="279"/>
      <c r="C103" s="279"/>
      <c r="D103" s="279"/>
      <c r="E103" s="279"/>
      <c r="F103" s="335"/>
      <c r="G103" s="279"/>
      <c r="H103" s="279"/>
      <c r="AL103" s="68"/>
      <c r="AM103" s="68"/>
    </row>
    <row r="104" spans="1:39" x14ac:dyDescent="0.25">
      <c r="A104" s="279"/>
      <c r="B104" s="279"/>
      <c r="C104" s="279"/>
      <c r="D104" s="279"/>
      <c r="E104" s="279"/>
      <c r="F104" s="335"/>
      <c r="G104" s="279"/>
      <c r="H104" s="279"/>
      <c r="AL104" s="68"/>
      <c r="AM104" s="68"/>
    </row>
    <row r="105" spans="1:39" x14ac:dyDescent="0.25">
      <c r="A105" s="279"/>
      <c r="B105" s="279"/>
      <c r="C105" s="279"/>
      <c r="D105" s="279"/>
      <c r="E105" s="279"/>
      <c r="F105" s="335"/>
      <c r="G105" s="279"/>
      <c r="H105" s="279"/>
      <c r="AL105" s="68"/>
      <c r="AM105" s="68"/>
    </row>
    <row r="106" spans="1:39" x14ac:dyDescent="0.25">
      <c r="A106" s="279"/>
      <c r="B106" s="279"/>
      <c r="C106" s="279"/>
      <c r="D106" s="279"/>
      <c r="E106" s="279"/>
      <c r="F106" s="335"/>
      <c r="G106" s="279"/>
      <c r="H106" s="279"/>
      <c r="AL106" s="68"/>
      <c r="AM106" s="68"/>
    </row>
    <row r="107" spans="1:39" x14ac:dyDescent="0.25">
      <c r="A107" s="279"/>
      <c r="B107" s="279"/>
      <c r="C107" s="279"/>
      <c r="D107" s="279"/>
      <c r="E107" s="279"/>
      <c r="F107" s="335"/>
      <c r="G107" s="279"/>
      <c r="H107" s="279"/>
      <c r="AL107" s="68"/>
      <c r="AM107" s="68"/>
    </row>
    <row r="108" spans="1:39" x14ac:dyDescent="0.25">
      <c r="A108" s="279"/>
      <c r="B108" s="279"/>
      <c r="C108" s="279"/>
      <c r="D108" s="279"/>
      <c r="E108" s="279"/>
      <c r="F108" s="335"/>
      <c r="G108" s="279"/>
      <c r="H108" s="279"/>
      <c r="AL108" s="68"/>
      <c r="AM108" s="68"/>
    </row>
    <row r="109" spans="1:39" x14ac:dyDescent="0.25">
      <c r="A109" s="279"/>
      <c r="B109" s="279"/>
      <c r="C109" s="279"/>
      <c r="D109" s="279"/>
      <c r="E109" s="279"/>
      <c r="F109" s="335"/>
      <c r="G109" s="279"/>
      <c r="H109" s="279"/>
      <c r="AL109" s="68"/>
      <c r="AM109" s="68"/>
    </row>
    <row r="110" spans="1:39" x14ac:dyDescent="0.25">
      <c r="A110" s="279"/>
      <c r="B110" s="279"/>
      <c r="C110" s="279"/>
      <c r="D110" s="279"/>
      <c r="E110" s="279"/>
      <c r="F110" s="335"/>
      <c r="G110" s="279"/>
      <c r="H110" s="279"/>
      <c r="AL110" s="68"/>
      <c r="AM110" s="68"/>
    </row>
    <row r="111" spans="1:39" x14ac:dyDescent="0.25">
      <c r="A111" s="279"/>
      <c r="B111" s="279"/>
      <c r="C111" s="279"/>
      <c r="D111" s="279"/>
      <c r="E111" s="279"/>
      <c r="F111" s="335"/>
      <c r="G111" s="279"/>
      <c r="H111" s="279"/>
      <c r="AL111" s="68"/>
      <c r="AM111" s="68"/>
    </row>
    <row r="112" spans="1:39" x14ac:dyDescent="0.25">
      <c r="A112" s="279"/>
      <c r="B112" s="279"/>
      <c r="C112" s="279"/>
      <c r="D112" s="279"/>
      <c r="E112" s="279"/>
      <c r="F112" s="335"/>
      <c r="G112" s="279"/>
      <c r="H112" s="279"/>
      <c r="AL112" s="68"/>
      <c r="AM112" s="68"/>
    </row>
    <row r="113" spans="1:39" x14ac:dyDescent="0.25">
      <c r="A113" s="279"/>
      <c r="B113" s="279"/>
      <c r="C113" s="279"/>
      <c r="D113" s="279"/>
      <c r="E113" s="279"/>
      <c r="F113" s="335"/>
      <c r="G113" s="279"/>
      <c r="H113" s="279"/>
      <c r="AL113" s="68"/>
      <c r="AM113" s="68"/>
    </row>
    <row r="114" spans="1:39" x14ac:dyDescent="0.25">
      <c r="A114" s="279"/>
      <c r="B114" s="279"/>
      <c r="C114" s="279"/>
      <c r="D114" s="279"/>
      <c r="E114" s="279"/>
      <c r="F114" s="335"/>
      <c r="G114" s="279"/>
      <c r="H114" s="279"/>
      <c r="AL114" s="68"/>
      <c r="AM114" s="68"/>
    </row>
    <row r="115" spans="1:39" x14ac:dyDescent="0.25">
      <c r="A115" s="279"/>
      <c r="B115" s="279"/>
      <c r="C115" s="279"/>
      <c r="D115" s="279"/>
      <c r="E115" s="279"/>
      <c r="F115" s="335"/>
      <c r="G115" s="279"/>
      <c r="H115" s="279"/>
      <c r="AL115" s="68"/>
      <c r="AM115" s="68"/>
    </row>
    <row r="116" spans="1:39" x14ac:dyDescent="0.25">
      <c r="A116" s="279"/>
      <c r="B116" s="279"/>
      <c r="C116" s="279"/>
      <c r="D116" s="279"/>
      <c r="E116" s="279"/>
      <c r="F116" s="335"/>
      <c r="G116" s="279"/>
      <c r="H116" s="279"/>
      <c r="AL116" s="68"/>
      <c r="AM116" s="68"/>
    </row>
    <row r="117" spans="1:39" x14ac:dyDescent="0.25">
      <c r="A117" s="279"/>
      <c r="B117" s="279"/>
      <c r="C117" s="279"/>
      <c r="D117" s="279"/>
      <c r="E117" s="279"/>
      <c r="F117" s="335"/>
      <c r="G117" s="279"/>
      <c r="H117" s="279"/>
      <c r="AL117" s="68"/>
      <c r="AM117" s="68"/>
    </row>
    <row r="118" spans="1:39" x14ac:dyDescent="0.25">
      <c r="A118" s="279"/>
      <c r="B118" s="279"/>
      <c r="C118" s="279"/>
      <c r="D118" s="279"/>
      <c r="E118" s="279"/>
      <c r="F118" s="335"/>
      <c r="G118" s="279"/>
      <c r="H118" s="279"/>
      <c r="AL118" s="68"/>
      <c r="AM118" s="68"/>
    </row>
    <row r="119" spans="1:39" x14ac:dyDescent="0.25">
      <c r="A119" s="279"/>
      <c r="B119" s="279"/>
      <c r="C119" s="279"/>
      <c r="D119" s="279"/>
      <c r="E119" s="279"/>
      <c r="F119" s="335"/>
      <c r="G119" s="279"/>
      <c r="H119" s="279"/>
      <c r="AL119" s="68"/>
      <c r="AM119" s="68"/>
    </row>
    <row r="120" spans="1:39" x14ac:dyDescent="0.25">
      <c r="A120" s="279"/>
      <c r="B120" s="279"/>
      <c r="C120" s="279"/>
      <c r="D120" s="279"/>
      <c r="E120" s="279"/>
      <c r="F120" s="335"/>
      <c r="G120" s="279"/>
      <c r="H120" s="279"/>
      <c r="AL120" s="68"/>
      <c r="AM120" s="68"/>
    </row>
    <row r="121" spans="1:39" x14ac:dyDescent="0.25">
      <c r="A121" s="279"/>
      <c r="B121" s="279"/>
      <c r="C121" s="279"/>
      <c r="D121" s="279"/>
      <c r="E121" s="279"/>
      <c r="F121" s="335"/>
      <c r="G121" s="279"/>
      <c r="H121" s="279"/>
      <c r="AL121" s="68"/>
      <c r="AM121" s="68"/>
    </row>
    <row r="122" spans="1:39" x14ac:dyDescent="0.25">
      <c r="A122" s="279"/>
      <c r="B122" s="279"/>
      <c r="C122" s="279"/>
      <c r="D122" s="279"/>
      <c r="E122" s="279"/>
      <c r="F122" s="335"/>
      <c r="G122" s="279"/>
      <c r="H122" s="279"/>
      <c r="AL122" s="68"/>
      <c r="AM122" s="68"/>
    </row>
    <row r="123" spans="1:39" x14ac:dyDescent="0.25">
      <c r="A123" s="279"/>
      <c r="B123" s="279"/>
      <c r="C123" s="279"/>
      <c r="D123" s="279"/>
      <c r="E123" s="279"/>
      <c r="F123" s="335"/>
      <c r="G123" s="279"/>
      <c r="H123" s="279"/>
      <c r="AL123" s="68"/>
      <c r="AM123" s="68"/>
    </row>
    <row r="124" spans="1:39" x14ac:dyDescent="0.25">
      <c r="A124" s="279"/>
      <c r="B124" s="279"/>
      <c r="C124" s="279"/>
      <c r="D124" s="279"/>
      <c r="E124" s="279"/>
      <c r="F124" s="335"/>
      <c r="G124" s="279"/>
      <c r="H124" s="279"/>
      <c r="AL124" s="68"/>
      <c r="AM124" s="68"/>
    </row>
    <row r="125" spans="1:39" x14ac:dyDescent="0.25">
      <c r="A125" s="279"/>
      <c r="B125" s="279"/>
      <c r="C125" s="279"/>
      <c r="D125" s="279"/>
      <c r="E125" s="279"/>
      <c r="F125" s="335"/>
      <c r="G125" s="279"/>
      <c r="H125" s="279"/>
      <c r="AL125" s="68"/>
      <c r="AM125" s="68"/>
    </row>
    <row r="126" spans="1:39" x14ac:dyDescent="0.25">
      <c r="A126" s="279"/>
      <c r="B126" s="279"/>
      <c r="C126" s="279"/>
      <c r="D126" s="279"/>
      <c r="E126" s="279"/>
      <c r="F126" s="335"/>
      <c r="G126" s="279"/>
      <c r="H126" s="279"/>
      <c r="AL126" s="68"/>
      <c r="AM126" s="68"/>
    </row>
    <row r="127" spans="1:39" x14ac:dyDescent="0.25">
      <c r="A127" s="279"/>
      <c r="B127" s="279"/>
      <c r="C127" s="279"/>
      <c r="D127" s="279"/>
      <c r="E127" s="279"/>
      <c r="F127" s="335"/>
      <c r="G127" s="279"/>
      <c r="H127" s="279"/>
      <c r="AL127" s="68"/>
      <c r="AM127" s="68"/>
    </row>
    <row r="128" spans="1:39" x14ac:dyDescent="0.25">
      <c r="B128"/>
      <c r="C128"/>
      <c r="D128"/>
      <c r="E128"/>
      <c r="F128" s="6"/>
      <c r="AL128" s="68"/>
      <c r="AM128" s="68"/>
    </row>
    <row r="129" spans="2:39" x14ac:dyDescent="0.25">
      <c r="B129"/>
      <c r="C129"/>
      <c r="D129"/>
      <c r="E129"/>
      <c r="F129" s="6"/>
      <c r="AL129" s="68"/>
      <c r="AM129" s="68"/>
    </row>
    <row r="130" spans="2:39" x14ac:dyDescent="0.25">
      <c r="B130"/>
      <c r="C130"/>
      <c r="D130"/>
      <c r="E130"/>
      <c r="F130" s="6"/>
      <c r="AL130" s="68"/>
      <c r="AM130" s="68"/>
    </row>
    <row r="131" spans="2:39" x14ac:dyDescent="0.25">
      <c r="B131"/>
      <c r="C131"/>
      <c r="D131"/>
      <c r="E131"/>
      <c r="F131" s="6"/>
      <c r="AL131" s="68"/>
      <c r="AM131" s="68"/>
    </row>
    <row r="132" spans="2:39" x14ac:dyDescent="0.25">
      <c r="B132"/>
      <c r="C132"/>
      <c r="D132"/>
      <c r="E132"/>
      <c r="F132" s="6"/>
      <c r="AL132" s="68"/>
      <c r="AM132" s="68"/>
    </row>
    <row r="133" spans="2:39" x14ac:dyDescent="0.25">
      <c r="B133"/>
      <c r="C133"/>
      <c r="D133"/>
      <c r="E133"/>
      <c r="F133" s="6"/>
      <c r="AL133" s="68"/>
      <c r="AM133" s="68"/>
    </row>
    <row r="134" spans="2:39" x14ac:dyDescent="0.25">
      <c r="B134"/>
      <c r="C134"/>
      <c r="D134"/>
      <c r="E134"/>
      <c r="F134" s="6"/>
      <c r="AL134" s="68"/>
      <c r="AM134" s="68"/>
    </row>
    <row r="135" spans="2:39" x14ac:dyDescent="0.25">
      <c r="B135"/>
      <c r="C135"/>
      <c r="D135"/>
      <c r="E135"/>
      <c r="F135" s="6"/>
      <c r="AL135" s="68"/>
      <c r="AM135" s="68"/>
    </row>
    <row r="136" spans="2:39" x14ac:dyDescent="0.25">
      <c r="B136"/>
      <c r="C136"/>
      <c r="D136"/>
      <c r="E136"/>
      <c r="F136" s="6"/>
      <c r="AL136" s="68"/>
      <c r="AM136" s="68"/>
    </row>
    <row r="137" spans="2:39" x14ac:dyDescent="0.25">
      <c r="B137"/>
      <c r="C137"/>
      <c r="D137"/>
      <c r="E137"/>
      <c r="F137" s="6"/>
      <c r="AL137" s="68"/>
      <c r="AM137" s="68"/>
    </row>
    <row r="138" spans="2:39" x14ac:dyDescent="0.25">
      <c r="B138"/>
      <c r="C138"/>
      <c r="D138"/>
      <c r="E138"/>
      <c r="F138" s="6"/>
      <c r="AL138" s="68"/>
      <c r="AM138" s="68"/>
    </row>
    <row r="139" spans="2:39" x14ac:dyDescent="0.25">
      <c r="B139"/>
      <c r="C139"/>
      <c r="D139"/>
      <c r="E139"/>
      <c r="F139" s="6"/>
      <c r="AL139" s="68"/>
      <c r="AM139" s="68"/>
    </row>
    <row r="140" spans="2:39" x14ac:dyDescent="0.25">
      <c r="B140"/>
      <c r="C140"/>
      <c r="D140"/>
      <c r="E140"/>
      <c r="F140" s="6"/>
      <c r="AL140" s="68"/>
      <c r="AM140" s="68"/>
    </row>
    <row r="141" spans="2:39" x14ac:dyDescent="0.25">
      <c r="B141"/>
      <c r="C141"/>
      <c r="D141"/>
      <c r="E141"/>
      <c r="F141" s="6"/>
      <c r="AL141" s="68"/>
      <c r="AM141" s="68"/>
    </row>
    <row r="142" spans="2:39" x14ac:dyDescent="0.25">
      <c r="B142"/>
      <c r="C142"/>
      <c r="D142"/>
      <c r="E142"/>
      <c r="F142" s="6"/>
      <c r="AL142" s="68"/>
      <c r="AM142" s="68"/>
    </row>
    <row r="143" spans="2:39" x14ac:dyDescent="0.25">
      <c r="B143"/>
      <c r="C143"/>
      <c r="D143"/>
      <c r="E143"/>
      <c r="F143" s="6"/>
      <c r="AL143" s="68"/>
      <c r="AM143" s="68"/>
    </row>
    <row r="144" spans="2:39" x14ac:dyDescent="0.25">
      <c r="B144"/>
      <c r="C144"/>
      <c r="D144"/>
      <c r="E144"/>
      <c r="F144" s="6"/>
      <c r="AL144" s="68"/>
      <c r="AM144" s="68"/>
    </row>
    <row r="145" spans="2:57" x14ac:dyDescent="0.25">
      <c r="B145"/>
      <c r="C145"/>
      <c r="D145"/>
      <c r="E145"/>
      <c r="F145" s="6"/>
    </row>
    <row r="146" spans="2:57" x14ac:dyDescent="0.25">
      <c r="B146"/>
      <c r="C146"/>
      <c r="D146"/>
      <c r="E146"/>
      <c r="F146" s="6"/>
    </row>
    <row r="147" spans="2:57" x14ac:dyDescent="0.25">
      <c r="B147"/>
      <c r="C147"/>
      <c r="D147"/>
      <c r="E147"/>
      <c r="F147" s="6"/>
    </row>
    <row r="148" spans="2:57" x14ac:dyDescent="0.25">
      <c r="B148"/>
      <c r="C148"/>
      <c r="D148"/>
      <c r="E148"/>
      <c r="F148" s="6"/>
    </row>
    <row r="149" spans="2:57" x14ac:dyDescent="0.25">
      <c r="B149"/>
      <c r="C149"/>
      <c r="D149"/>
      <c r="E149"/>
    </row>
    <row r="150" spans="2:57" x14ac:dyDescent="0.25">
      <c r="B150"/>
      <c r="C150"/>
      <c r="D150"/>
      <c r="E150"/>
    </row>
    <row r="151" spans="2:57" x14ac:dyDescent="0.25">
      <c r="B151"/>
      <c r="C151"/>
      <c r="D151"/>
      <c r="E151"/>
    </row>
    <row r="152" spans="2:57" x14ac:dyDescent="0.25">
      <c r="B152"/>
      <c r="C152"/>
      <c r="D152"/>
      <c r="E152"/>
    </row>
    <row r="153" spans="2:57" x14ac:dyDescent="0.25">
      <c r="B153"/>
      <c r="C153"/>
      <c r="D153"/>
      <c r="E153"/>
    </row>
    <row r="154" spans="2:57" x14ac:dyDescent="0.25">
      <c r="B154"/>
      <c r="C154"/>
      <c r="D154"/>
      <c r="E154"/>
    </row>
    <row r="155" spans="2:57" x14ac:dyDescent="0.25">
      <c r="B155"/>
      <c r="C155"/>
      <c r="D155"/>
      <c r="E155"/>
    </row>
    <row r="156" spans="2:57" x14ac:dyDescent="0.25">
      <c r="B156"/>
      <c r="C156"/>
      <c r="D156"/>
      <c r="E156"/>
    </row>
    <row r="157" spans="2:57" x14ac:dyDescent="0.25">
      <c r="B157"/>
      <c r="C157"/>
      <c r="D157"/>
      <c r="E157"/>
      <c r="I157" s="69"/>
      <c r="J157" s="69"/>
      <c r="K157" s="69"/>
      <c r="L157" s="69"/>
      <c r="M157" s="69"/>
      <c r="N157" s="69"/>
      <c r="O157" s="69"/>
      <c r="P157" s="69"/>
      <c r="Q157" s="69"/>
      <c r="R157" s="69"/>
      <c r="S157" s="69"/>
      <c r="T157" s="69"/>
      <c r="U157" s="69"/>
      <c r="V157" s="69"/>
      <c r="W157" s="69"/>
      <c r="X157" s="69"/>
      <c r="Y157" s="69"/>
      <c r="Z157" s="69"/>
      <c r="AA157" s="69"/>
      <c r="AB157" s="69"/>
      <c r="AC157" s="69"/>
      <c r="AD157" s="69"/>
      <c r="AE157" s="69"/>
      <c r="AF157" s="69"/>
      <c r="AG157" s="69"/>
      <c r="AH157" s="69"/>
      <c r="AI157" s="69"/>
      <c r="AJ157" s="69"/>
      <c r="AK157" s="69"/>
      <c r="BE157" s="69"/>
    </row>
    <row r="158" spans="2:57" x14ac:dyDescent="0.25">
      <c r="B158"/>
      <c r="C158"/>
      <c r="D158"/>
      <c r="E158"/>
      <c r="I158" s="69"/>
      <c r="J158" s="69"/>
      <c r="K158" s="69"/>
      <c r="L158" s="69"/>
      <c r="M158" s="69"/>
      <c r="N158" s="69"/>
      <c r="O158" s="69"/>
      <c r="P158" s="69"/>
      <c r="Q158" s="69"/>
      <c r="R158" s="69"/>
      <c r="S158" s="69"/>
      <c r="T158" s="69"/>
      <c r="U158" s="69"/>
      <c r="V158" s="69"/>
      <c r="W158" s="69"/>
      <c r="X158" s="69"/>
      <c r="Y158" s="69"/>
      <c r="Z158" s="69"/>
      <c r="AA158" s="69"/>
      <c r="AB158" s="69"/>
      <c r="AC158" s="69"/>
      <c r="AD158" s="69"/>
      <c r="AE158" s="69"/>
      <c r="AF158" s="69"/>
      <c r="AG158" s="69"/>
      <c r="AH158" s="69"/>
      <c r="AI158" s="69"/>
      <c r="AJ158" s="69"/>
      <c r="AK158" s="69"/>
      <c r="BE158" s="69"/>
    </row>
    <row r="159" spans="2:57" x14ac:dyDescent="0.25">
      <c r="B159"/>
      <c r="C159"/>
      <c r="D159"/>
      <c r="E159"/>
      <c r="I159" s="69"/>
      <c r="J159" s="69"/>
      <c r="K159" s="69"/>
      <c r="L159" s="69"/>
      <c r="M159" s="69"/>
      <c r="N159" s="69"/>
      <c r="O159" s="69"/>
      <c r="P159" s="69"/>
      <c r="Q159" s="69"/>
      <c r="R159" s="69"/>
      <c r="S159" s="69"/>
      <c r="T159" s="69"/>
      <c r="U159" s="69"/>
      <c r="V159" s="69"/>
      <c r="W159" s="69"/>
      <c r="X159" s="69"/>
      <c r="Y159" s="69"/>
      <c r="Z159" s="69"/>
      <c r="AA159" s="69"/>
      <c r="AB159" s="69"/>
      <c r="AC159" s="69"/>
      <c r="AD159" s="69"/>
      <c r="AE159" s="69"/>
      <c r="AF159" s="69"/>
      <c r="AG159" s="69"/>
      <c r="AH159" s="69"/>
      <c r="AI159" s="69"/>
      <c r="AJ159" s="69"/>
      <c r="AK159" s="69"/>
      <c r="BE159" s="69"/>
    </row>
    <row r="160" spans="2:57" x14ac:dyDescent="0.25">
      <c r="B160"/>
      <c r="C160"/>
      <c r="D160"/>
      <c r="E160"/>
      <c r="I160" s="69"/>
      <c r="J160" s="69"/>
      <c r="K160" s="69"/>
      <c r="L160" s="69"/>
      <c r="M160" s="69"/>
      <c r="N160" s="69"/>
      <c r="O160" s="69"/>
      <c r="P160" s="69"/>
      <c r="Q160" s="69"/>
      <c r="R160" s="69"/>
      <c r="S160" s="69"/>
      <c r="T160" s="69"/>
      <c r="U160" s="69"/>
      <c r="V160" s="69"/>
      <c r="W160" s="69"/>
      <c r="X160" s="69"/>
      <c r="Y160" s="69"/>
      <c r="Z160" s="69"/>
      <c r="AA160" s="69"/>
      <c r="AB160" s="69"/>
      <c r="AC160" s="69"/>
      <c r="AD160" s="69"/>
      <c r="AE160" s="69"/>
      <c r="AF160" s="69"/>
      <c r="AG160" s="69"/>
      <c r="AH160" s="69"/>
      <c r="AI160" s="69"/>
      <c r="AJ160" s="69"/>
      <c r="AK160" s="69"/>
      <c r="BE160" s="69"/>
    </row>
    <row r="161" spans="2:57" x14ac:dyDescent="0.25">
      <c r="B161"/>
      <c r="C161"/>
      <c r="D161"/>
      <c r="E161"/>
      <c r="I161" s="69"/>
      <c r="J161" s="69"/>
      <c r="K161" s="69"/>
      <c r="L161" s="69"/>
      <c r="M161" s="69"/>
      <c r="N161" s="69"/>
      <c r="O161" s="69"/>
      <c r="P161" s="69"/>
      <c r="Q161" s="69"/>
      <c r="R161" s="69"/>
      <c r="S161" s="69"/>
      <c r="T161" s="69"/>
      <c r="U161" s="69"/>
      <c r="V161" s="69"/>
      <c r="W161" s="69"/>
      <c r="X161" s="69"/>
      <c r="Y161" s="69"/>
      <c r="Z161" s="69"/>
      <c r="AA161" s="69"/>
      <c r="AB161" s="69"/>
      <c r="AC161" s="69"/>
      <c r="AD161" s="69"/>
      <c r="AE161" s="69"/>
      <c r="AF161" s="69"/>
      <c r="AG161" s="69"/>
      <c r="AH161" s="69"/>
      <c r="AI161" s="69"/>
      <c r="AJ161" s="69"/>
      <c r="AK161" s="69"/>
      <c r="BE161" s="69"/>
    </row>
    <row r="162" spans="2:57" x14ac:dyDescent="0.25">
      <c r="B162"/>
      <c r="C162"/>
      <c r="D162"/>
      <c r="E162"/>
      <c r="I162" s="69"/>
      <c r="J162" s="69"/>
      <c r="K162" s="69"/>
      <c r="L162" s="69"/>
      <c r="M162" s="69"/>
      <c r="N162" s="69"/>
      <c r="O162" s="69"/>
      <c r="P162" s="69"/>
      <c r="Q162" s="69"/>
      <c r="R162" s="69"/>
      <c r="S162" s="69"/>
      <c r="T162" s="69"/>
      <c r="U162" s="69"/>
      <c r="V162" s="69"/>
      <c r="W162" s="69"/>
      <c r="X162" s="69"/>
      <c r="Y162" s="69"/>
      <c r="Z162" s="69"/>
      <c r="AA162" s="69"/>
      <c r="AB162" s="69"/>
      <c r="AC162" s="69"/>
      <c r="AD162" s="69"/>
      <c r="AE162" s="69"/>
      <c r="AF162" s="69"/>
      <c r="AG162" s="69"/>
      <c r="AH162" s="69"/>
      <c r="AI162" s="69"/>
      <c r="AJ162" s="69"/>
      <c r="AK162" s="69"/>
      <c r="BE162" s="69"/>
    </row>
    <row r="163" spans="2:57" x14ac:dyDescent="0.25">
      <c r="B163"/>
      <c r="C163"/>
      <c r="D163"/>
      <c r="E163"/>
      <c r="I163" s="69"/>
      <c r="J163" s="69"/>
      <c r="K163" s="69"/>
      <c r="L163" s="69"/>
      <c r="M163" s="69"/>
      <c r="N163" s="69"/>
      <c r="O163" s="69"/>
      <c r="P163" s="69"/>
      <c r="Q163" s="69"/>
      <c r="R163" s="69"/>
      <c r="S163" s="69"/>
      <c r="T163" s="69"/>
      <c r="U163" s="69"/>
      <c r="V163" s="69"/>
      <c r="W163" s="69"/>
      <c r="X163" s="69"/>
      <c r="Y163" s="69"/>
      <c r="Z163" s="69"/>
      <c r="AA163" s="69"/>
      <c r="AB163" s="69"/>
      <c r="AC163" s="69"/>
      <c r="AD163" s="69"/>
      <c r="AE163" s="69"/>
      <c r="AF163" s="69"/>
      <c r="AG163" s="69"/>
      <c r="AH163" s="69"/>
      <c r="AI163" s="69"/>
      <c r="AJ163" s="69"/>
      <c r="AK163" s="69"/>
      <c r="BE163" s="69"/>
    </row>
    <row r="164" spans="2:57" x14ac:dyDescent="0.25">
      <c r="B164"/>
      <c r="C164"/>
      <c r="D164"/>
      <c r="E164"/>
      <c r="I164" s="69"/>
      <c r="J164" s="69"/>
      <c r="K164" s="69"/>
      <c r="L164" s="69"/>
      <c r="M164" s="69"/>
      <c r="N164" s="69"/>
      <c r="O164" s="69"/>
      <c r="P164" s="69"/>
      <c r="Q164" s="69"/>
      <c r="R164" s="69"/>
      <c r="S164" s="69"/>
      <c r="T164" s="69"/>
      <c r="U164" s="69"/>
      <c r="V164" s="69"/>
      <c r="W164" s="69"/>
      <c r="X164" s="69"/>
      <c r="Y164" s="69"/>
      <c r="Z164" s="69"/>
      <c r="AA164" s="69"/>
      <c r="AB164" s="69"/>
      <c r="AC164" s="69"/>
      <c r="AD164" s="69"/>
      <c r="AE164" s="69"/>
      <c r="AF164" s="69"/>
      <c r="AG164" s="69"/>
      <c r="AH164" s="69"/>
      <c r="AI164" s="69"/>
      <c r="AJ164" s="69"/>
      <c r="AK164" s="69"/>
      <c r="BE164" s="69"/>
    </row>
    <row r="165" spans="2:57" x14ac:dyDescent="0.25">
      <c r="B165"/>
      <c r="C165"/>
      <c r="D165"/>
      <c r="E165"/>
      <c r="I165" s="69"/>
      <c r="J165" s="69"/>
      <c r="K165" s="69"/>
      <c r="L165" s="69"/>
      <c r="M165" s="69"/>
      <c r="N165" s="69"/>
      <c r="O165" s="69"/>
      <c r="P165" s="69"/>
      <c r="Q165" s="69"/>
      <c r="R165" s="69"/>
      <c r="S165" s="69"/>
      <c r="T165" s="69"/>
      <c r="U165" s="69"/>
      <c r="V165" s="69"/>
      <c r="W165" s="69"/>
      <c r="X165" s="69"/>
      <c r="Y165" s="69"/>
      <c r="Z165" s="69"/>
      <c r="AA165" s="69"/>
      <c r="AB165" s="69"/>
      <c r="AC165" s="69"/>
      <c r="AD165" s="69"/>
      <c r="AE165" s="69"/>
      <c r="AF165" s="69"/>
      <c r="AG165" s="69"/>
      <c r="AH165" s="69"/>
      <c r="AI165" s="69"/>
      <c r="AJ165" s="69"/>
      <c r="AK165" s="69"/>
      <c r="BE165" s="69"/>
    </row>
    <row r="166" spans="2:57" x14ac:dyDescent="0.25">
      <c r="B166"/>
      <c r="C166"/>
      <c r="D166"/>
      <c r="E166"/>
      <c r="I166" s="69"/>
      <c r="J166" s="69"/>
      <c r="K166" s="69"/>
      <c r="L166" s="69"/>
      <c r="M166" s="69"/>
      <c r="N166" s="69"/>
      <c r="O166" s="69"/>
      <c r="P166" s="69"/>
      <c r="Q166" s="69"/>
      <c r="R166" s="69"/>
      <c r="S166" s="69"/>
      <c r="T166" s="69"/>
      <c r="U166" s="69"/>
      <c r="V166" s="69"/>
      <c r="W166" s="69"/>
      <c r="X166" s="69"/>
      <c r="Y166" s="69"/>
      <c r="Z166" s="69"/>
      <c r="AA166" s="69"/>
      <c r="AB166" s="69"/>
      <c r="AC166" s="69"/>
      <c r="AD166" s="69"/>
      <c r="AE166" s="69"/>
      <c r="AF166" s="69"/>
      <c r="AG166" s="69"/>
      <c r="AH166" s="69"/>
      <c r="AI166" s="69"/>
      <c r="AJ166" s="69"/>
      <c r="AK166" s="69"/>
      <c r="BE166" s="69"/>
    </row>
    <row r="167" spans="2:57" x14ac:dyDescent="0.25">
      <c r="B167"/>
      <c r="C167"/>
      <c r="D167"/>
      <c r="E167"/>
      <c r="I167" s="69"/>
      <c r="J167" s="69"/>
      <c r="K167" s="69"/>
      <c r="L167" s="69"/>
      <c r="M167" s="69"/>
      <c r="N167" s="69"/>
      <c r="O167" s="69"/>
      <c r="P167" s="69"/>
      <c r="Q167" s="69"/>
      <c r="R167" s="69"/>
      <c r="S167" s="69"/>
      <c r="T167" s="69"/>
      <c r="U167" s="69"/>
      <c r="V167" s="69"/>
      <c r="W167" s="69"/>
      <c r="X167" s="69"/>
      <c r="Y167" s="69"/>
      <c r="Z167" s="69"/>
      <c r="AA167" s="69"/>
      <c r="AB167" s="69"/>
      <c r="AC167" s="69"/>
      <c r="AD167" s="69"/>
      <c r="AE167" s="69"/>
      <c r="AF167" s="69"/>
      <c r="AG167" s="69"/>
      <c r="AH167" s="69"/>
      <c r="AI167" s="69"/>
      <c r="AJ167" s="69"/>
      <c r="AK167" s="69"/>
      <c r="BE167" s="69"/>
    </row>
    <row r="168" spans="2:57" x14ac:dyDescent="0.25">
      <c r="B168"/>
      <c r="C168"/>
      <c r="D168"/>
      <c r="E168"/>
      <c r="I168" s="69"/>
      <c r="J168" s="69"/>
      <c r="K168" s="69"/>
      <c r="L168" s="69"/>
      <c r="M168" s="69"/>
      <c r="N168" s="69"/>
      <c r="O168" s="69"/>
      <c r="P168" s="69"/>
      <c r="Q168" s="69"/>
      <c r="R168" s="69"/>
      <c r="S168" s="69"/>
      <c r="T168" s="69"/>
      <c r="U168" s="69"/>
      <c r="V168" s="69"/>
      <c r="W168" s="69"/>
      <c r="X168" s="69"/>
      <c r="Y168" s="69"/>
      <c r="Z168" s="69"/>
      <c r="AA168" s="69"/>
      <c r="AB168" s="69"/>
      <c r="AC168" s="69"/>
      <c r="AD168" s="69"/>
      <c r="AE168" s="69"/>
      <c r="AF168" s="69"/>
      <c r="AG168" s="69"/>
      <c r="AH168" s="69"/>
      <c r="AI168" s="69"/>
      <c r="AJ168" s="69"/>
      <c r="AK168" s="69"/>
      <c r="BE168" s="69"/>
    </row>
    <row r="169" spans="2:57" x14ac:dyDescent="0.25">
      <c r="B169"/>
      <c r="C169"/>
      <c r="D169"/>
      <c r="E169"/>
      <c r="I169" s="69"/>
      <c r="J169" s="69"/>
      <c r="K169" s="69"/>
      <c r="L169" s="69"/>
      <c r="M169" s="69"/>
      <c r="N169" s="69"/>
      <c r="O169" s="69"/>
      <c r="P169" s="69"/>
      <c r="Q169" s="69"/>
      <c r="R169" s="69"/>
      <c r="S169" s="69"/>
      <c r="T169" s="69"/>
      <c r="U169" s="69"/>
      <c r="V169" s="69"/>
      <c r="W169" s="69"/>
      <c r="X169" s="69"/>
      <c r="Y169" s="69"/>
      <c r="Z169" s="69"/>
      <c r="AA169" s="69"/>
      <c r="AB169" s="69"/>
      <c r="AC169" s="69"/>
      <c r="AD169" s="69"/>
      <c r="AE169" s="69"/>
      <c r="AF169" s="69"/>
      <c r="AG169" s="69"/>
      <c r="AH169" s="69"/>
      <c r="AI169" s="69"/>
      <c r="AJ169" s="69"/>
      <c r="AK169" s="69"/>
      <c r="BE169" s="69"/>
    </row>
    <row r="170" spans="2:57" x14ac:dyDescent="0.25">
      <c r="B170"/>
      <c r="C170"/>
      <c r="D170"/>
      <c r="E170"/>
      <c r="I170" s="69"/>
      <c r="J170" s="69"/>
      <c r="K170" s="69"/>
      <c r="L170" s="69"/>
      <c r="M170" s="69"/>
      <c r="N170" s="69"/>
      <c r="O170" s="69"/>
      <c r="P170" s="69"/>
      <c r="Q170" s="69"/>
      <c r="R170" s="69"/>
      <c r="S170" s="69"/>
      <c r="T170" s="69"/>
      <c r="U170" s="69"/>
      <c r="V170" s="69"/>
      <c r="W170" s="69"/>
      <c r="X170" s="69"/>
      <c r="Y170" s="69"/>
      <c r="Z170" s="69"/>
      <c r="AA170" s="69"/>
      <c r="AB170" s="69"/>
      <c r="AC170" s="69"/>
      <c r="AD170" s="69"/>
      <c r="AE170" s="69"/>
      <c r="AF170" s="69"/>
      <c r="AG170" s="69"/>
      <c r="AH170" s="69"/>
      <c r="AI170" s="69"/>
      <c r="AJ170" s="69"/>
      <c r="AK170" s="69"/>
      <c r="BE170" s="69"/>
    </row>
    <row r="171" spans="2:57" x14ac:dyDescent="0.25">
      <c r="B171"/>
      <c r="C171"/>
      <c r="D171"/>
      <c r="E171"/>
      <c r="I171" s="69"/>
      <c r="J171" s="69"/>
      <c r="K171" s="69"/>
      <c r="L171" s="69"/>
      <c r="M171" s="69"/>
      <c r="N171" s="69"/>
      <c r="O171" s="69"/>
      <c r="P171" s="69"/>
      <c r="Q171" s="69"/>
      <c r="R171" s="69"/>
      <c r="S171" s="69"/>
      <c r="T171" s="69"/>
      <c r="U171" s="69"/>
      <c r="V171" s="69"/>
      <c r="W171" s="69"/>
      <c r="X171" s="69"/>
      <c r="Y171" s="69"/>
      <c r="Z171" s="69"/>
      <c r="AA171" s="69"/>
      <c r="AB171" s="69"/>
      <c r="AC171" s="69"/>
      <c r="AD171" s="69"/>
      <c r="AE171" s="69"/>
      <c r="AF171" s="69"/>
      <c r="AG171" s="69"/>
      <c r="AH171" s="69"/>
      <c r="AI171" s="69"/>
      <c r="AJ171" s="69"/>
      <c r="AK171" s="69"/>
      <c r="BE171" s="69"/>
    </row>
    <row r="172" spans="2:57" x14ac:dyDescent="0.25">
      <c r="B172"/>
      <c r="C172"/>
      <c r="D172"/>
      <c r="E172"/>
      <c r="I172" s="69"/>
      <c r="J172" s="69"/>
      <c r="K172" s="69"/>
      <c r="L172" s="69"/>
      <c r="M172" s="69"/>
      <c r="N172" s="69"/>
      <c r="O172" s="69"/>
      <c r="P172" s="69"/>
      <c r="Q172" s="69"/>
      <c r="R172" s="69"/>
      <c r="S172" s="69"/>
      <c r="T172" s="69"/>
      <c r="U172" s="69"/>
      <c r="V172" s="69"/>
      <c r="W172" s="69"/>
      <c r="X172" s="69"/>
      <c r="Y172" s="69"/>
      <c r="Z172" s="69"/>
      <c r="AA172" s="69"/>
      <c r="AB172" s="69"/>
      <c r="AC172" s="69"/>
      <c r="AD172" s="69"/>
      <c r="AE172" s="69"/>
      <c r="AF172" s="69"/>
      <c r="AG172" s="69"/>
      <c r="AH172" s="69"/>
      <c r="AI172" s="69"/>
      <c r="AJ172" s="69"/>
      <c r="AK172" s="69"/>
      <c r="BE172" s="69"/>
    </row>
    <row r="173" spans="2:57" x14ac:dyDescent="0.25">
      <c r="B173"/>
      <c r="C173"/>
      <c r="D173"/>
      <c r="E173"/>
      <c r="I173" s="69"/>
      <c r="J173" s="69"/>
      <c r="K173" s="69"/>
      <c r="L173" s="69"/>
      <c r="M173" s="69"/>
      <c r="N173" s="69"/>
      <c r="O173" s="69"/>
      <c r="P173" s="69"/>
      <c r="Q173" s="69"/>
      <c r="R173" s="69"/>
      <c r="S173" s="69"/>
      <c r="T173" s="69"/>
      <c r="U173" s="69"/>
      <c r="V173" s="69"/>
      <c r="W173" s="69"/>
      <c r="X173" s="69"/>
      <c r="Y173" s="69"/>
      <c r="Z173" s="69"/>
      <c r="AA173" s="69"/>
      <c r="AB173" s="69"/>
      <c r="AC173" s="69"/>
      <c r="AD173" s="69"/>
      <c r="AE173" s="69"/>
      <c r="AF173" s="69"/>
      <c r="AG173" s="69"/>
      <c r="AH173" s="69"/>
      <c r="AI173" s="69"/>
      <c r="AJ173" s="69"/>
      <c r="AK173" s="69"/>
      <c r="BE173" s="69"/>
    </row>
    <row r="174" spans="2:57" x14ac:dyDescent="0.25">
      <c r="B174"/>
      <c r="C174"/>
      <c r="D174"/>
      <c r="E174"/>
      <c r="I174" s="69"/>
      <c r="J174" s="69"/>
      <c r="K174" s="69"/>
      <c r="L174" s="69"/>
      <c r="M174" s="69"/>
      <c r="N174" s="69"/>
      <c r="O174" s="69"/>
      <c r="P174" s="69"/>
      <c r="Q174" s="69"/>
      <c r="R174" s="69"/>
      <c r="S174" s="69"/>
      <c r="T174" s="69"/>
      <c r="U174" s="69"/>
      <c r="V174" s="69"/>
      <c r="W174" s="69"/>
      <c r="X174" s="69"/>
      <c r="Y174" s="69"/>
      <c r="Z174" s="69"/>
      <c r="AA174" s="69"/>
      <c r="AB174" s="69"/>
      <c r="AC174" s="69"/>
      <c r="AD174" s="69"/>
      <c r="AE174" s="69"/>
      <c r="AF174" s="69"/>
      <c r="AG174" s="69"/>
      <c r="AH174" s="69"/>
      <c r="AI174" s="69"/>
      <c r="AJ174" s="69"/>
      <c r="AK174" s="69"/>
      <c r="BE174" s="69"/>
    </row>
    <row r="175" spans="2:57" x14ac:dyDescent="0.25">
      <c r="B175"/>
      <c r="C175"/>
      <c r="D175"/>
      <c r="E175"/>
      <c r="I175" s="69"/>
      <c r="J175" s="69"/>
      <c r="K175" s="69"/>
      <c r="L175" s="69"/>
      <c r="M175" s="69"/>
      <c r="N175" s="69"/>
      <c r="O175" s="69"/>
      <c r="P175" s="69"/>
      <c r="Q175" s="69"/>
      <c r="R175" s="69"/>
      <c r="S175" s="69"/>
      <c r="T175" s="69"/>
      <c r="U175" s="69"/>
      <c r="V175" s="69"/>
      <c r="W175" s="69"/>
      <c r="X175" s="69"/>
      <c r="Y175" s="69"/>
      <c r="Z175" s="69"/>
      <c r="AA175" s="69"/>
      <c r="AB175" s="69"/>
      <c r="AC175" s="69"/>
      <c r="AD175" s="69"/>
      <c r="AE175" s="69"/>
      <c r="AF175" s="69"/>
      <c r="AG175" s="69"/>
      <c r="AH175" s="69"/>
      <c r="AI175" s="69"/>
      <c r="AJ175" s="69"/>
      <c r="AK175" s="69"/>
      <c r="BE175" s="69"/>
    </row>
    <row r="176" spans="2:57" x14ac:dyDescent="0.25">
      <c r="B176"/>
      <c r="C176"/>
      <c r="D176"/>
      <c r="E176"/>
      <c r="I176" s="69"/>
      <c r="J176" s="69"/>
      <c r="K176" s="69"/>
      <c r="L176" s="69"/>
      <c r="M176" s="69"/>
      <c r="N176" s="69"/>
      <c r="O176" s="69"/>
      <c r="P176" s="69"/>
      <c r="Q176" s="69"/>
      <c r="R176" s="69"/>
      <c r="S176" s="69"/>
      <c r="T176" s="69"/>
      <c r="U176" s="69"/>
      <c r="V176" s="69"/>
      <c r="W176" s="69"/>
      <c r="X176" s="69"/>
      <c r="Y176" s="69"/>
      <c r="Z176" s="69"/>
      <c r="AA176" s="69"/>
      <c r="AB176" s="69"/>
      <c r="AC176" s="69"/>
      <c r="AD176" s="69"/>
      <c r="AE176" s="69"/>
      <c r="AF176" s="69"/>
      <c r="AG176" s="69"/>
      <c r="AH176" s="69"/>
      <c r="AI176" s="69"/>
      <c r="AJ176" s="69"/>
      <c r="AK176" s="69"/>
      <c r="BE176" s="69"/>
    </row>
    <row r="177" spans="2:57" x14ac:dyDescent="0.25">
      <c r="B177"/>
      <c r="C177"/>
      <c r="D177"/>
      <c r="E177"/>
      <c r="I177" s="69"/>
      <c r="J177" s="69"/>
      <c r="K177" s="69"/>
      <c r="L177" s="69"/>
      <c r="M177" s="69"/>
      <c r="N177" s="69"/>
      <c r="O177" s="69"/>
      <c r="P177" s="69"/>
      <c r="Q177" s="69"/>
      <c r="R177" s="69"/>
      <c r="S177" s="69"/>
      <c r="T177" s="69"/>
      <c r="U177" s="69"/>
      <c r="V177" s="69"/>
      <c r="W177" s="69"/>
      <c r="X177" s="69"/>
      <c r="Y177" s="69"/>
      <c r="Z177" s="69"/>
      <c r="AA177" s="69"/>
      <c r="AB177" s="69"/>
      <c r="AC177" s="69"/>
      <c r="AD177" s="69"/>
      <c r="AE177" s="69"/>
      <c r="AF177" s="69"/>
      <c r="AG177" s="69"/>
      <c r="AH177" s="69"/>
      <c r="AI177" s="69"/>
      <c r="AJ177" s="69"/>
      <c r="AK177" s="69"/>
      <c r="BE177" s="69"/>
    </row>
    <row r="178" spans="2:57" x14ac:dyDescent="0.25">
      <c r="B178"/>
      <c r="C178"/>
      <c r="D178"/>
      <c r="E178"/>
      <c r="I178" s="69"/>
      <c r="J178" s="69"/>
      <c r="K178" s="69"/>
      <c r="L178" s="69"/>
      <c r="M178" s="69"/>
      <c r="N178" s="69"/>
      <c r="O178" s="69"/>
      <c r="P178" s="69"/>
      <c r="Q178" s="69"/>
      <c r="R178" s="69"/>
      <c r="S178" s="69"/>
      <c r="T178" s="69"/>
      <c r="U178" s="69"/>
      <c r="V178" s="69"/>
      <c r="W178" s="69"/>
      <c r="X178" s="69"/>
      <c r="Y178" s="69"/>
      <c r="Z178" s="69"/>
      <c r="AA178" s="69"/>
      <c r="AB178" s="69"/>
      <c r="AC178" s="69"/>
      <c r="AD178" s="69"/>
      <c r="AE178" s="69"/>
      <c r="AF178" s="69"/>
      <c r="AG178" s="69"/>
      <c r="AH178" s="69"/>
      <c r="AI178" s="69"/>
      <c r="AJ178" s="69"/>
      <c r="AK178" s="69"/>
      <c r="BE178" s="69"/>
    </row>
    <row r="179" spans="2:57" x14ac:dyDescent="0.25">
      <c r="B179"/>
      <c r="C179"/>
      <c r="D179"/>
      <c r="E179"/>
      <c r="I179" s="69"/>
      <c r="J179" s="69"/>
      <c r="K179" s="69"/>
      <c r="L179" s="69"/>
      <c r="M179" s="69"/>
      <c r="N179" s="69"/>
      <c r="O179" s="69"/>
      <c r="P179" s="69"/>
      <c r="Q179" s="69"/>
      <c r="R179" s="69"/>
      <c r="S179" s="69"/>
      <c r="T179" s="69"/>
      <c r="U179" s="69"/>
      <c r="V179" s="69"/>
      <c r="W179" s="69"/>
      <c r="X179" s="69"/>
      <c r="Y179" s="69"/>
      <c r="Z179" s="69"/>
      <c r="AA179" s="69"/>
      <c r="AB179" s="69"/>
      <c r="AC179" s="69"/>
      <c r="AD179" s="69"/>
      <c r="AE179" s="69"/>
      <c r="AF179" s="69"/>
      <c r="AG179" s="69"/>
      <c r="AH179" s="69"/>
      <c r="AI179" s="69"/>
      <c r="AJ179" s="69"/>
      <c r="AK179" s="69"/>
      <c r="BE179" s="69"/>
    </row>
    <row r="180" spans="2:57" x14ac:dyDescent="0.25">
      <c r="B180"/>
      <c r="C180"/>
      <c r="D180"/>
      <c r="E180"/>
      <c r="I180" s="69"/>
      <c r="J180" s="69"/>
      <c r="K180" s="69"/>
      <c r="L180" s="69"/>
      <c r="M180" s="69"/>
      <c r="N180" s="69"/>
      <c r="O180" s="69"/>
      <c r="P180" s="69"/>
      <c r="Q180" s="69"/>
      <c r="R180" s="69"/>
      <c r="S180" s="69"/>
      <c r="T180" s="69"/>
      <c r="U180" s="69"/>
      <c r="V180" s="69"/>
      <c r="W180" s="69"/>
      <c r="X180" s="69"/>
      <c r="Y180" s="69"/>
      <c r="Z180" s="69"/>
      <c r="AA180" s="69"/>
      <c r="AB180" s="69"/>
      <c r="AC180" s="69"/>
      <c r="AD180" s="69"/>
      <c r="AE180" s="69"/>
      <c r="AF180" s="69"/>
      <c r="AG180" s="69"/>
      <c r="AH180" s="69"/>
      <c r="AI180" s="69"/>
      <c r="AJ180" s="69"/>
      <c r="AK180" s="69"/>
      <c r="BE180" s="69"/>
    </row>
    <row r="181" spans="2:57" x14ac:dyDescent="0.25">
      <c r="B181"/>
      <c r="C181"/>
      <c r="D181"/>
      <c r="E181"/>
      <c r="I181" s="69"/>
      <c r="J181" s="69"/>
      <c r="K181" s="69"/>
      <c r="L181" s="69"/>
      <c r="M181" s="69"/>
      <c r="N181" s="69"/>
      <c r="O181" s="69"/>
      <c r="P181" s="69"/>
      <c r="Q181" s="69"/>
      <c r="R181" s="69"/>
      <c r="S181" s="69"/>
      <c r="T181" s="69"/>
      <c r="U181" s="69"/>
      <c r="V181" s="69"/>
      <c r="W181" s="69"/>
      <c r="X181" s="69"/>
      <c r="Y181" s="69"/>
      <c r="Z181" s="69"/>
      <c r="AA181" s="69"/>
      <c r="AB181" s="69"/>
      <c r="AC181" s="69"/>
      <c r="AD181" s="69"/>
      <c r="AE181" s="69"/>
      <c r="AF181" s="69"/>
      <c r="AG181" s="69"/>
      <c r="AH181" s="69"/>
      <c r="AI181" s="69"/>
      <c r="AJ181" s="69"/>
      <c r="AK181" s="69"/>
      <c r="BE181" s="69"/>
    </row>
    <row r="182" spans="2:57" x14ac:dyDescent="0.25">
      <c r="B182"/>
      <c r="C182"/>
      <c r="D182"/>
      <c r="E182"/>
      <c r="I182" s="69"/>
      <c r="J182" s="69"/>
      <c r="K182" s="69"/>
      <c r="L182" s="69"/>
      <c r="M182" s="69"/>
      <c r="N182" s="69"/>
      <c r="O182" s="69"/>
      <c r="P182" s="69"/>
      <c r="Q182" s="69"/>
      <c r="R182" s="69"/>
      <c r="S182" s="69"/>
      <c r="T182" s="69"/>
      <c r="U182" s="69"/>
      <c r="V182" s="69"/>
      <c r="W182" s="69"/>
      <c r="X182" s="69"/>
      <c r="Y182" s="69"/>
      <c r="Z182" s="69"/>
      <c r="AA182" s="69"/>
      <c r="AB182" s="69"/>
      <c r="AC182" s="69"/>
      <c r="AD182" s="69"/>
      <c r="AE182" s="69"/>
      <c r="AF182" s="69"/>
      <c r="AG182" s="69"/>
      <c r="AH182" s="69"/>
      <c r="AI182" s="69"/>
      <c r="AJ182" s="69"/>
      <c r="AK182" s="69"/>
      <c r="BE182" s="69"/>
    </row>
    <row r="183" spans="2:57" x14ac:dyDescent="0.25">
      <c r="B183"/>
      <c r="C183"/>
      <c r="D183"/>
      <c r="E183"/>
      <c r="I183" s="69"/>
      <c r="J183" s="69"/>
      <c r="K183" s="69"/>
      <c r="L183" s="69"/>
      <c r="M183" s="69"/>
      <c r="N183" s="69"/>
      <c r="O183" s="69"/>
      <c r="P183" s="69"/>
      <c r="Q183" s="69"/>
      <c r="R183" s="69"/>
      <c r="S183" s="69"/>
      <c r="T183" s="69"/>
      <c r="U183" s="69"/>
      <c r="V183" s="69"/>
      <c r="W183" s="69"/>
      <c r="X183" s="69"/>
      <c r="Y183" s="69"/>
      <c r="Z183" s="69"/>
      <c r="AA183" s="69"/>
      <c r="AB183" s="69"/>
      <c r="AC183" s="69"/>
      <c r="AD183" s="69"/>
      <c r="AE183" s="69"/>
      <c r="AF183" s="69"/>
      <c r="AG183" s="69"/>
      <c r="AH183" s="69"/>
      <c r="AI183" s="69"/>
      <c r="AJ183" s="69"/>
      <c r="AK183" s="69"/>
      <c r="BE183" s="69"/>
    </row>
    <row r="184" spans="2:57" x14ac:dyDescent="0.25">
      <c r="B184"/>
      <c r="C184"/>
      <c r="D184"/>
      <c r="E184"/>
      <c r="I184" s="69"/>
      <c r="J184" s="69"/>
      <c r="K184" s="69"/>
      <c r="L184" s="69"/>
      <c r="M184" s="69"/>
      <c r="N184" s="69"/>
      <c r="O184" s="69"/>
      <c r="P184" s="69"/>
      <c r="Q184" s="69"/>
      <c r="R184" s="69"/>
      <c r="S184" s="69"/>
      <c r="T184" s="69"/>
      <c r="U184" s="69"/>
      <c r="V184" s="69"/>
      <c r="W184" s="69"/>
      <c r="X184" s="69"/>
      <c r="Y184" s="69"/>
      <c r="Z184" s="69"/>
      <c r="AA184" s="69"/>
      <c r="AB184" s="69"/>
      <c r="AC184" s="69"/>
      <c r="AD184" s="69"/>
      <c r="AE184" s="69"/>
      <c r="AF184" s="69"/>
      <c r="AG184" s="69"/>
      <c r="AH184" s="69"/>
      <c r="AI184" s="69"/>
      <c r="AJ184" s="69"/>
      <c r="AK184" s="69"/>
      <c r="BE184" s="69"/>
    </row>
    <row r="185" spans="2:57" x14ac:dyDescent="0.25">
      <c r="B185"/>
      <c r="C185"/>
      <c r="D185"/>
      <c r="E185"/>
      <c r="I185" s="69"/>
      <c r="J185" s="69"/>
      <c r="K185" s="69"/>
      <c r="L185" s="69"/>
      <c r="M185" s="69"/>
      <c r="N185" s="69"/>
      <c r="O185" s="69"/>
      <c r="P185" s="69"/>
      <c r="Q185" s="69"/>
      <c r="R185" s="69"/>
      <c r="S185" s="69"/>
      <c r="T185" s="69"/>
      <c r="U185" s="69"/>
      <c r="V185" s="69"/>
      <c r="W185" s="69"/>
      <c r="X185" s="69"/>
      <c r="Y185" s="69"/>
      <c r="Z185" s="69"/>
      <c r="AA185" s="69"/>
      <c r="AB185" s="69"/>
      <c r="AC185" s="69"/>
      <c r="AD185" s="69"/>
      <c r="AE185" s="69"/>
      <c r="AF185" s="69"/>
      <c r="AG185" s="69"/>
      <c r="AH185" s="69"/>
      <c r="AI185" s="69"/>
      <c r="AJ185" s="69"/>
      <c r="AK185" s="69"/>
      <c r="BE185" s="69"/>
    </row>
    <row r="186" spans="2:57" x14ac:dyDescent="0.25">
      <c r="B186"/>
      <c r="C186"/>
      <c r="D186"/>
      <c r="E186"/>
      <c r="I186" s="69"/>
      <c r="J186" s="69"/>
      <c r="K186" s="69"/>
      <c r="L186" s="69"/>
      <c r="M186" s="69"/>
      <c r="N186" s="69"/>
      <c r="O186" s="69"/>
      <c r="P186" s="69"/>
      <c r="Q186" s="69"/>
      <c r="R186" s="69"/>
      <c r="S186" s="69"/>
      <c r="T186" s="69"/>
      <c r="U186" s="69"/>
      <c r="V186" s="69"/>
      <c r="W186" s="69"/>
      <c r="X186" s="69"/>
      <c r="Y186" s="69"/>
      <c r="Z186" s="69"/>
      <c r="AA186" s="69"/>
      <c r="AB186" s="69"/>
      <c r="AC186" s="69"/>
      <c r="AD186" s="69"/>
      <c r="AE186" s="69"/>
      <c r="AF186" s="69"/>
      <c r="AG186" s="69"/>
      <c r="AH186" s="69"/>
      <c r="AI186" s="69"/>
      <c r="AJ186" s="69"/>
      <c r="AK186" s="69"/>
      <c r="BE186" s="69"/>
    </row>
    <row r="187" spans="2:57" x14ac:dyDescent="0.25">
      <c r="B187"/>
      <c r="C187"/>
      <c r="D187"/>
      <c r="E187"/>
      <c r="I187" s="69"/>
      <c r="J187" s="69"/>
      <c r="K187" s="69"/>
      <c r="L187" s="69"/>
      <c r="M187" s="69"/>
      <c r="N187" s="69"/>
      <c r="O187" s="69"/>
      <c r="P187" s="69"/>
      <c r="Q187" s="69"/>
      <c r="R187" s="69"/>
      <c r="S187" s="69"/>
      <c r="T187" s="69"/>
      <c r="U187" s="69"/>
      <c r="V187" s="69"/>
      <c r="W187" s="69"/>
      <c r="X187" s="69"/>
      <c r="Y187" s="69"/>
      <c r="Z187" s="69"/>
      <c r="AA187" s="69"/>
      <c r="AB187" s="69"/>
      <c r="AC187" s="69"/>
      <c r="AD187" s="69"/>
      <c r="AE187" s="69"/>
      <c r="AF187" s="69"/>
      <c r="AG187" s="69"/>
      <c r="AH187" s="69"/>
      <c r="AI187" s="69"/>
      <c r="AJ187" s="69"/>
      <c r="AK187" s="69"/>
      <c r="BE187" s="69"/>
    </row>
    <row r="188" spans="2:57" x14ac:dyDescent="0.25">
      <c r="B188"/>
      <c r="C188"/>
      <c r="D188"/>
      <c r="E188"/>
      <c r="I188" s="69"/>
      <c r="J188" s="69"/>
      <c r="K188" s="69"/>
      <c r="L188" s="69"/>
      <c r="M188" s="69"/>
      <c r="N188" s="69"/>
      <c r="O188" s="69"/>
      <c r="P188" s="69"/>
      <c r="Q188" s="69"/>
      <c r="R188" s="69"/>
      <c r="S188" s="69"/>
      <c r="T188" s="69"/>
      <c r="U188" s="69"/>
      <c r="V188" s="69"/>
      <c r="W188" s="69"/>
      <c r="X188" s="69"/>
      <c r="Y188" s="69"/>
      <c r="Z188" s="69"/>
      <c r="AA188" s="69"/>
      <c r="AB188" s="69"/>
      <c r="AC188" s="69"/>
      <c r="AD188" s="69"/>
      <c r="AE188" s="69"/>
      <c r="AF188" s="69"/>
      <c r="AG188" s="69"/>
      <c r="AH188" s="69"/>
      <c r="AI188" s="69"/>
      <c r="AJ188" s="69"/>
      <c r="AK188" s="69"/>
      <c r="BE188" s="69"/>
    </row>
    <row r="189" spans="2:57" x14ac:dyDescent="0.25">
      <c r="B189"/>
      <c r="C189"/>
      <c r="D189"/>
      <c r="E189"/>
      <c r="I189" s="69"/>
      <c r="J189" s="69"/>
      <c r="K189" s="69"/>
      <c r="L189" s="69"/>
      <c r="M189" s="69"/>
      <c r="N189" s="69"/>
      <c r="O189" s="69"/>
      <c r="P189" s="69"/>
      <c r="Q189" s="69"/>
      <c r="R189" s="69"/>
      <c r="S189" s="69"/>
      <c r="T189" s="69"/>
      <c r="U189" s="69"/>
      <c r="V189" s="69"/>
      <c r="W189" s="69"/>
      <c r="X189" s="69"/>
      <c r="Y189" s="69"/>
      <c r="Z189" s="69"/>
      <c r="AA189" s="69"/>
      <c r="AB189" s="69"/>
      <c r="AC189" s="69"/>
      <c r="AD189" s="69"/>
      <c r="AE189" s="69"/>
      <c r="AF189" s="69"/>
      <c r="AG189" s="69"/>
      <c r="AH189" s="69"/>
      <c r="AI189" s="69"/>
      <c r="AJ189" s="69"/>
      <c r="AK189" s="69"/>
      <c r="BE189" s="69"/>
    </row>
    <row r="190" spans="2:57" x14ac:dyDescent="0.25">
      <c r="B190"/>
      <c r="C190"/>
      <c r="D190"/>
      <c r="E190"/>
      <c r="I190" s="69"/>
      <c r="J190" s="69"/>
      <c r="K190" s="69"/>
      <c r="L190" s="69"/>
      <c r="M190" s="69"/>
      <c r="N190" s="69"/>
      <c r="O190" s="69"/>
      <c r="P190" s="69"/>
      <c r="Q190" s="69"/>
      <c r="R190" s="69"/>
      <c r="S190" s="69"/>
      <c r="T190" s="69"/>
      <c r="U190" s="69"/>
      <c r="V190" s="69"/>
      <c r="W190" s="69"/>
      <c r="X190" s="69"/>
      <c r="Y190" s="69"/>
      <c r="Z190" s="69"/>
      <c r="AA190" s="69"/>
      <c r="AB190" s="69"/>
      <c r="AC190" s="69"/>
      <c r="AD190" s="69"/>
      <c r="AE190" s="69"/>
      <c r="AF190" s="69"/>
      <c r="AG190" s="69"/>
      <c r="AH190" s="69"/>
      <c r="AI190" s="69"/>
      <c r="AJ190" s="69"/>
      <c r="AK190" s="69"/>
      <c r="BE190" s="69"/>
    </row>
    <row r="191" spans="2:57" x14ac:dyDescent="0.25">
      <c r="B191"/>
      <c r="C191"/>
      <c r="D191"/>
      <c r="E191"/>
      <c r="I191" s="69"/>
      <c r="J191" s="69"/>
      <c r="K191" s="69"/>
      <c r="L191" s="69"/>
      <c r="M191" s="69"/>
      <c r="N191" s="69"/>
      <c r="O191" s="69"/>
      <c r="P191" s="69"/>
      <c r="Q191" s="69"/>
      <c r="R191" s="69"/>
      <c r="S191" s="69"/>
      <c r="T191" s="69"/>
      <c r="U191" s="69"/>
      <c r="V191" s="69"/>
      <c r="W191" s="69"/>
      <c r="X191" s="69"/>
      <c r="Y191" s="69"/>
      <c r="Z191" s="69"/>
      <c r="AA191" s="69"/>
      <c r="AB191" s="69"/>
      <c r="AC191" s="69"/>
      <c r="AD191" s="69"/>
      <c r="AE191" s="69"/>
      <c r="AF191" s="69"/>
      <c r="AG191" s="69"/>
      <c r="AH191" s="69"/>
      <c r="AI191" s="69"/>
      <c r="AJ191" s="69"/>
      <c r="AK191" s="69"/>
      <c r="BE191" s="69"/>
    </row>
    <row r="192" spans="2:57" x14ac:dyDescent="0.25">
      <c r="B192"/>
      <c r="C192"/>
      <c r="D192"/>
      <c r="E192"/>
      <c r="I192" s="69"/>
      <c r="J192" s="69"/>
      <c r="K192" s="69"/>
      <c r="L192" s="69"/>
      <c r="M192" s="69"/>
      <c r="N192" s="69"/>
      <c r="O192" s="69"/>
      <c r="P192" s="69"/>
      <c r="Q192" s="69"/>
      <c r="R192" s="69"/>
      <c r="S192" s="69"/>
      <c r="T192" s="69"/>
      <c r="U192" s="69"/>
      <c r="V192" s="69"/>
      <c r="W192" s="69"/>
      <c r="X192" s="69"/>
      <c r="Y192" s="69"/>
      <c r="Z192" s="69"/>
      <c r="AA192" s="69"/>
      <c r="AB192" s="69"/>
      <c r="AC192" s="69"/>
      <c r="AD192" s="69"/>
      <c r="AE192" s="69"/>
      <c r="AF192" s="69"/>
      <c r="AG192" s="69"/>
      <c r="AH192" s="69"/>
      <c r="AI192" s="69"/>
      <c r="AJ192" s="69"/>
      <c r="AK192" s="69"/>
      <c r="BE192" s="69"/>
    </row>
    <row r="193" spans="2:57" x14ac:dyDescent="0.25">
      <c r="B193"/>
      <c r="C193"/>
      <c r="D193"/>
      <c r="E193"/>
      <c r="I193" s="69"/>
      <c r="J193" s="69"/>
      <c r="K193" s="69"/>
      <c r="L193" s="69"/>
      <c r="M193" s="69"/>
      <c r="N193" s="69"/>
      <c r="O193" s="69"/>
      <c r="P193" s="69"/>
      <c r="Q193" s="69"/>
      <c r="R193" s="69"/>
      <c r="S193" s="69"/>
      <c r="T193" s="69"/>
      <c r="U193" s="69"/>
      <c r="V193" s="69"/>
      <c r="W193" s="69"/>
      <c r="X193" s="69"/>
      <c r="Y193" s="69"/>
      <c r="Z193" s="69"/>
      <c r="AA193" s="69"/>
      <c r="AB193" s="69"/>
      <c r="AC193" s="69"/>
      <c r="AD193" s="69"/>
      <c r="AE193" s="69"/>
      <c r="AF193" s="69"/>
      <c r="AG193" s="69"/>
      <c r="AH193" s="69"/>
      <c r="AI193" s="69"/>
      <c r="AJ193" s="69"/>
      <c r="AK193" s="69"/>
      <c r="BE193" s="69"/>
    </row>
    <row r="194" spans="2:57" x14ac:dyDescent="0.25">
      <c r="B194"/>
      <c r="C194"/>
      <c r="D194"/>
      <c r="E194"/>
      <c r="I194" s="69"/>
      <c r="J194" s="69"/>
      <c r="K194" s="69"/>
      <c r="L194" s="69"/>
      <c r="M194" s="69"/>
      <c r="N194" s="69"/>
      <c r="O194" s="69"/>
      <c r="P194" s="69"/>
      <c r="Q194" s="69"/>
      <c r="R194" s="69"/>
      <c r="S194" s="69"/>
      <c r="T194" s="69"/>
      <c r="U194" s="69"/>
      <c r="V194" s="69"/>
      <c r="W194" s="69"/>
      <c r="X194" s="69"/>
      <c r="Y194" s="69"/>
      <c r="Z194" s="69"/>
      <c r="AA194" s="69"/>
      <c r="AB194" s="69"/>
      <c r="AC194" s="69"/>
      <c r="AD194" s="69"/>
      <c r="AE194" s="69"/>
      <c r="AF194" s="69"/>
      <c r="AG194" s="69"/>
      <c r="AH194" s="69"/>
      <c r="AI194" s="69"/>
      <c r="AJ194" s="69"/>
      <c r="AK194" s="69"/>
      <c r="BE194" s="69"/>
    </row>
    <row r="195" spans="2:57" x14ac:dyDescent="0.25">
      <c r="B195"/>
      <c r="C195"/>
      <c r="D195"/>
      <c r="E195"/>
      <c r="I195" s="69"/>
      <c r="J195" s="69"/>
      <c r="K195" s="69"/>
      <c r="L195" s="69"/>
      <c r="M195" s="69"/>
      <c r="N195" s="69"/>
      <c r="O195" s="69"/>
      <c r="P195" s="69"/>
      <c r="Q195" s="69"/>
      <c r="R195" s="69"/>
      <c r="S195" s="69"/>
      <c r="T195" s="69"/>
      <c r="U195" s="69"/>
      <c r="V195" s="69"/>
      <c r="W195" s="69"/>
      <c r="X195" s="69"/>
      <c r="Y195" s="69"/>
      <c r="Z195" s="69"/>
      <c r="AA195" s="69"/>
      <c r="AB195" s="69"/>
      <c r="AC195" s="69"/>
      <c r="AD195" s="69"/>
      <c r="AE195" s="69"/>
      <c r="AF195" s="69"/>
      <c r="AG195" s="69"/>
      <c r="AH195" s="69"/>
      <c r="AI195" s="69"/>
      <c r="AJ195" s="69"/>
      <c r="AK195" s="69"/>
      <c r="BE195" s="69"/>
    </row>
    <row r="196" spans="2:57" x14ac:dyDescent="0.25">
      <c r="B196"/>
      <c r="C196"/>
      <c r="D196"/>
      <c r="E196"/>
      <c r="I196" s="69"/>
      <c r="J196" s="69"/>
      <c r="K196" s="69"/>
      <c r="L196" s="69"/>
      <c r="M196" s="69"/>
      <c r="N196" s="69"/>
      <c r="O196" s="69"/>
      <c r="P196" s="69"/>
      <c r="Q196" s="69"/>
      <c r="R196" s="69"/>
      <c r="S196" s="69"/>
      <c r="T196" s="69"/>
      <c r="U196" s="69"/>
      <c r="V196" s="69"/>
      <c r="W196" s="69"/>
      <c r="X196" s="69"/>
      <c r="Y196" s="69"/>
      <c r="Z196" s="69"/>
      <c r="AA196" s="69"/>
      <c r="AB196" s="69"/>
      <c r="AC196" s="69"/>
      <c r="AD196" s="69"/>
      <c r="AE196" s="69"/>
      <c r="AF196" s="69"/>
      <c r="AG196" s="69"/>
      <c r="AH196" s="69"/>
      <c r="AI196" s="69"/>
      <c r="AJ196" s="69"/>
      <c r="AK196" s="69"/>
      <c r="BE196" s="69"/>
    </row>
    <row r="197" spans="2:57" x14ac:dyDescent="0.25">
      <c r="B197"/>
      <c r="C197"/>
      <c r="D197"/>
      <c r="E197"/>
      <c r="I197" s="69"/>
      <c r="J197" s="69"/>
      <c r="K197" s="69"/>
      <c r="L197" s="69"/>
      <c r="M197" s="69"/>
      <c r="N197" s="69"/>
      <c r="O197" s="69"/>
      <c r="P197" s="69"/>
      <c r="Q197" s="69"/>
      <c r="R197" s="69"/>
      <c r="S197" s="69"/>
      <c r="T197" s="69"/>
      <c r="U197" s="69"/>
      <c r="V197" s="69"/>
      <c r="W197" s="69"/>
      <c r="X197" s="69"/>
      <c r="Y197" s="69"/>
      <c r="Z197" s="69"/>
      <c r="AA197" s="69"/>
      <c r="AB197" s="69"/>
      <c r="AC197" s="69"/>
      <c r="AD197" s="69"/>
      <c r="AE197" s="69"/>
      <c r="AF197" s="69"/>
      <c r="AG197" s="69"/>
      <c r="AH197" s="69"/>
      <c r="AI197" s="69"/>
      <c r="AJ197" s="69"/>
      <c r="AK197" s="69"/>
      <c r="BE197" s="69"/>
    </row>
    <row r="198" spans="2:57" x14ac:dyDescent="0.25">
      <c r="B198"/>
      <c r="C198"/>
      <c r="D198"/>
      <c r="E198"/>
      <c r="I198" s="69"/>
      <c r="J198" s="69"/>
      <c r="K198" s="69"/>
      <c r="L198" s="69"/>
      <c r="M198" s="69"/>
      <c r="N198" s="69"/>
      <c r="O198" s="69"/>
      <c r="P198" s="69"/>
      <c r="Q198" s="69"/>
      <c r="R198" s="69"/>
      <c r="S198" s="69"/>
      <c r="T198" s="69"/>
      <c r="U198" s="69"/>
      <c r="V198" s="69"/>
      <c r="W198" s="69"/>
      <c r="X198" s="69"/>
      <c r="Y198" s="69"/>
      <c r="Z198" s="69"/>
      <c r="AA198" s="69"/>
      <c r="AB198" s="69"/>
      <c r="AC198" s="69"/>
      <c r="AD198" s="69"/>
      <c r="AE198" s="69"/>
      <c r="AF198" s="69"/>
      <c r="AG198" s="69"/>
      <c r="AH198" s="69"/>
      <c r="AI198" s="69"/>
      <c r="AJ198" s="69"/>
      <c r="AK198" s="69"/>
      <c r="BE198" s="69"/>
    </row>
    <row r="199" spans="2:57" x14ac:dyDescent="0.25">
      <c r="B199"/>
      <c r="C199"/>
      <c r="D199"/>
      <c r="E199"/>
      <c r="I199" s="69"/>
      <c r="J199" s="69"/>
      <c r="K199" s="69"/>
      <c r="L199" s="69"/>
      <c r="M199" s="69"/>
      <c r="N199" s="69"/>
      <c r="O199" s="69"/>
      <c r="P199" s="69"/>
      <c r="Q199" s="69"/>
      <c r="R199" s="69"/>
      <c r="S199" s="69"/>
      <c r="T199" s="69"/>
      <c r="U199" s="69"/>
      <c r="V199" s="69"/>
      <c r="W199" s="69"/>
      <c r="X199" s="69"/>
      <c r="Y199" s="69"/>
      <c r="Z199" s="69"/>
      <c r="AA199" s="69"/>
      <c r="AB199" s="69"/>
      <c r="AC199" s="69"/>
      <c r="AD199" s="69"/>
      <c r="AE199" s="69"/>
      <c r="AF199" s="69"/>
      <c r="AG199" s="69"/>
      <c r="AH199" s="69"/>
      <c r="AI199" s="69"/>
      <c r="AJ199" s="69"/>
      <c r="AK199" s="69"/>
      <c r="BE199" s="69"/>
    </row>
    <row r="200" spans="2:57" x14ac:dyDescent="0.25">
      <c r="B200"/>
      <c r="C200"/>
      <c r="D200"/>
      <c r="E200"/>
      <c r="I200" s="69"/>
      <c r="J200" s="69"/>
      <c r="K200" s="69"/>
      <c r="L200" s="69"/>
      <c r="M200" s="69"/>
      <c r="N200" s="69"/>
      <c r="O200" s="69"/>
      <c r="P200" s="69"/>
      <c r="Q200" s="69"/>
      <c r="R200" s="69"/>
      <c r="S200" s="69"/>
      <c r="T200" s="69"/>
      <c r="U200" s="69"/>
      <c r="V200" s="69"/>
      <c r="W200" s="69"/>
      <c r="X200" s="69"/>
      <c r="Y200" s="69"/>
      <c r="Z200" s="69"/>
      <c r="AA200" s="69"/>
      <c r="AB200" s="69"/>
      <c r="AC200" s="69"/>
      <c r="AD200" s="69"/>
      <c r="AE200" s="69"/>
      <c r="AF200" s="69"/>
      <c r="AG200" s="69"/>
      <c r="AH200" s="69"/>
      <c r="AI200" s="69"/>
      <c r="AJ200" s="69"/>
      <c r="AK200" s="69"/>
      <c r="BE200" s="69"/>
    </row>
    <row r="201" spans="2:57" x14ac:dyDescent="0.25">
      <c r="B201"/>
      <c r="C201"/>
      <c r="D201"/>
      <c r="E201"/>
      <c r="I201" s="69"/>
      <c r="J201" s="69"/>
      <c r="K201" s="69"/>
      <c r="L201" s="69"/>
      <c r="M201" s="69"/>
      <c r="N201" s="69"/>
      <c r="O201" s="69"/>
      <c r="P201" s="69"/>
      <c r="Q201" s="69"/>
      <c r="R201" s="69"/>
      <c r="S201" s="69"/>
      <c r="T201" s="69"/>
      <c r="U201" s="69"/>
      <c r="V201" s="69"/>
      <c r="W201" s="69"/>
      <c r="X201" s="69"/>
      <c r="Y201" s="69"/>
      <c r="Z201" s="69"/>
      <c r="AA201" s="69"/>
      <c r="AB201" s="69"/>
      <c r="AC201" s="69"/>
      <c r="AD201" s="69"/>
      <c r="AE201" s="69"/>
      <c r="AF201" s="69"/>
      <c r="AG201" s="69"/>
      <c r="AH201" s="69"/>
      <c r="AI201" s="69"/>
      <c r="AJ201" s="69"/>
      <c r="AK201" s="69"/>
      <c r="BE201" s="69"/>
    </row>
    <row r="202" spans="2:57" x14ac:dyDescent="0.25">
      <c r="B202"/>
      <c r="C202"/>
      <c r="D202"/>
      <c r="E202"/>
      <c r="I202" s="69"/>
      <c r="J202" s="69"/>
      <c r="K202" s="69"/>
      <c r="L202" s="69"/>
      <c r="M202" s="69"/>
      <c r="N202" s="69"/>
      <c r="O202" s="69"/>
      <c r="P202" s="69"/>
      <c r="Q202" s="69"/>
      <c r="R202" s="69"/>
      <c r="S202" s="69"/>
      <c r="T202" s="69"/>
      <c r="U202" s="69"/>
      <c r="V202" s="69"/>
      <c r="W202" s="69"/>
      <c r="X202" s="69"/>
      <c r="Y202" s="69"/>
      <c r="Z202" s="69"/>
      <c r="AA202" s="69"/>
      <c r="AB202" s="69"/>
      <c r="AC202" s="69"/>
      <c r="AD202" s="69"/>
      <c r="AE202" s="69"/>
      <c r="AF202" s="69"/>
      <c r="AG202" s="69"/>
      <c r="AH202" s="69"/>
      <c r="AI202" s="69"/>
      <c r="AJ202" s="69"/>
      <c r="AK202" s="69"/>
      <c r="BE202" s="69"/>
    </row>
    <row r="203" spans="2:57" x14ac:dyDescent="0.25">
      <c r="B203"/>
      <c r="C203"/>
      <c r="D203"/>
      <c r="E203"/>
      <c r="I203" s="69"/>
      <c r="J203" s="69"/>
      <c r="K203" s="69"/>
      <c r="L203" s="69"/>
      <c r="M203" s="69"/>
      <c r="N203" s="69"/>
      <c r="O203" s="69"/>
      <c r="P203" s="69"/>
      <c r="Q203" s="69"/>
      <c r="R203" s="69"/>
      <c r="S203" s="69"/>
      <c r="T203" s="69"/>
      <c r="U203" s="69"/>
      <c r="V203" s="69"/>
      <c r="W203" s="69"/>
      <c r="X203" s="69"/>
      <c r="Y203" s="69"/>
      <c r="Z203" s="69"/>
      <c r="AA203" s="69"/>
      <c r="AB203" s="69"/>
      <c r="AC203" s="69"/>
      <c r="AD203" s="69"/>
      <c r="AE203" s="69"/>
      <c r="AF203" s="69"/>
      <c r="AG203" s="69"/>
      <c r="AH203" s="69"/>
      <c r="AI203" s="69"/>
      <c r="AJ203" s="69"/>
      <c r="AK203" s="69"/>
      <c r="BE203" s="69"/>
    </row>
    <row r="204" spans="2:57" x14ac:dyDescent="0.25">
      <c r="B204"/>
      <c r="C204"/>
      <c r="D204"/>
      <c r="E204"/>
      <c r="I204" s="69"/>
      <c r="J204" s="69"/>
      <c r="K204" s="69"/>
      <c r="L204" s="69"/>
      <c r="M204" s="69"/>
      <c r="N204" s="69"/>
      <c r="O204" s="69"/>
      <c r="P204" s="69"/>
      <c r="Q204" s="69"/>
      <c r="R204" s="69"/>
      <c r="S204" s="69"/>
      <c r="T204" s="69"/>
      <c r="U204" s="69"/>
      <c r="V204" s="69"/>
      <c r="W204" s="69"/>
      <c r="X204" s="69"/>
      <c r="Y204" s="69"/>
      <c r="Z204" s="69"/>
      <c r="AA204" s="69"/>
      <c r="AB204" s="69"/>
      <c r="AC204" s="69"/>
      <c r="AD204" s="69"/>
      <c r="AE204" s="69"/>
      <c r="AF204" s="69"/>
      <c r="AG204" s="69"/>
      <c r="AH204" s="69"/>
      <c r="AI204" s="69"/>
      <c r="AJ204" s="69"/>
      <c r="AK204" s="69"/>
      <c r="BE204" s="69"/>
    </row>
    <row r="205" spans="2:57" x14ac:dyDescent="0.25">
      <c r="B205"/>
      <c r="C205"/>
      <c r="D205"/>
      <c r="E205"/>
      <c r="I205" s="69"/>
      <c r="J205" s="69"/>
      <c r="K205" s="69"/>
      <c r="L205" s="69"/>
      <c r="M205" s="69"/>
      <c r="N205" s="69"/>
      <c r="O205" s="69"/>
      <c r="P205" s="69"/>
      <c r="Q205" s="69"/>
      <c r="R205" s="69"/>
      <c r="S205" s="69"/>
      <c r="T205" s="69"/>
      <c r="U205" s="69"/>
      <c r="V205" s="69"/>
      <c r="W205" s="69"/>
      <c r="X205" s="69"/>
      <c r="Y205" s="69"/>
      <c r="Z205" s="69"/>
      <c r="AA205" s="69"/>
      <c r="AB205" s="69"/>
      <c r="AC205" s="69"/>
      <c r="AD205" s="69"/>
      <c r="AE205" s="69"/>
      <c r="AF205" s="69"/>
      <c r="AG205" s="69"/>
      <c r="AH205" s="69"/>
      <c r="AI205" s="69"/>
      <c r="AJ205" s="69"/>
      <c r="AK205" s="69"/>
      <c r="BE205" s="69"/>
    </row>
    <row r="206" spans="2:57" x14ac:dyDescent="0.25">
      <c r="B206"/>
      <c r="C206"/>
      <c r="D206"/>
      <c r="E206"/>
      <c r="I206" s="69"/>
      <c r="J206" s="69"/>
      <c r="K206" s="69"/>
      <c r="L206" s="69"/>
      <c r="M206" s="69"/>
      <c r="N206" s="69"/>
      <c r="O206" s="69"/>
      <c r="P206" s="69"/>
      <c r="Q206" s="69"/>
      <c r="R206" s="69"/>
      <c r="S206" s="69"/>
      <c r="T206" s="69"/>
      <c r="U206" s="69"/>
      <c r="V206" s="69"/>
      <c r="W206" s="69"/>
      <c r="X206" s="69"/>
      <c r="Y206" s="69"/>
      <c r="Z206" s="69"/>
      <c r="AA206" s="69"/>
      <c r="AB206" s="69"/>
      <c r="AC206" s="69"/>
      <c r="AD206" s="69"/>
      <c r="AE206" s="69"/>
      <c r="AF206" s="69"/>
      <c r="AG206" s="69"/>
      <c r="AH206" s="69"/>
      <c r="AI206" s="69"/>
      <c r="AJ206" s="69"/>
      <c r="AK206" s="69"/>
      <c r="BE206" s="69"/>
    </row>
    <row r="207" spans="2:57" x14ac:dyDescent="0.25">
      <c r="B207"/>
      <c r="C207"/>
      <c r="D207"/>
      <c r="E207"/>
      <c r="I207" s="69"/>
      <c r="J207" s="69"/>
      <c r="K207" s="69"/>
      <c r="L207" s="69"/>
      <c r="M207" s="69"/>
      <c r="N207" s="69"/>
      <c r="O207" s="69"/>
      <c r="P207" s="69"/>
      <c r="Q207" s="69"/>
      <c r="R207" s="69"/>
      <c r="S207" s="69"/>
      <c r="T207" s="69"/>
      <c r="U207" s="69"/>
      <c r="V207" s="69"/>
      <c r="W207" s="69"/>
      <c r="X207" s="69"/>
      <c r="Y207" s="69"/>
      <c r="Z207" s="69"/>
      <c r="AA207" s="69"/>
      <c r="AB207" s="69"/>
      <c r="AC207" s="69"/>
      <c r="AD207" s="69"/>
      <c r="AE207" s="69"/>
      <c r="AF207" s="69"/>
      <c r="AG207" s="69"/>
      <c r="AH207" s="69"/>
      <c r="AI207" s="69"/>
      <c r="AJ207" s="69"/>
      <c r="AK207" s="69"/>
      <c r="BE207" s="69"/>
    </row>
    <row r="208" spans="2:57" x14ac:dyDescent="0.25">
      <c r="B208"/>
      <c r="C208"/>
      <c r="D208"/>
      <c r="E208"/>
      <c r="I208" s="69"/>
      <c r="J208" s="69"/>
      <c r="K208" s="69"/>
      <c r="L208" s="69"/>
      <c r="M208" s="69"/>
      <c r="N208" s="69"/>
      <c r="O208" s="69"/>
      <c r="P208" s="69"/>
      <c r="Q208" s="69"/>
      <c r="R208" s="69"/>
      <c r="S208" s="69"/>
      <c r="T208" s="69"/>
      <c r="U208" s="69"/>
      <c r="V208" s="69"/>
      <c r="W208" s="69"/>
      <c r="X208" s="69"/>
      <c r="Y208" s="69"/>
      <c r="Z208" s="69"/>
      <c r="AA208" s="69"/>
      <c r="AB208" s="69"/>
      <c r="AC208" s="69"/>
      <c r="AD208" s="69"/>
      <c r="AE208" s="69"/>
      <c r="AF208" s="69"/>
      <c r="AG208" s="69"/>
      <c r="AH208" s="69"/>
      <c r="AI208" s="69"/>
      <c r="AJ208" s="69"/>
      <c r="AK208" s="69"/>
      <c r="BE208" s="69"/>
    </row>
    <row r="209" spans="2:57" x14ac:dyDescent="0.25">
      <c r="B209"/>
      <c r="C209"/>
      <c r="D209"/>
      <c r="E209"/>
      <c r="I209" s="69"/>
      <c r="J209" s="69"/>
      <c r="K209" s="69"/>
      <c r="L209" s="69"/>
      <c r="M209" s="69"/>
      <c r="N209" s="69"/>
      <c r="O209" s="69"/>
      <c r="P209" s="69"/>
      <c r="Q209" s="69"/>
      <c r="R209" s="69"/>
      <c r="S209" s="69"/>
      <c r="T209" s="69"/>
      <c r="U209" s="69"/>
      <c r="V209" s="69"/>
      <c r="W209" s="69"/>
      <c r="X209" s="69"/>
      <c r="Y209" s="69"/>
      <c r="Z209" s="69"/>
      <c r="AA209" s="69"/>
      <c r="AB209" s="69"/>
      <c r="AC209" s="69"/>
      <c r="AD209" s="69"/>
      <c r="AE209" s="69"/>
      <c r="AF209" s="69"/>
      <c r="AG209" s="69"/>
      <c r="AH209" s="69"/>
      <c r="AI209" s="69"/>
      <c r="AJ209" s="69"/>
      <c r="AK209" s="69"/>
      <c r="BE209" s="69"/>
    </row>
    <row r="210" spans="2:57" x14ac:dyDescent="0.25">
      <c r="B210"/>
      <c r="C210"/>
      <c r="D210"/>
      <c r="E210"/>
      <c r="I210" s="69"/>
      <c r="J210" s="69"/>
      <c r="K210" s="69"/>
      <c r="L210" s="69"/>
      <c r="M210" s="69"/>
      <c r="N210" s="69"/>
      <c r="O210" s="69"/>
      <c r="P210" s="69"/>
      <c r="Q210" s="69"/>
      <c r="R210" s="69"/>
      <c r="S210" s="69"/>
      <c r="T210" s="69"/>
      <c r="U210" s="69"/>
      <c r="V210" s="69"/>
      <c r="W210" s="69"/>
      <c r="X210" s="69"/>
      <c r="Y210" s="69"/>
      <c r="Z210" s="69"/>
      <c r="AA210" s="69"/>
      <c r="AB210" s="69"/>
      <c r="AC210" s="69"/>
      <c r="AD210" s="69"/>
      <c r="AE210" s="69"/>
      <c r="AF210" s="69"/>
      <c r="AG210" s="69"/>
      <c r="AH210" s="69"/>
      <c r="AI210" s="69"/>
      <c r="AJ210" s="69"/>
      <c r="AK210" s="69"/>
      <c r="BE210" s="69"/>
    </row>
    <row r="211" spans="2:57" x14ac:dyDescent="0.25">
      <c r="B211"/>
      <c r="C211"/>
      <c r="D211"/>
      <c r="E211"/>
      <c r="I211" s="69"/>
      <c r="J211" s="69"/>
      <c r="K211" s="69"/>
      <c r="L211" s="69"/>
      <c r="M211" s="69"/>
      <c r="N211" s="69"/>
      <c r="O211" s="69"/>
      <c r="P211" s="69"/>
      <c r="Q211" s="69"/>
      <c r="R211" s="69"/>
      <c r="S211" s="69"/>
      <c r="T211" s="69"/>
      <c r="U211" s="69"/>
      <c r="V211" s="69"/>
      <c r="W211" s="69"/>
      <c r="X211" s="69"/>
      <c r="Y211" s="69"/>
      <c r="Z211" s="69"/>
      <c r="AA211" s="69"/>
      <c r="AB211" s="69"/>
      <c r="AC211" s="69"/>
      <c r="AD211" s="69"/>
      <c r="AE211" s="69"/>
      <c r="AF211" s="69"/>
      <c r="AG211" s="69"/>
      <c r="AH211" s="69"/>
      <c r="AI211" s="69"/>
      <c r="AJ211" s="69"/>
      <c r="AK211" s="69"/>
      <c r="BE211" s="69"/>
    </row>
    <row r="212" spans="2:57" x14ac:dyDescent="0.25">
      <c r="B212"/>
      <c r="C212"/>
      <c r="D212"/>
      <c r="E212"/>
      <c r="I212" s="69"/>
      <c r="J212" s="69"/>
      <c r="K212" s="69"/>
      <c r="L212" s="69"/>
      <c r="M212" s="69"/>
      <c r="N212" s="69"/>
      <c r="O212" s="69"/>
      <c r="P212" s="69"/>
      <c r="Q212" s="69"/>
      <c r="R212" s="69"/>
      <c r="S212" s="69"/>
      <c r="T212" s="69"/>
      <c r="U212" s="69"/>
      <c r="V212" s="69"/>
      <c r="W212" s="69"/>
      <c r="X212" s="69"/>
      <c r="Y212" s="69"/>
      <c r="Z212" s="69"/>
      <c r="AA212" s="69"/>
      <c r="AB212" s="69"/>
      <c r="AC212" s="69"/>
      <c r="AD212" s="69"/>
      <c r="AE212" s="69"/>
      <c r="AF212" s="69"/>
      <c r="AG212" s="69"/>
      <c r="AH212" s="69"/>
      <c r="AI212" s="69"/>
      <c r="AJ212" s="69"/>
      <c r="AK212" s="69"/>
      <c r="BE212" s="69"/>
    </row>
    <row r="213" spans="2:57" x14ac:dyDescent="0.25">
      <c r="B213"/>
      <c r="C213"/>
      <c r="D213"/>
      <c r="E213"/>
      <c r="I213" s="69"/>
      <c r="J213" s="69"/>
      <c r="K213" s="69"/>
      <c r="L213" s="69"/>
      <c r="M213" s="69"/>
      <c r="N213" s="69"/>
      <c r="O213" s="69"/>
      <c r="P213" s="69"/>
      <c r="Q213" s="69"/>
      <c r="R213" s="69"/>
      <c r="S213" s="69"/>
      <c r="T213" s="69"/>
      <c r="U213" s="69"/>
      <c r="V213" s="69"/>
      <c r="W213" s="69"/>
      <c r="X213" s="69"/>
      <c r="Y213" s="69"/>
      <c r="Z213" s="69"/>
      <c r="AA213" s="69"/>
      <c r="AB213" s="69"/>
      <c r="AC213" s="69"/>
      <c r="AD213" s="69"/>
      <c r="AE213" s="69"/>
      <c r="AF213" s="69"/>
      <c r="AG213" s="69"/>
      <c r="AH213" s="69"/>
      <c r="AI213" s="69"/>
      <c r="AJ213" s="69"/>
      <c r="AK213" s="69"/>
      <c r="BE213" s="69"/>
    </row>
    <row r="214" spans="2:57" x14ac:dyDescent="0.25">
      <c r="B214"/>
      <c r="C214"/>
      <c r="D214"/>
      <c r="E214"/>
      <c r="I214" s="69"/>
      <c r="J214" s="69"/>
      <c r="K214" s="69"/>
      <c r="L214" s="69"/>
      <c r="M214" s="69"/>
      <c r="N214" s="69"/>
      <c r="O214" s="69"/>
      <c r="P214" s="69"/>
      <c r="Q214" s="69"/>
      <c r="R214" s="69"/>
      <c r="S214" s="69"/>
      <c r="T214" s="69"/>
      <c r="U214" s="69"/>
      <c r="V214" s="69"/>
      <c r="W214" s="69"/>
      <c r="X214" s="69"/>
      <c r="Y214" s="69"/>
      <c r="Z214" s="69"/>
      <c r="AA214" s="69"/>
      <c r="AB214" s="69"/>
      <c r="AC214" s="69"/>
      <c r="AD214" s="69"/>
      <c r="AE214" s="69"/>
      <c r="AF214" s="69"/>
      <c r="AG214" s="69"/>
      <c r="AH214" s="69"/>
      <c r="AI214" s="69"/>
      <c r="AJ214" s="69"/>
      <c r="AK214" s="69"/>
      <c r="BE214" s="69"/>
    </row>
    <row r="215" spans="2:57" x14ac:dyDescent="0.25">
      <c r="B215"/>
      <c r="C215"/>
      <c r="D215"/>
      <c r="E215"/>
      <c r="I215" s="69"/>
      <c r="J215" s="69"/>
      <c r="K215" s="69"/>
      <c r="L215" s="69"/>
      <c r="M215" s="69"/>
      <c r="N215" s="69"/>
      <c r="O215" s="69"/>
      <c r="P215" s="69"/>
      <c r="Q215" s="69"/>
      <c r="R215" s="69"/>
      <c r="S215" s="69"/>
      <c r="T215" s="69"/>
      <c r="U215" s="69"/>
      <c r="V215" s="69"/>
      <c r="W215" s="69"/>
      <c r="X215" s="69"/>
      <c r="Y215" s="69"/>
      <c r="Z215" s="69"/>
      <c r="AA215" s="69"/>
      <c r="AB215" s="69"/>
      <c r="AC215" s="69"/>
      <c r="AD215" s="69"/>
      <c r="AE215" s="69"/>
      <c r="AF215" s="69"/>
      <c r="AG215" s="69"/>
      <c r="AH215" s="69"/>
      <c r="AI215" s="69"/>
      <c r="AJ215" s="69"/>
      <c r="AK215" s="69"/>
      <c r="BE215" s="69"/>
    </row>
    <row r="216" spans="2:57" x14ac:dyDescent="0.25">
      <c r="B216"/>
      <c r="C216"/>
      <c r="D216"/>
      <c r="E216"/>
      <c r="I216" s="69"/>
      <c r="J216" s="69"/>
      <c r="K216" s="69"/>
      <c r="L216" s="69"/>
      <c r="M216" s="69"/>
      <c r="N216" s="69"/>
      <c r="O216" s="69"/>
      <c r="P216" s="69"/>
      <c r="Q216" s="69"/>
      <c r="R216" s="69"/>
      <c r="S216" s="69"/>
      <c r="T216" s="69"/>
      <c r="U216" s="69"/>
      <c r="V216" s="69"/>
      <c r="W216" s="69"/>
      <c r="X216" s="69"/>
      <c r="Y216" s="69"/>
      <c r="Z216" s="69"/>
      <c r="AA216" s="69"/>
      <c r="AB216" s="69"/>
      <c r="AC216" s="69"/>
      <c r="AD216" s="69"/>
      <c r="AE216" s="69"/>
      <c r="AF216" s="69"/>
      <c r="AG216" s="69"/>
      <c r="AH216" s="69"/>
      <c r="AI216" s="69"/>
      <c r="AJ216" s="69"/>
      <c r="AK216" s="69"/>
      <c r="BE216" s="69"/>
    </row>
    <row r="217" spans="2:57" x14ac:dyDescent="0.25">
      <c r="B217"/>
      <c r="C217"/>
      <c r="D217"/>
      <c r="E217"/>
      <c r="I217" s="69"/>
      <c r="J217" s="69"/>
      <c r="K217" s="69"/>
      <c r="L217" s="69"/>
      <c r="M217" s="69"/>
      <c r="N217" s="69"/>
      <c r="O217" s="69"/>
      <c r="P217" s="69"/>
      <c r="Q217" s="69"/>
      <c r="R217" s="69"/>
      <c r="S217" s="69"/>
      <c r="T217" s="69"/>
      <c r="U217" s="69"/>
      <c r="V217" s="69"/>
      <c r="W217" s="69"/>
      <c r="X217" s="69"/>
      <c r="Y217" s="69"/>
      <c r="Z217" s="69"/>
      <c r="AA217" s="69"/>
      <c r="AB217" s="69"/>
      <c r="AC217" s="69"/>
      <c r="AD217" s="69"/>
      <c r="AE217" s="69"/>
      <c r="AF217" s="69"/>
      <c r="AG217" s="69"/>
      <c r="AH217" s="69"/>
      <c r="AI217" s="69"/>
      <c r="AJ217" s="69"/>
      <c r="AK217" s="69"/>
      <c r="BE217" s="69"/>
    </row>
    <row r="218" spans="2:57" x14ac:dyDescent="0.25">
      <c r="B218"/>
      <c r="C218"/>
      <c r="D218"/>
      <c r="E218"/>
      <c r="I218" s="69"/>
      <c r="J218" s="69"/>
      <c r="K218" s="69"/>
      <c r="L218" s="69"/>
      <c r="M218" s="69"/>
      <c r="N218" s="69"/>
      <c r="O218" s="69"/>
      <c r="P218" s="69"/>
      <c r="Q218" s="69"/>
      <c r="R218" s="69"/>
      <c r="S218" s="69"/>
      <c r="T218" s="69"/>
      <c r="U218" s="69"/>
      <c r="V218" s="69"/>
      <c r="W218" s="69"/>
      <c r="X218" s="69"/>
      <c r="Y218" s="69"/>
      <c r="Z218" s="69"/>
      <c r="AA218" s="69"/>
      <c r="AB218" s="69"/>
      <c r="AC218" s="69"/>
      <c r="AD218" s="69"/>
      <c r="AE218" s="69"/>
      <c r="AF218" s="69"/>
      <c r="AG218" s="69"/>
      <c r="AH218" s="69"/>
      <c r="AI218" s="69"/>
      <c r="AJ218" s="69"/>
      <c r="AK218" s="69"/>
      <c r="BE218" s="69"/>
    </row>
    <row r="219" spans="2:57" x14ac:dyDescent="0.25">
      <c r="B219"/>
      <c r="C219"/>
      <c r="D219"/>
      <c r="E219"/>
      <c r="I219" s="69"/>
      <c r="J219" s="69"/>
      <c r="K219" s="69"/>
      <c r="L219" s="69"/>
      <c r="M219" s="69"/>
      <c r="N219" s="69"/>
      <c r="O219" s="69"/>
      <c r="P219" s="69"/>
      <c r="Q219" s="69"/>
      <c r="R219" s="69"/>
      <c r="S219" s="69"/>
      <c r="T219" s="69"/>
      <c r="U219" s="69"/>
      <c r="V219" s="69"/>
      <c r="W219" s="69"/>
      <c r="X219" s="69"/>
      <c r="Y219" s="69"/>
      <c r="Z219" s="69"/>
      <c r="AA219" s="69"/>
      <c r="AB219" s="69"/>
      <c r="AC219" s="69"/>
      <c r="AD219" s="69"/>
      <c r="AE219" s="69"/>
      <c r="AF219" s="69"/>
      <c r="AG219" s="69"/>
      <c r="AH219" s="69"/>
      <c r="AI219" s="69"/>
      <c r="AJ219" s="69"/>
      <c r="AK219" s="69"/>
      <c r="BE219" s="69"/>
    </row>
    <row r="220" spans="2:57" x14ac:dyDescent="0.25">
      <c r="B220"/>
      <c r="C220"/>
      <c r="D220"/>
      <c r="E220"/>
      <c r="I220" s="69"/>
      <c r="J220" s="69"/>
      <c r="K220" s="69"/>
      <c r="L220" s="69"/>
      <c r="M220" s="69"/>
      <c r="N220" s="69"/>
      <c r="O220" s="69"/>
      <c r="P220" s="69"/>
      <c r="Q220" s="69"/>
      <c r="R220" s="69"/>
      <c r="S220" s="69"/>
      <c r="T220" s="69"/>
      <c r="U220" s="69"/>
      <c r="V220" s="69"/>
      <c r="W220" s="69"/>
      <c r="X220" s="69"/>
      <c r="Y220" s="69"/>
      <c r="Z220" s="69"/>
      <c r="AA220" s="69"/>
      <c r="AB220" s="69"/>
      <c r="AC220" s="69"/>
      <c r="AD220" s="69"/>
      <c r="AE220" s="69"/>
      <c r="AF220" s="69"/>
      <c r="AG220" s="69"/>
      <c r="AH220" s="69"/>
      <c r="AI220" s="69"/>
      <c r="AJ220" s="69"/>
      <c r="AK220" s="69"/>
      <c r="BE220" s="69"/>
    </row>
    <row r="221" spans="2:57" x14ac:dyDescent="0.25">
      <c r="B221"/>
      <c r="C221"/>
      <c r="D221"/>
      <c r="E221"/>
      <c r="I221" s="69"/>
      <c r="J221" s="69"/>
      <c r="K221" s="69"/>
      <c r="L221" s="69"/>
      <c r="M221" s="69"/>
      <c r="N221" s="69"/>
      <c r="O221" s="69"/>
      <c r="P221" s="69"/>
      <c r="Q221" s="69"/>
      <c r="R221" s="69"/>
      <c r="S221" s="69"/>
      <c r="T221" s="69"/>
      <c r="U221" s="69"/>
      <c r="V221" s="69"/>
      <c r="W221" s="69"/>
      <c r="X221" s="69"/>
      <c r="Y221" s="69"/>
      <c r="Z221" s="69"/>
      <c r="AA221" s="69"/>
      <c r="AB221" s="69"/>
      <c r="AC221" s="69"/>
      <c r="AD221" s="69"/>
      <c r="AE221" s="69"/>
      <c r="AF221" s="69"/>
      <c r="AG221" s="69"/>
      <c r="AH221" s="69"/>
      <c r="AI221" s="69"/>
      <c r="AJ221" s="69"/>
      <c r="AK221" s="69"/>
      <c r="BE221" s="69"/>
    </row>
    <row r="222" spans="2:57" x14ac:dyDescent="0.25">
      <c r="B222"/>
      <c r="C222"/>
      <c r="D222"/>
      <c r="E222"/>
      <c r="I222" s="69"/>
      <c r="J222" s="69"/>
      <c r="K222" s="69"/>
      <c r="L222" s="69"/>
      <c r="M222" s="69"/>
      <c r="N222" s="69"/>
      <c r="O222" s="69"/>
      <c r="P222" s="69"/>
      <c r="Q222" s="69"/>
      <c r="R222" s="69"/>
      <c r="S222" s="69"/>
      <c r="T222" s="69"/>
      <c r="U222" s="69"/>
      <c r="V222" s="69"/>
      <c r="W222" s="69"/>
      <c r="X222" s="69"/>
      <c r="Y222" s="69"/>
      <c r="Z222" s="69"/>
      <c r="AA222" s="69"/>
      <c r="AB222" s="69"/>
      <c r="AC222" s="69"/>
      <c r="AD222" s="69"/>
      <c r="AE222" s="69"/>
      <c r="AF222" s="69"/>
      <c r="AG222" s="69"/>
      <c r="AH222" s="69"/>
      <c r="AI222" s="69"/>
      <c r="AJ222" s="69"/>
      <c r="AK222" s="69"/>
      <c r="BE222" s="69"/>
    </row>
    <row r="223" spans="2:57" x14ac:dyDescent="0.25">
      <c r="B223"/>
      <c r="C223"/>
      <c r="D223"/>
      <c r="E223"/>
      <c r="I223" s="69"/>
      <c r="J223" s="69"/>
      <c r="K223" s="69"/>
      <c r="L223" s="69"/>
      <c r="M223" s="69"/>
      <c r="N223" s="69"/>
      <c r="O223" s="69"/>
      <c r="P223" s="69"/>
      <c r="Q223" s="69"/>
      <c r="R223" s="69"/>
      <c r="S223" s="69"/>
      <c r="T223" s="69"/>
      <c r="U223" s="69"/>
      <c r="V223" s="69"/>
      <c r="W223" s="69"/>
      <c r="X223" s="69"/>
      <c r="Y223" s="69"/>
      <c r="Z223" s="69"/>
      <c r="AA223" s="69"/>
      <c r="AB223" s="69"/>
      <c r="AC223" s="69"/>
      <c r="AD223" s="69"/>
      <c r="AE223" s="69"/>
      <c r="AF223" s="69"/>
      <c r="AG223" s="69"/>
      <c r="AH223" s="69"/>
      <c r="AI223" s="69"/>
      <c r="AJ223" s="69"/>
      <c r="AK223" s="69"/>
      <c r="BE223" s="69"/>
    </row>
    <row r="224" spans="2:57" x14ac:dyDescent="0.25">
      <c r="B224"/>
      <c r="C224"/>
      <c r="D224"/>
      <c r="E224"/>
      <c r="I224" s="69"/>
      <c r="J224" s="69"/>
      <c r="K224" s="69"/>
      <c r="L224" s="69"/>
      <c r="M224" s="69"/>
      <c r="N224" s="69"/>
      <c r="O224" s="69"/>
      <c r="P224" s="69"/>
      <c r="Q224" s="69"/>
      <c r="R224" s="69"/>
      <c r="S224" s="69"/>
      <c r="T224" s="69"/>
      <c r="U224" s="69"/>
      <c r="V224" s="69"/>
      <c r="W224" s="69"/>
      <c r="X224" s="69"/>
      <c r="Y224" s="69"/>
      <c r="Z224" s="69"/>
      <c r="AA224" s="69"/>
      <c r="AB224" s="69"/>
      <c r="AC224" s="69"/>
      <c r="AD224" s="69"/>
      <c r="AE224" s="69"/>
      <c r="AF224" s="69"/>
      <c r="AG224" s="69"/>
      <c r="AH224" s="69"/>
      <c r="AI224" s="69"/>
      <c r="AJ224" s="69"/>
      <c r="AK224" s="69"/>
      <c r="BE224" s="69"/>
    </row>
    <row r="225" spans="2:57" x14ac:dyDescent="0.25">
      <c r="B225"/>
      <c r="C225"/>
      <c r="D225"/>
      <c r="E225"/>
      <c r="I225" s="69"/>
      <c r="J225" s="69"/>
      <c r="K225" s="69"/>
      <c r="L225" s="69"/>
      <c r="M225" s="69"/>
      <c r="N225" s="69"/>
      <c r="O225" s="69"/>
      <c r="P225" s="69"/>
      <c r="Q225" s="69"/>
      <c r="R225" s="69"/>
      <c r="S225" s="69"/>
      <c r="T225" s="69"/>
      <c r="U225" s="69"/>
      <c r="V225" s="69"/>
      <c r="W225" s="69"/>
      <c r="X225" s="69"/>
      <c r="Y225" s="69"/>
      <c r="Z225" s="69"/>
      <c r="AA225" s="69"/>
      <c r="AB225" s="69"/>
      <c r="AC225" s="69"/>
      <c r="AD225" s="69"/>
      <c r="AE225" s="69"/>
      <c r="AF225" s="69"/>
      <c r="AG225" s="69"/>
      <c r="AH225" s="69"/>
      <c r="AI225" s="69"/>
      <c r="AJ225" s="69"/>
      <c r="AK225" s="69"/>
      <c r="BE225" s="69"/>
    </row>
    <row r="226" spans="2:57" x14ac:dyDescent="0.25">
      <c r="B226"/>
      <c r="C226"/>
      <c r="D226"/>
      <c r="E226"/>
      <c r="I226" s="69"/>
      <c r="J226" s="69"/>
      <c r="K226" s="69"/>
      <c r="L226" s="69"/>
      <c r="M226" s="69"/>
      <c r="N226" s="69"/>
      <c r="O226" s="69"/>
      <c r="P226" s="69"/>
      <c r="Q226" s="69"/>
      <c r="R226" s="69"/>
      <c r="S226" s="69"/>
      <c r="T226" s="69"/>
      <c r="U226" s="69"/>
      <c r="V226" s="69"/>
      <c r="W226" s="69"/>
      <c r="X226" s="69"/>
      <c r="Y226" s="69"/>
      <c r="Z226" s="69"/>
      <c r="AA226" s="69"/>
      <c r="AB226" s="69"/>
      <c r="AC226" s="69"/>
      <c r="AD226" s="69"/>
      <c r="AE226" s="69"/>
      <c r="AF226" s="69"/>
      <c r="AG226" s="69"/>
      <c r="AH226" s="69"/>
      <c r="AI226" s="69"/>
      <c r="AJ226" s="69"/>
      <c r="AK226" s="69"/>
      <c r="BE226" s="69"/>
    </row>
    <row r="227" spans="2:57" x14ac:dyDescent="0.25">
      <c r="B227"/>
      <c r="C227"/>
      <c r="D227"/>
      <c r="E227"/>
      <c r="I227" s="69"/>
      <c r="J227" s="69"/>
      <c r="K227" s="69"/>
      <c r="L227" s="69"/>
      <c r="M227" s="69"/>
      <c r="N227" s="69"/>
      <c r="O227" s="69"/>
      <c r="P227" s="69"/>
      <c r="Q227" s="69"/>
      <c r="R227" s="69"/>
      <c r="S227" s="69"/>
      <c r="T227" s="69"/>
      <c r="U227" s="69"/>
      <c r="V227" s="69"/>
      <c r="W227" s="69"/>
      <c r="X227" s="69"/>
      <c r="Y227" s="69"/>
      <c r="Z227" s="69"/>
      <c r="AA227" s="69"/>
      <c r="AB227" s="69"/>
      <c r="AC227" s="69"/>
      <c r="AD227" s="69"/>
      <c r="AE227" s="69"/>
      <c r="AF227" s="69"/>
      <c r="AG227" s="69"/>
      <c r="AH227" s="69"/>
      <c r="AI227" s="69"/>
      <c r="AJ227" s="69"/>
      <c r="AK227" s="69"/>
      <c r="BE227" s="69"/>
    </row>
    <row r="228" spans="2:57" x14ac:dyDescent="0.25">
      <c r="B228"/>
      <c r="C228"/>
      <c r="D228"/>
      <c r="E228"/>
      <c r="I228" s="69"/>
      <c r="J228" s="69"/>
      <c r="K228" s="69"/>
      <c r="L228" s="69"/>
      <c r="M228" s="69"/>
      <c r="N228" s="69"/>
      <c r="O228" s="69"/>
      <c r="P228" s="69"/>
      <c r="Q228" s="69"/>
      <c r="R228" s="69"/>
      <c r="S228" s="69"/>
      <c r="T228" s="69"/>
      <c r="U228" s="69"/>
      <c r="V228" s="69"/>
      <c r="W228" s="69"/>
      <c r="X228" s="69"/>
      <c r="Y228" s="69"/>
      <c r="Z228" s="69"/>
      <c r="AA228" s="69"/>
      <c r="AB228" s="69"/>
      <c r="AC228" s="69"/>
      <c r="AD228" s="69"/>
      <c r="AE228" s="69"/>
      <c r="AF228" s="69"/>
      <c r="AG228" s="69"/>
      <c r="AH228" s="69"/>
      <c r="AI228" s="69"/>
      <c r="AJ228" s="69"/>
      <c r="AK228" s="69"/>
      <c r="BE228" s="69"/>
    </row>
    <row r="229" spans="2:57" x14ac:dyDescent="0.25">
      <c r="B229"/>
      <c r="C229"/>
      <c r="D229"/>
      <c r="E229"/>
      <c r="I229" s="69"/>
      <c r="J229" s="69"/>
      <c r="K229" s="69"/>
      <c r="L229" s="69"/>
      <c r="M229" s="69"/>
      <c r="N229" s="69"/>
      <c r="O229" s="69"/>
      <c r="P229" s="69"/>
      <c r="Q229" s="69"/>
      <c r="R229" s="69"/>
      <c r="S229" s="69"/>
      <c r="T229" s="69"/>
      <c r="U229" s="69"/>
      <c r="V229" s="69"/>
      <c r="W229" s="69"/>
      <c r="X229" s="69"/>
      <c r="Y229" s="69"/>
      <c r="Z229" s="69"/>
      <c r="AA229" s="69"/>
      <c r="AB229" s="69"/>
      <c r="AC229" s="69"/>
      <c r="AD229" s="69"/>
      <c r="AE229" s="69"/>
      <c r="AF229" s="69"/>
      <c r="AG229" s="69"/>
      <c r="AH229" s="69"/>
      <c r="AI229" s="69"/>
      <c r="AJ229" s="69"/>
      <c r="AK229" s="69"/>
      <c r="BE229" s="69"/>
    </row>
    <row r="230" spans="2:57" x14ac:dyDescent="0.25">
      <c r="B230"/>
      <c r="C230"/>
      <c r="D230"/>
      <c r="E230"/>
      <c r="I230" s="69"/>
      <c r="J230" s="69"/>
      <c r="K230" s="69"/>
      <c r="L230" s="69"/>
      <c r="M230" s="69"/>
      <c r="N230" s="69"/>
      <c r="O230" s="69"/>
      <c r="P230" s="69"/>
      <c r="Q230" s="69"/>
      <c r="R230" s="69"/>
      <c r="S230" s="69"/>
      <c r="T230" s="69"/>
      <c r="U230" s="69"/>
      <c r="V230" s="69"/>
      <c r="W230" s="69"/>
      <c r="X230" s="69"/>
      <c r="Y230" s="69"/>
      <c r="Z230" s="69"/>
      <c r="AA230" s="69"/>
      <c r="AB230" s="69"/>
      <c r="AC230" s="69"/>
      <c r="AD230" s="69"/>
      <c r="AE230" s="69"/>
      <c r="AF230" s="69"/>
      <c r="AG230" s="69"/>
      <c r="AH230" s="69"/>
      <c r="AI230" s="69"/>
      <c r="AJ230" s="69"/>
      <c r="AK230" s="69"/>
      <c r="BE230" s="69"/>
    </row>
    <row r="231" spans="2:57" x14ac:dyDescent="0.25">
      <c r="B231"/>
      <c r="C231"/>
      <c r="D231"/>
      <c r="E231"/>
      <c r="I231" s="69"/>
      <c r="J231" s="69"/>
      <c r="K231" s="69"/>
      <c r="L231" s="69"/>
      <c r="M231" s="69"/>
      <c r="N231" s="69"/>
      <c r="O231" s="69"/>
      <c r="P231" s="69"/>
      <c r="Q231" s="69"/>
      <c r="R231" s="69"/>
      <c r="S231" s="69"/>
      <c r="T231" s="69"/>
      <c r="U231" s="69"/>
      <c r="V231" s="69"/>
      <c r="W231" s="69"/>
      <c r="X231" s="69"/>
      <c r="Y231" s="69"/>
      <c r="Z231" s="69"/>
      <c r="AA231" s="69"/>
      <c r="AB231" s="69"/>
      <c r="AC231" s="69"/>
      <c r="AD231" s="69"/>
      <c r="AE231" s="69"/>
      <c r="AF231" s="69"/>
      <c r="AG231" s="69"/>
      <c r="AH231" s="69"/>
      <c r="AI231" s="69"/>
      <c r="AJ231" s="69"/>
      <c r="AK231" s="69"/>
      <c r="BE231" s="69"/>
    </row>
    <row r="232" spans="2:57" x14ac:dyDescent="0.25">
      <c r="B232"/>
      <c r="C232"/>
      <c r="D232"/>
      <c r="E232"/>
      <c r="I232" s="69"/>
      <c r="J232" s="69"/>
      <c r="K232" s="69"/>
      <c r="L232" s="69"/>
      <c r="M232" s="69"/>
      <c r="N232" s="69"/>
      <c r="O232" s="69"/>
      <c r="P232" s="69"/>
      <c r="Q232" s="69"/>
      <c r="R232" s="69"/>
      <c r="S232" s="69"/>
      <c r="T232" s="69"/>
      <c r="U232" s="69"/>
      <c r="V232" s="69"/>
      <c r="W232" s="69"/>
      <c r="X232" s="69"/>
      <c r="Y232" s="69"/>
      <c r="Z232" s="69"/>
      <c r="AA232" s="69"/>
      <c r="AB232" s="69"/>
      <c r="AC232" s="69"/>
      <c r="AD232" s="69"/>
      <c r="AE232" s="69"/>
      <c r="AF232" s="69"/>
      <c r="AG232" s="69"/>
      <c r="AH232" s="69"/>
      <c r="AI232" s="69"/>
      <c r="AJ232" s="69"/>
      <c r="AK232" s="69"/>
      <c r="BE232" s="69"/>
    </row>
    <row r="233" spans="2:57" x14ac:dyDescent="0.25">
      <c r="B233"/>
      <c r="C233"/>
      <c r="D233"/>
      <c r="E233"/>
      <c r="I233" s="69"/>
      <c r="J233" s="69"/>
      <c r="K233" s="69"/>
      <c r="L233" s="69"/>
      <c r="M233" s="69"/>
      <c r="N233" s="69"/>
      <c r="O233" s="69"/>
      <c r="P233" s="69"/>
      <c r="Q233" s="69"/>
      <c r="R233" s="69"/>
      <c r="S233" s="69"/>
      <c r="T233" s="69"/>
      <c r="U233" s="69"/>
      <c r="V233" s="69"/>
      <c r="W233" s="69"/>
      <c r="X233" s="69"/>
      <c r="Y233" s="69"/>
      <c r="Z233" s="69"/>
      <c r="AA233" s="69"/>
      <c r="AB233" s="69"/>
      <c r="AC233" s="69"/>
      <c r="AD233" s="69"/>
      <c r="AE233" s="69"/>
      <c r="AF233" s="69"/>
      <c r="AG233" s="69"/>
      <c r="AH233" s="69"/>
      <c r="AI233" s="69"/>
      <c r="AJ233" s="69"/>
      <c r="AK233" s="69"/>
      <c r="BE233" s="69"/>
    </row>
    <row r="234" spans="2:57" x14ac:dyDescent="0.25">
      <c r="B234"/>
      <c r="C234"/>
      <c r="D234"/>
      <c r="E234"/>
      <c r="I234" s="69"/>
      <c r="J234" s="69"/>
      <c r="K234" s="69"/>
      <c r="L234" s="69"/>
      <c r="M234" s="69"/>
      <c r="N234" s="69"/>
      <c r="O234" s="69"/>
      <c r="P234" s="69"/>
      <c r="Q234" s="69"/>
      <c r="R234" s="69"/>
      <c r="S234" s="69"/>
      <c r="T234" s="69"/>
      <c r="U234" s="69"/>
      <c r="V234" s="69"/>
      <c r="W234" s="69"/>
      <c r="X234" s="69"/>
      <c r="Y234" s="69"/>
      <c r="Z234" s="69"/>
      <c r="AA234" s="69"/>
      <c r="AB234" s="69"/>
      <c r="AC234" s="69"/>
      <c r="AD234" s="69"/>
      <c r="AE234" s="69"/>
      <c r="AF234" s="69"/>
      <c r="AG234" s="69"/>
      <c r="AH234" s="69"/>
      <c r="AI234" s="69"/>
      <c r="AJ234" s="69"/>
      <c r="AK234" s="69"/>
      <c r="BE234" s="69"/>
    </row>
    <row r="235" spans="2:57" x14ac:dyDescent="0.25">
      <c r="B235"/>
      <c r="C235"/>
      <c r="D235"/>
      <c r="E235"/>
      <c r="I235" s="69"/>
      <c r="J235" s="69"/>
      <c r="K235" s="69"/>
      <c r="L235" s="69"/>
      <c r="M235" s="69"/>
      <c r="N235" s="69"/>
      <c r="O235" s="69"/>
      <c r="P235" s="69"/>
      <c r="Q235" s="69"/>
      <c r="R235" s="69"/>
      <c r="S235" s="69"/>
      <c r="T235" s="69"/>
      <c r="U235" s="69"/>
      <c r="V235" s="69"/>
      <c r="W235" s="69"/>
      <c r="X235" s="69"/>
      <c r="Y235" s="69"/>
      <c r="Z235" s="69"/>
      <c r="AA235" s="69"/>
      <c r="AB235" s="69"/>
      <c r="AC235" s="69"/>
      <c r="AD235" s="69"/>
      <c r="AE235" s="69"/>
      <c r="AF235" s="69"/>
      <c r="AG235" s="69"/>
      <c r="AH235" s="69"/>
      <c r="AI235" s="69"/>
      <c r="AJ235" s="69"/>
      <c r="AK235" s="69"/>
      <c r="BE235" s="69"/>
    </row>
    <row r="236" spans="2:57" x14ac:dyDescent="0.25">
      <c r="B236"/>
      <c r="C236"/>
      <c r="D236"/>
      <c r="E236"/>
      <c r="I236" s="69"/>
      <c r="J236" s="69"/>
      <c r="K236" s="69"/>
      <c r="L236" s="69"/>
      <c r="M236" s="69"/>
      <c r="N236" s="69"/>
      <c r="O236" s="69"/>
      <c r="P236" s="69"/>
      <c r="Q236" s="69"/>
      <c r="R236" s="69"/>
      <c r="S236" s="69"/>
      <c r="T236" s="69"/>
      <c r="U236" s="69"/>
      <c r="V236" s="69"/>
      <c r="W236" s="69"/>
      <c r="X236" s="69"/>
      <c r="Y236" s="69"/>
      <c r="Z236" s="69"/>
      <c r="AA236" s="69"/>
      <c r="AB236" s="69"/>
      <c r="AC236" s="69"/>
      <c r="AD236" s="69"/>
      <c r="AE236" s="69"/>
      <c r="AF236" s="69"/>
      <c r="AG236" s="69"/>
      <c r="AH236" s="69"/>
      <c r="AI236" s="69"/>
      <c r="AJ236" s="69"/>
      <c r="AK236" s="69"/>
      <c r="BE236" s="69"/>
    </row>
    <row r="237" spans="2:57" x14ac:dyDescent="0.25">
      <c r="B237"/>
      <c r="C237"/>
      <c r="D237"/>
      <c r="E237"/>
      <c r="I237" s="69"/>
      <c r="J237" s="69"/>
      <c r="K237" s="69"/>
      <c r="L237" s="69"/>
      <c r="M237" s="69"/>
      <c r="N237" s="69"/>
      <c r="O237" s="69"/>
      <c r="P237" s="69"/>
      <c r="Q237" s="69"/>
      <c r="R237" s="69"/>
      <c r="S237" s="69"/>
      <c r="T237" s="69"/>
      <c r="U237" s="69"/>
      <c r="V237" s="69"/>
      <c r="W237" s="69"/>
      <c r="X237" s="69"/>
      <c r="Y237" s="69"/>
      <c r="Z237" s="69"/>
      <c r="AA237" s="69"/>
      <c r="AB237" s="69"/>
      <c r="AC237" s="69"/>
      <c r="AD237" s="69"/>
      <c r="AE237" s="69"/>
      <c r="AF237" s="69"/>
      <c r="AG237" s="69"/>
      <c r="AH237" s="69"/>
      <c r="AI237" s="69"/>
      <c r="AJ237" s="69"/>
      <c r="AK237" s="69"/>
      <c r="BE237" s="69"/>
    </row>
    <row r="238" spans="2:57" x14ac:dyDescent="0.25">
      <c r="B238"/>
      <c r="C238"/>
      <c r="D238"/>
      <c r="E238"/>
      <c r="I238" s="69"/>
      <c r="J238" s="69"/>
      <c r="K238" s="69"/>
      <c r="L238" s="69"/>
      <c r="M238" s="69"/>
      <c r="N238" s="69"/>
      <c r="O238" s="69"/>
      <c r="P238" s="69"/>
      <c r="Q238" s="69"/>
      <c r="R238" s="69"/>
      <c r="S238" s="69"/>
      <c r="T238" s="69"/>
      <c r="U238" s="69"/>
      <c r="V238" s="69"/>
      <c r="W238" s="69"/>
      <c r="X238" s="69"/>
      <c r="Y238" s="69"/>
      <c r="Z238" s="69"/>
      <c r="AA238" s="69"/>
      <c r="AB238" s="69"/>
      <c r="AC238" s="69"/>
      <c r="AD238" s="69"/>
      <c r="AE238" s="69"/>
      <c r="AF238" s="69"/>
      <c r="AG238" s="69"/>
      <c r="AH238" s="69"/>
      <c r="AI238" s="69"/>
      <c r="AJ238" s="69"/>
      <c r="AK238" s="69"/>
      <c r="BE238" s="69"/>
    </row>
    <row r="239" spans="2:57" x14ac:dyDescent="0.25">
      <c r="B239"/>
      <c r="C239"/>
      <c r="D239"/>
      <c r="E239"/>
      <c r="I239" s="69"/>
      <c r="J239" s="69"/>
      <c r="K239" s="69"/>
      <c r="L239" s="69"/>
      <c r="M239" s="69"/>
      <c r="N239" s="69"/>
      <c r="O239" s="69"/>
      <c r="P239" s="69"/>
      <c r="Q239" s="69"/>
      <c r="R239" s="69"/>
      <c r="S239" s="69"/>
      <c r="T239" s="69"/>
      <c r="U239" s="69"/>
      <c r="V239" s="69"/>
      <c r="W239" s="69"/>
      <c r="X239" s="69"/>
      <c r="Y239" s="69"/>
      <c r="Z239" s="69"/>
      <c r="AA239" s="69"/>
      <c r="AB239" s="69"/>
      <c r="AC239" s="69"/>
      <c r="AD239" s="69"/>
      <c r="AE239" s="69"/>
      <c r="AF239" s="69"/>
      <c r="AG239" s="69"/>
      <c r="AH239" s="69"/>
      <c r="AI239" s="69"/>
      <c r="AJ239" s="69"/>
      <c r="AK239" s="69"/>
      <c r="BE239" s="69"/>
    </row>
    <row r="240" spans="2:57" x14ac:dyDescent="0.25">
      <c r="B240"/>
      <c r="C240"/>
      <c r="D240"/>
      <c r="E240"/>
      <c r="I240" s="69"/>
      <c r="J240" s="69"/>
      <c r="K240" s="69"/>
      <c r="L240" s="69"/>
      <c r="M240" s="69"/>
      <c r="N240" s="69"/>
      <c r="O240" s="69"/>
      <c r="P240" s="69"/>
      <c r="Q240" s="69"/>
      <c r="R240" s="69"/>
      <c r="S240" s="69"/>
      <c r="T240" s="69"/>
      <c r="U240" s="69"/>
      <c r="V240" s="69"/>
      <c r="W240" s="69"/>
      <c r="X240" s="69"/>
      <c r="Y240" s="69"/>
      <c r="Z240" s="69"/>
      <c r="AA240" s="69"/>
      <c r="AB240" s="69"/>
      <c r="AC240" s="69"/>
      <c r="AD240" s="69"/>
      <c r="AE240" s="69"/>
      <c r="AF240" s="69"/>
      <c r="AG240" s="69"/>
      <c r="AH240" s="69"/>
      <c r="AI240" s="69"/>
      <c r="AJ240" s="69"/>
      <c r="AK240" s="69"/>
      <c r="BE240" s="69"/>
    </row>
    <row r="241" spans="2:57" x14ac:dyDescent="0.25">
      <c r="B241"/>
      <c r="C241"/>
      <c r="D241"/>
      <c r="E241"/>
      <c r="I241" s="69"/>
      <c r="J241" s="69"/>
      <c r="K241" s="69"/>
      <c r="L241" s="69"/>
      <c r="M241" s="69"/>
      <c r="N241" s="69"/>
      <c r="O241" s="69"/>
      <c r="P241" s="69"/>
      <c r="Q241" s="69"/>
      <c r="R241" s="69"/>
      <c r="S241" s="69"/>
      <c r="T241" s="69"/>
      <c r="U241" s="69"/>
      <c r="V241" s="69"/>
      <c r="W241" s="69"/>
      <c r="X241" s="69"/>
      <c r="Y241" s="69"/>
      <c r="Z241" s="69"/>
      <c r="AA241" s="69"/>
      <c r="AB241" s="69"/>
      <c r="AC241" s="69"/>
      <c r="AD241" s="69"/>
      <c r="AE241" s="69"/>
      <c r="AF241" s="69"/>
      <c r="AG241" s="69"/>
      <c r="AH241" s="69"/>
      <c r="AI241" s="69"/>
      <c r="AJ241" s="69"/>
      <c r="AK241" s="69"/>
      <c r="BE241" s="69"/>
    </row>
    <row r="242" spans="2:57" x14ac:dyDescent="0.25">
      <c r="B242"/>
      <c r="C242"/>
      <c r="D242"/>
      <c r="E242"/>
      <c r="I242" s="69"/>
      <c r="J242" s="69"/>
      <c r="K242" s="69"/>
      <c r="L242" s="69"/>
      <c r="M242" s="69"/>
      <c r="N242" s="69"/>
      <c r="O242" s="69"/>
      <c r="P242" s="69"/>
      <c r="Q242" s="69"/>
      <c r="R242" s="69"/>
      <c r="S242" s="69"/>
      <c r="T242" s="69"/>
      <c r="U242" s="69"/>
      <c r="V242" s="69"/>
      <c r="W242" s="69"/>
      <c r="X242" s="69"/>
      <c r="Y242" s="69"/>
      <c r="Z242" s="69"/>
      <c r="AA242" s="69"/>
      <c r="AB242" s="69"/>
      <c r="AC242" s="69"/>
      <c r="AD242" s="69"/>
      <c r="AE242" s="69"/>
      <c r="AF242" s="69"/>
      <c r="AG242" s="69"/>
      <c r="AH242" s="69"/>
      <c r="AI242" s="69"/>
      <c r="AJ242" s="69"/>
      <c r="AK242" s="69"/>
      <c r="BE242" s="69"/>
    </row>
    <row r="243" spans="2:57" x14ac:dyDescent="0.25">
      <c r="B243"/>
      <c r="C243"/>
      <c r="D243"/>
      <c r="E243"/>
      <c r="I243" s="69"/>
      <c r="J243" s="69"/>
      <c r="K243" s="69"/>
      <c r="L243" s="69"/>
      <c r="M243" s="69"/>
      <c r="N243" s="69"/>
      <c r="O243" s="69"/>
      <c r="P243" s="69"/>
      <c r="Q243" s="69"/>
      <c r="R243" s="69"/>
      <c r="S243" s="69"/>
      <c r="T243" s="69"/>
      <c r="U243" s="69"/>
      <c r="V243" s="69"/>
      <c r="W243" s="69"/>
      <c r="X243" s="69"/>
      <c r="Y243" s="69"/>
      <c r="Z243" s="69"/>
      <c r="AA243" s="69"/>
      <c r="AB243" s="69"/>
      <c r="AC243" s="69"/>
      <c r="AD243" s="69"/>
      <c r="AE243" s="69"/>
      <c r="AF243" s="69"/>
      <c r="AG243" s="69"/>
      <c r="AH243" s="69"/>
      <c r="AI243" s="69"/>
      <c r="AJ243" s="69"/>
      <c r="AK243" s="69"/>
      <c r="BE243" s="69"/>
    </row>
    <row r="244" spans="2:57" x14ac:dyDescent="0.25">
      <c r="B244"/>
      <c r="C244"/>
      <c r="D244"/>
      <c r="E244"/>
      <c r="I244" s="69"/>
      <c r="J244" s="69"/>
      <c r="K244" s="69"/>
      <c r="L244" s="69"/>
      <c r="M244" s="69"/>
      <c r="N244" s="69"/>
      <c r="O244" s="69"/>
      <c r="P244" s="69"/>
      <c r="Q244" s="69"/>
      <c r="R244" s="69"/>
      <c r="S244" s="69"/>
      <c r="T244" s="69"/>
      <c r="U244" s="69"/>
      <c r="V244" s="69"/>
      <c r="W244" s="69"/>
      <c r="X244" s="69"/>
      <c r="Y244" s="69"/>
      <c r="Z244" s="69"/>
      <c r="AA244" s="69"/>
      <c r="AB244" s="69"/>
      <c r="AC244" s="69"/>
      <c r="AD244" s="69"/>
      <c r="AE244" s="69"/>
      <c r="AF244" s="69"/>
      <c r="AG244" s="69"/>
      <c r="AH244" s="69"/>
      <c r="AI244" s="69"/>
      <c r="AJ244" s="69"/>
      <c r="AK244" s="69"/>
      <c r="BE244" s="69"/>
    </row>
    <row r="245" spans="2:57" x14ac:dyDescent="0.25">
      <c r="B245"/>
      <c r="C245"/>
      <c r="D245"/>
      <c r="E245"/>
      <c r="I245" s="69"/>
      <c r="J245" s="69"/>
      <c r="K245" s="69"/>
      <c r="L245" s="69"/>
      <c r="M245" s="69"/>
      <c r="N245" s="69"/>
      <c r="O245" s="69"/>
      <c r="P245" s="69"/>
      <c r="Q245" s="69"/>
      <c r="R245" s="69"/>
      <c r="S245" s="69"/>
      <c r="T245" s="69"/>
      <c r="U245" s="69"/>
      <c r="V245" s="69"/>
      <c r="W245" s="69"/>
      <c r="X245" s="69"/>
      <c r="Y245" s="69"/>
      <c r="Z245" s="69"/>
      <c r="AA245" s="69"/>
      <c r="AB245" s="69"/>
      <c r="AC245" s="69"/>
      <c r="AD245" s="69"/>
      <c r="AE245" s="69"/>
      <c r="AF245" s="69"/>
      <c r="AG245" s="69"/>
      <c r="AH245" s="69"/>
      <c r="AI245" s="69"/>
      <c r="AJ245" s="69"/>
      <c r="AK245" s="69"/>
      <c r="BE245" s="69"/>
    </row>
    <row r="246" spans="2:57" x14ac:dyDescent="0.25">
      <c r="B246"/>
      <c r="C246"/>
      <c r="D246"/>
      <c r="E246"/>
      <c r="I246" s="69"/>
      <c r="J246" s="69"/>
      <c r="K246" s="69"/>
      <c r="L246" s="69"/>
      <c r="M246" s="69"/>
      <c r="N246" s="69"/>
      <c r="O246" s="69"/>
      <c r="P246" s="69"/>
      <c r="Q246" s="69"/>
      <c r="R246" s="69"/>
      <c r="S246" s="69"/>
      <c r="T246" s="69"/>
      <c r="U246" s="69"/>
      <c r="V246" s="69"/>
      <c r="W246" s="69"/>
      <c r="X246" s="69"/>
      <c r="Y246" s="69"/>
      <c r="Z246" s="69"/>
      <c r="AA246" s="69"/>
      <c r="AB246" s="69"/>
      <c r="AC246" s="69"/>
      <c r="AD246" s="69"/>
      <c r="AE246" s="69"/>
      <c r="AF246" s="69"/>
      <c r="AG246" s="69"/>
      <c r="AH246" s="69"/>
      <c r="AI246" s="69"/>
      <c r="AJ246" s="69"/>
      <c r="AK246" s="69"/>
      <c r="BE246" s="69"/>
    </row>
    <row r="247" spans="2:57" x14ac:dyDescent="0.25">
      <c r="B247"/>
      <c r="C247"/>
      <c r="D247"/>
      <c r="E247"/>
      <c r="I247" s="69"/>
      <c r="J247" s="69"/>
      <c r="K247" s="69"/>
      <c r="L247" s="69"/>
      <c r="M247" s="69"/>
      <c r="N247" s="69"/>
      <c r="O247" s="69"/>
      <c r="P247" s="69"/>
      <c r="Q247" s="69"/>
      <c r="R247" s="69"/>
      <c r="S247" s="69"/>
      <c r="T247" s="69"/>
      <c r="U247" s="69"/>
      <c r="V247" s="69"/>
      <c r="W247" s="69"/>
      <c r="X247" s="69"/>
      <c r="Y247" s="69"/>
      <c r="Z247" s="69"/>
      <c r="AA247" s="69"/>
      <c r="AB247" s="69"/>
      <c r="AC247" s="69"/>
      <c r="AD247" s="69"/>
      <c r="AE247" s="69"/>
      <c r="AF247" s="69"/>
      <c r="AG247" s="69"/>
      <c r="AH247" s="69"/>
      <c r="AI247" s="69"/>
      <c r="AJ247" s="69"/>
      <c r="AK247" s="69"/>
      <c r="BE247" s="69"/>
    </row>
    <row r="248" spans="2:57" x14ac:dyDescent="0.25">
      <c r="B248"/>
      <c r="C248"/>
      <c r="D248"/>
      <c r="E248"/>
      <c r="I248" s="69"/>
      <c r="J248" s="69"/>
      <c r="K248" s="69"/>
      <c r="L248" s="69"/>
      <c r="M248" s="69"/>
      <c r="N248" s="69"/>
      <c r="O248" s="69"/>
      <c r="P248" s="69"/>
      <c r="Q248" s="69"/>
      <c r="R248" s="69"/>
      <c r="S248" s="69"/>
      <c r="T248" s="69"/>
      <c r="U248" s="69"/>
      <c r="V248" s="69"/>
      <c r="W248" s="69"/>
      <c r="X248" s="69"/>
      <c r="Y248" s="69"/>
      <c r="Z248" s="69"/>
      <c r="AA248" s="69"/>
      <c r="AB248" s="69"/>
      <c r="AC248" s="69"/>
      <c r="AD248" s="69"/>
      <c r="AE248" s="69"/>
      <c r="AF248" s="69"/>
      <c r="AG248" s="69"/>
      <c r="AH248" s="69"/>
      <c r="AI248" s="69"/>
      <c r="AJ248" s="69"/>
      <c r="AK248" s="69"/>
      <c r="BE248" s="69"/>
    </row>
    <row r="249" spans="2:57" x14ac:dyDescent="0.25">
      <c r="B249"/>
      <c r="C249"/>
      <c r="D249"/>
      <c r="E249"/>
      <c r="I249" s="69"/>
      <c r="J249" s="69"/>
      <c r="K249" s="69"/>
      <c r="L249" s="69"/>
      <c r="M249" s="69"/>
      <c r="N249" s="69"/>
      <c r="O249" s="69"/>
      <c r="P249" s="69"/>
      <c r="Q249" s="69"/>
      <c r="R249" s="69"/>
      <c r="S249" s="69"/>
      <c r="T249" s="69"/>
      <c r="U249" s="69"/>
      <c r="V249" s="69"/>
      <c r="W249" s="69"/>
      <c r="X249" s="69"/>
      <c r="Y249" s="69"/>
      <c r="Z249" s="69"/>
      <c r="AA249" s="69"/>
      <c r="AB249" s="69"/>
      <c r="AC249" s="69"/>
      <c r="AD249" s="69"/>
      <c r="AE249" s="69"/>
      <c r="AF249" s="69"/>
      <c r="AG249" s="69"/>
      <c r="AH249" s="69"/>
      <c r="AI249" s="69"/>
      <c r="AJ249" s="69"/>
      <c r="AK249" s="69"/>
      <c r="BE249" s="69"/>
    </row>
    <row r="250" spans="2:57" x14ac:dyDescent="0.25">
      <c r="B250"/>
      <c r="C250"/>
      <c r="D250"/>
      <c r="E250"/>
      <c r="I250" s="69"/>
      <c r="J250" s="69"/>
      <c r="K250" s="69"/>
      <c r="L250" s="69"/>
      <c r="M250" s="69"/>
      <c r="N250" s="69"/>
      <c r="O250" s="69"/>
      <c r="P250" s="69"/>
      <c r="Q250" s="69"/>
      <c r="R250" s="69"/>
      <c r="S250" s="69"/>
      <c r="T250" s="69"/>
      <c r="U250" s="69"/>
      <c r="V250" s="69"/>
      <c r="W250" s="69"/>
      <c r="X250" s="69"/>
      <c r="Y250" s="69"/>
      <c r="Z250" s="69"/>
      <c r="AA250" s="69"/>
      <c r="AB250" s="69"/>
      <c r="AC250" s="69"/>
      <c r="AD250" s="69"/>
      <c r="AE250" s="69"/>
      <c r="AF250" s="69"/>
      <c r="AG250" s="69"/>
      <c r="AH250" s="69"/>
      <c r="AI250" s="69"/>
      <c r="AJ250" s="69"/>
      <c r="AK250" s="69"/>
      <c r="BE250" s="69"/>
    </row>
    <row r="251" spans="2:57" x14ac:dyDescent="0.25">
      <c r="B251"/>
      <c r="C251"/>
      <c r="D251"/>
      <c r="E251"/>
      <c r="I251" s="69"/>
      <c r="J251" s="69"/>
      <c r="K251" s="69"/>
      <c r="L251" s="69"/>
      <c r="M251" s="69"/>
      <c r="N251" s="69"/>
      <c r="O251" s="69"/>
      <c r="P251" s="69"/>
      <c r="Q251" s="69"/>
      <c r="R251" s="69"/>
      <c r="S251" s="69"/>
      <c r="T251" s="69"/>
      <c r="U251" s="69"/>
      <c r="V251" s="69"/>
      <c r="W251" s="69"/>
      <c r="X251" s="69"/>
      <c r="Y251" s="69"/>
      <c r="Z251" s="69"/>
      <c r="AA251" s="69"/>
      <c r="AB251" s="69"/>
      <c r="AC251" s="69"/>
      <c r="AD251" s="69"/>
      <c r="AE251" s="69"/>
      <c r="AF251" s="69"/>
      <c r="AG251" s="69"/>
      <c r="AH251" s="69"/>
      <c r="AI251" s="69"/>
      <c r="AJ251" s="69"/>
      <c r="AK251" s="69"/>
      <c r="BE251" s="69"/>
    </row>
    <row r="252" spans="2:57" x14ac:dyDescent="0.25">
      <c r="B252"/>
      <c r="C252"/>
      <c r="D252"/>
      <c r="E252"/>
      <c r="I252" s="69"/>
      <c r="J252" s="69"/>
      <c r="K252" s="69"/>
      <c r="L252" s="69"/>
      <c r="M252" s="69"/>
      <c r="N252" s="69"/>
      <c r="O252" s="69"/>
      <c r="P252" s="69"/>
      <c r="Q252" s="69"/>
      <c r="R252" s="69"/>
      <c r="S252" s="69"/>
      <c r="T252" s="69"/>
      <c r="U252" s="69"/>
      <c r="V252" s="69"/>
      <c r="W252" s="69"/>
      <c r="X252" s="69"/>
      <c r="Y252" s="69"/>
      <c r="Z252" s="69"/>
      <c r="AA252" s="69"/>
      <c r="AB252" s="69"/>
      <c r="AC252" s="69"/>
      <c r="AD252" s="69"/>
      <c r="AE252" s="69"/>
      <c r="AF252" s="69"/>
      <c r="AG252" s="69"/>
      <c r="AH252" s="69"/>
      <c r="AI252" s="69"/>
      <c r="AJ252" s="69"/>
      <c r="AK252" s="69"/>
      <c r="BE252" s="69"/>
    </row>
    <row r="253" spans="2:57" x14ac:dyDescent="0.25">
      <c r="B253"/>
      <c r="C253"/>
      <c r="D253"/>
      <c r="E253"/>
      <c r="I253" s="69"/>
      <c r="J253" s="69"/>
      <c r="K253" s="69"/>
      <c r="L253" s="69"/>
      <c r="M253" s="69"/>
      <c r="N253" s="69"/>
      <c r="O253" s="69"/>
      <c r="P253" s="69"/>
      <c r="Q253" s="69"/>
      <c r="R253" s="69"/>
      <c r="S253" s="69"/>
      <c r="T253" s="69"/>
      <c r="U253" s="69"/>
      <c r="V253" s="69"/>
      <c r="W253" s="69"/>
      <c r="X253" s="69"/>
      <c r="Y253" s="69"/>
      <c r="Z253" s="69"/>
      <c r="AA253" s="69"/>
      <c r="AB253" s="69"/>
      <c r="AC253" s="69"/>
      <c r="AD253" s="69"/>
      <c r="AE253" s="69"/>
      <c r="AF253" s="69"/>
      <c r="AG253" s="69"/>
      <c r="AH253" s="69"/>
      <c r="AI253" s="69"/>
      <c r="AJ253" s="69"/>
      <c r="AK253" s="69"/>
      <c r="BE253" s="69"/>
    </row>
    <row r="254" spans="2:57" x14ac:dyDescent="0.25">
      <c r="B254"/>
      <c r="C254"/>
      <c r="D254"/>
      <c r="E254"/>
      <c r="I254" s="69"/>
      <c r="J254" s="69"/>
      <c r="K254" s="69"/>
      <c r="L254" s="69"/>
      <c r="M254" s="69"/>
      <c r="N254" s="69"/>
      <c r="O254" s="69"/>
      <c r="P254" s="69"/>
      <c r="Q254" s="69"/>
      <c r="R254" s="69"/>
      <c r="S254" s="69"/>
      <c r="T254" s="69"/>
      <c r="U254" s="69"/>
      <c r="V254" s="69"/>
      <c r="W254" s="69"/>
      <c r="X254" s="69"/>
      <c r="Y254" s="69"/>
      <c r="Z254" s="69"/>
      <c r="AA254" s="69"/>
      <c r="AB254" s="69"/>
      <c r="AC254" s="69"/>
      <c r="AD254" s="69"/>
      <c r="AE254" s="69"/>
      <c r="AF254" s="69"/>
      <c r="AG254" s="69"/>
      <c r="AH254" s="69"/>
      <c r="AI254" s="69"/>
      <c r="AJ254" s="69"/>
      <c r="AK254" s="69"/>
      <c r="BE254" s="69"/>
    </row>
    <row r="255" spans="2:57" x14ac:dyDescent="0.25">
      <c r="B255"/>
      <c r="C255"/>
      <c r="D255"/>
      <c r="E255"/>
      <c r="I255" s="69"/>
      <c r="J255" s="69"/>
      <c r="K255" s="69"/>
      <c r="L255" s="69"/>
      <c r="M255" s="69"/>
      <c r="N255" s="69"/>
      <c r="O255" s="69"/>
      <c r="P255" s="69"/>
      <c r="Q255" s="69"/>
      <c r="R255" s="69"/>
      <c r="S255" s="69"/>
      <c r="T255" s="69"/>
      <c r="U255" s="69"/>
      <c r="V255" s="69"/>
      <c r="W255" s="69"/>
      <c r="X255" s="69"/>
      <c r="Y255" s="69"/>
      <c r="Z255" s="69"/>
      <c r="AA255" s="69"/>
      <c r="AB255" s="69"/>
      <c r="AC255" s="69"/>
      <c r="AD255" s="69"/>
      <c r="AE255" s="69"/>
      <c r="AF255" s="69"/>
      <c r="AG255" s="69"/>
      <c r="AH255" s="69"/>
      <c r="AI255" s="69"/>
      <c r="AJ255" s="69"/>
      <c r="AK255" s="69"/>
      <c r="BE255" s="69"/>
    </row>
    <row r="256" spans="2:57" x14ac:dyDescent="0.25">
      <c r="B256"/>
      <c r="C256"/>
      <c r="D256"/>
      <c r="E256"/>
      <c r="I256" s="69"/>
      <c r="J256" s="69"/>
      <c r="K256" s="69"/>
      <c r="L256" s="69"/>
      <c r="M256" s="69"/>
      <c r="N256" s="69"/>
      <c r="O256" s="69"/>
      <c r="P256" s="69"/>
      <c r="Q256" s="69"/>
      <c r="R256" s="69"/>
      <c r="S256" s="69"/>
      <c r="T256" s="69"/>
      <c r="U256" s="69"/>
      <c r="V256" s="69"/>
      <c r="W256" s="69"/>
      <c r="X256" s="69"/>
      <c r="Y256" s="69"/>
      <c r="Z256" s="69"/>
      <c r="AA256" s="69"/>
      <c r="AB256" s="69"/>
      <c r="AC256" s="69"/>
      <c r="AD256" s="69"/>
      <c r="AE256" s="69"/>
      <c r="AF256" s="69"/>
      <c r="AG256" s="69"/>
      <c r="AH256" s="69"/>
      <c r="AI256" s="69"/>
      <c r="AJ256" s="69"/>
      <c r="AK256" s="69"/>
      <c r="BE256" s="69"/>
    </row>
    <row r="257" spans="2:57" x14ac:dyDescent="0.25">
      <c r="B257"/>
      <c r="C257"/>
      <c r="D257"/>
      <c r="E257"/>
      <c r="I257" s="69"/>
      <c r="J257" s="69"/>
      <c r="K257" s="69"/>
      <c r="L257" s="69"/>
      <c r="M257" s="69"/>
      <c r="N257" s="69"/>
      <c r="O257" s="69"/>
      <c r="P257" s="69"/>
      <c r="Q257" s="69"/>
      <c r="R257" s="69"/>
      <c r="S257" s="69"/>
      <c r="T257" s="69"/>
      <c r="U257" s="69"/>
      <c r="V257" s="69"/>
      <c r="W257" s="69"/>
      <c r="X257" s="69"/>
      <c r="Y257" s="69"/>
      <c r="Z257" s="69"/>
      <c r="AA257" s="69"/>
      <c r="AB257" s="69"/>
      <c r="AC257" s="69"/>
      <c r="AD257" s="69"/>
      <c r="AE257" s="69"/>
      <c r="AF257" s="69"/>
      <c r="AG257" s="69"/>
      <c r="AH257" s="69"/>
      <c r="AI257" s="69"/>
      <c r="AJ257" s="69"/>
      <c r="AK257" s="69"/>
      <c r="BE257" s="69"/>
    </row>
    <row r="258" spans="2:57" x14ac:dyDescent="0.25">
      <c r="B258"/>
      <c r="C258"/>
      <c r="D258"/>
      <c r="E258"/>
      <c r="I258" s="69"/>
      <c r="J258" s="69"/>
      <c r="K258" s="69"/>
      <c r="L258" s="69"/>
      <c r="M258" s="69"/>
      <c r="N258" s="69"/>
      <c r="O258" s="69"/>
      <c r="P258" s="69"/>
      <c r="Q258" s="69"/>
      <c r="R258" s="69"/>
      <c r="S258" s="69"/>
      <c r="T258" s="69"/>
      <c r="U258" s="69"/>
      <c r="V258" s="69"/>
      <c r="W258" s="69"/>
      <c r="X258" s="69"/>
      <c r="Y258" s="69"/>
      <c r="Z258" s="69"/>
      <c r="AA258" s="69"/>
      <c r="AB258" s="69"/>
      <c r="AC258" s="69"/>
      <c r="AD258" s="69"/>
      <c r="AE258" s="69"/>
      <c r="AF258" s="69"/>
      <c r="AG258" s="69"/>
      <c r="AH258" s="69"/>
      <c r="AI258" s="69"/>
      <c r="AJ258" s="69"/>
      <c r="AK258" s="69"/>
      <c r="BE258" s="69"/>
    </row>
    <row r="259" spans="2:57" x14ac:dyDescent="0.25">
      <c r="B259"/>
      <c r="C259"/>
      <c r="D259"/>
      <c r="E259"/>
      <c r="I259" s="69"/>
      <c r="J259" s="69"/>
      <c r="K259" s="69"/>
      <c r="L259" s="69"/>
      <c r="M259" s="69"/>
      <c r="N259" s="69"/>
      <c r="O259" s="69"/>
      <c r="P259" s="69"/>
      <c r="Q259" s="69"/>
      <c r="R259" s="69"/>
      <c r="S259" s="69"/>
      <c r="T259" s="69"/>
      <c r="U259" s="69"/>
      <c r="V259" s="69"/>
      <c r="W259" s="69"/>
      <c r="X259" s="69"/>
      <c r="Y259" s="69"/>
      <c r="Z259" s="69"/>
      <c r="AA259" s="69"/>
      <c r="AB259" s="69"/>
      <c r="AC259" s="69"/>
      <c r="AD259" s="69"/>
      <c r="AE259" s="69"/>
      <c r="AF259" s="69"/>
      <c r="AG259" s="69"/>
      <c r="AH259" s="69"/>
      <c r="AI259" s="69"/>
      <c r="AJ259" s="69"/>
      <c r="AK259" s="69"/>
      <c r="BE259" s="69"/>
    </row>
    <row r="260" spans="2:57" x14ac:dyDescent="0.25">
      <c r="B260"/>
      <c r="C260"/>
      <c r="D260"/>
      <c r="E260"/>
      <c r="I260" s="69"/>
      <c r="J260" s="69"/>
      <c r="K260" s="69"/>
      <c r="L260" s="69"/>
      <c r="M260" s="69"/>
      <c r="N260" s="69"/>
      <c r="O260" s="69"/>
      <c r="P260" s="69"/>
      <c r="Q260" s="69"/>
      <c r="R260" s="69"/>
      <c r="S260" s="69"/>
      <c r="T260" s="69"/>
      <c r="U260" s="69"/>
      <c r="V260" s="69"/>
      <c r="W260" s="69"/>
      <c r="X260" s="69"/>
      <c r="Y260" s="69"/>
      <c r="Z260" s="69"/>
      <c r="AA260" s="69"/>
      <c r="AB260" s="69"/>
      <c r="AC260" s="69"/>
      <c r="AD260" s="69"/>
      <c r="AE260" s="69"/>
      <c r="AF260" s="69"/>
      <c r="AG260" s="69"/>
      <c r="AH260" s="69"/>
      <c r="AI260" s="69"/>
      <c r="AJ260" s="69"/>
      <c r="AK260" s="69"/>
      <c r="BE260" s="69"/>
    </row>
    <row r="261" spans="2:57" x14ac:dyDescent="0.25">
      <c r="B261"/>
      <c r="C261"/>
      <c r="D261"/>
      <c r="E261"/>
      <c r="I261" s="69"/>
      <c r="J261" s="69"/>
      <c r="K261" s="69"/>
      <c r="L261" s="69"/>
      <c r="M261" s="69"/>
      <c r="N261" s="69"/>
      <c r="O261" s="69"/>
      <c r="P261" s="69"/>
      <c r="Q261" s="69"/>
      <c r="R261" s="69"/>
      <c r="S261" s="69"/>
      <c r="T261" s="69"/>
      <c r="U261" s="69"/>
      <c r="V261" s="69"/>
      <c r="W261" s="69"/>
      <c r="X261" s="69"/>
      <c r="Y261" s="69"/>
      <c r="Z261" s="69"/>
      <c r="AA261" s="69"/>
      <c r="AB261" s="69"/>
      <c r="AC261" s="69"/>
      <c r="AD261" s="69"/>
      <c r="AE261" s="69"/>
      <c r="AF261" s="69"/>
      <c r="AG261" s="69"/>
      <c r="AH261" s="69"/>
      <c r="AI261" s="69"/>
      <c r="AJ261" s="69"/>
      <c r="AK261" s="69"/>
      <c r="BE261" s="69"/>
    </row>
    <row r="262" spans="2:57" x14ac:dyDescent="0.25">
      <c r="B262"/>
      <c r="C262"/>
      <c r="D262"/>
      <c r="E262"/>
      <c r="I262" s="69"/>
      <c r="J262" s="69"/>
      <c r="K262" s="69"/>
      <c r="L262" s="69"/>
      <c r="M262" s="69"/>
      <c r="N262" s="69"/>
      <c r="O262" s="69"/>
      <c r="P262" s="69"/>
      <c r="Q262" s="69"/>
      <c r="R262" s="69"/>
      <c r="S262" s="69"/>
      <c r="T262" s="69"/>
      <c r="U262" s="69"/>
      <c r="V262" s="69"/>
      <c r="W262" s="69"/>
      <c r="X262" s="69"/>
      <c r="Y262" s="69"/>
      <c r="Z262" s="69"/>
      <c r="AA262" s="69"/>
      <c r="AB262" s="69"/>
      <c r="AC262" s="69"/>
      <c r="AD262" s="69"/>
      <c r="AE262" s="69"/>
      <c r="AF262" s="69"/>
      <c r="AG262" s="69"/>
      <c r="AH262" s="69"/>
      <c r="AI262" s="69"/>
      <c r="AJ262" s="69"/>
      <c r="AK262" s="69"/>
      <c r="BE262" s="69"/>
    </row>
    <row r="263" spans="2:57" x14ac:dyDescent="0.25">
      <c r="B263"/>
      <c r="C263"/>
      <c r="D263"/>
      <c r="E263"/>
      <c r="I263" s="69"/>
      <c r="J263" s="69"/>
      <c r="K263" s="69"/>
      <c r="L263" s="69"/>
      <c r="M263" s="69"/>
      <c r="N263" s="69"/>
      <c r="O263" s="69"/>
      <c r="P263" s="69"/>
      <c r="Q263" s="69"/>
      <c r="R263" s="69"/>
      <c r="S263" s="69"/>
      <c r="T263" s="69"/>
      <c r="U263" s="69"/>
      <c r="V263" s="69"/>
      <c r="W263" s="69"/>
      <c r="X263" s="69"/>
      <c r="Y263" s="69"/>
      <c r="Z263" s="69"/>
      <c r="AA263" s="69"/>
      <c r="AB263" s="69"/>
      <c r="AC263" s="69"/>
      <c r="AD263" s="69"/>
      <c r="AE263" s="69"/>
      <c r="AF263" s="69"/>
      <c r="AG263" s="69"/>
      <c r="AH263" s="69"/>
      <c r="AI263" s="69"/>
      <c r="AJ263" s="69"/>
      <c r="AK263" s="69"/>
      <c r="BE263" s="69"/>
    </row>
    <row r="264" spans="2:57" x14ac:dyDescent="0.25">
      <c r="B264"/>
      <c r="C264"/>
      <c r="D264"/>
      <c r="E264"/>
      <c r="I264" s="69"/>
      <c r="J264" s="69"/>
      <c r="K264" s="69"/>
      <c r="L264" s="69"/>
      <c r="M264" s="69"/>
      <c r="N264" s="69"/>
      <c r="O264" s="69"/>
      <c r="P264" s="69"/>
      <c r="Q264" s="69"/>
      <c r="R264" s="69"/>
      <c r="S264" s="69"/>
      <c r="T264" s="69"/>
      <c r="U264" s="69"/>
      <c r="V264" s="69"/>
      <c r="W264" s="69"/>
      <c r="X264" s="69"/>
      <c r="Y264" s="69"/>
      <c r="Z264" s="69"/>
      <c r="AA264" s="69"/>
      <c r="AB264" s="69"/>
      <c r="AC264" s="69"/>
      <c r="AD264" s="69"/>
      <c r="AE264" s="69"/>
      <c r="AF264" s="69"/>
      <c r="AG264" s="69"/>
      <c r="AH264" s="69"/>
      <c r="AI264" s="69"/>
      <c r="AJ264" s="69"/>
      <c r="AK264" s="69"/>
      <c r="BE264" s="69"/>
    </row>
    <row r="265" spans="2:57" x14ac:dyDescent="0.25">
      <c r="B265"/>
      <c r="C265"/>
      <c r="D265"/>
      <c r="E265"/>
      <c r="I265" s="69"/>
      <c r="J265" s="69"/>
      <c r="K265" s="69"/>
      <c r="L265" s="69"/>
      <c r="M265" s="69"/>
      <c r="N265" s="69"/>
      <c r="O265" s="69"/>
      <c r="P265" s="69"/>
      <c r="Q265" s="69"/>
      <c r="R265" s="69"/>
      <c r="S265" s="69"/>
      <c r="T265" s="69"/>
      <c r="U265" s="69"/>
      <c r="V265" s="69"/>
      <c r="W265" s="69"/>
      <c r="X265" s="69"/>
      <c r="Y265" s="69"/>
      <c r="Z265" s="69"/>
      <c r="AA265" s="69"/>
      <c r="AB265" s="69"/>
      <c r="AC265" s="69"/>
      <c r="AD265" s="69"/>
      <c r="AE265" s="69"/>
      <c r="AF265" s="69"/>
      <c r="AG265" s="69"/>
      <c r="AH265" s="69"/>
      <c r="AI265" s="69"/>
      <c r="AJ265" s="69"/>
      <c r="AK265" s="69"/>
      <c r="BE265" s="69"/>
    </row>
    <row r="266" spans="2:57" x14ac:dyDescent="0.25">
      <c r="B266"/>
      <c r="C266"/>
      <c r="D266"/>
      <c r="E266"/>
      <c r="I266" s="69"/>
      <c r="J266" s="69"/>
      <c r="K266" s="69"/>
      <c r="L266" s="69"/>
      <c r="M266" s="69"/>
      <c r="N266" s="69"/>
      <c r="O266" s="69"/>
      <c r="P266" s="69"/>
      <c r="Q266" s="69"/>
      <c r="R266" s="69"/>
      <c r="S266" s="69"/>
      <c r="T266" s="69"/>
      <c r="U266" s="69"/>
      <c r="V266" s="69"/>
      <c r="W266" s="69"/>
      <c r="X266" s="69"/>
      <c r="Y266" s="69"/>
      <c r="Z266" s="69"/>
      <c r="AA266" s="69"/>
      <c r="AB266" s="69"/>
      <c r="AC266" s="69"/>
      <c r="AD266" s="69"/>
      <c r="AE266" s="69"/>
      <c r="AF266" s="69"/>
      <c r="AG266" s="69"/>
      <c r="AH266" s="69"/>
      <c r="AI266" s="69"/>
      <c r="AJ266" s="69"/>
      <c r="AK266" s="69"/>
      <c r="BE266" s="69"/>
    </row>
    <row r="267" spans="2:57" x14ac:dyDescent="0.25">
      <c r="B267"/>
      <c r="C267"/>
      <c r="D267"/>
      <c r="E267"/>
      <c r="I267" s="69"/>
      <c r="J267" s="69"/>
      <c r="K267" s="69"/>
      <c r="L267" s="69"/>
      <c r="M267" s="69"/>
      <c r="N267" s="69"/>
      <c r="O267" s="69"/>
      <c r="P267" s="69"/>
      <c r="Q267" s="69"/>
      <c r="R267" s="69"/>
      <c r="S267" s="69"/>
      <c r="T267" s="69"/>
      <c r="U267" s="69"/>
      <c r="V267" s="69"/>
      <c r="W267" s="69"/>
      <c r="X267" s="69"/>
      <c r="Y267" s="69"/>
      <c r="Z267" s="69"/>
      <c r="AA267" s="69"/>
      <c r="AB267" s="69"/>
      <c r="AC267" s="69"/>
      <c r="AD267" s="69"/>
      <c r="AE267" s="69"/>
      <c r="AF267" s="69"/>
      <c r="AG267" s="69"/>
      <c r="AH267" s="69"/>
      <c r="AI267" s="69"/>
      <c r="AJ267" s="69"/>
      <c r="AK267" s="69"/>
      <c r="BE267" s="69"/>
    </row>
    <row r="268" spans="2:57" x14ac:dyDescent="0.25">
      <c r="B268"/>
      <c r="C268"/>
      <c r="D268"/>
      <c r="E268"/>
      <c r="I268" s="69"/>
      <c r="J268" s="69"/>
      <c r="K268" s="69"/>
      <c r="L268" s="69"/>
      <c r="M268" s="69"/>
      <c r="N268" s="69"/>
      <c r="O268" s="69"/>
      <c r="P268" s="69"/>
      <c r="Q268" s="69"/>
      <c r="R268" s="69"/>
      <c r="S268" s="69"/>
      <c r="T268" s="69"/>
      <c r="U268" s="69"/>
      <c r="V268" s="69"/>
      <c r="W268" s="69"/>
      <c r="X268" s="69"/>
      <c r="Y268" s="69"/>
      <c r="Z268" s="69"/>
      <c r="AA268" s="69"/>
      <c r="AB268" s="69"/>
      <c r="AC268" s="69"/>
      <c r="AD268" s="69"/>
      <c r="AE268" s="69"/>
      <c r="AF268" s="69"/>
      <c r="AG268" s="69"/>
      <c r="AH268" s="69"/>
      <c r="AI268" s="69"/>
      <c r="AJ268" s="69"/>
      <c r="AK268" s="69"/>
      <c r="BE268" s="69"/>
    </row>
    <row r="269" spans="2:57" x14ac:dyDescent="0.25">
      <c r="B269"/>
      <c r="C269"/>
      <c r="D269"/>
      <c r="E2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BE269" s="69"/>
    </row>
    <row r="270" spans="2:57" x14ac:dyDescent="0.25">
      <c r="B270"/>
      <c r="C270"/>
      <c r="D270"/>
      <c r="E270"/>
      <c r="I270" s="69"/>
      <c r="J270" s="69"/>
      <c r="K270" s="69"/>
      <c r="L270" s="69"/>
      <c r="M270" s="69"/>
      <c r="N270" s="69"/>
      <c r="O270" s="69"/>
      <c r="P270" s="69"/>
      <c r="Q270" s="69"/>
      <c r="R270" s="69"/>
      <c r="S270" s="69"/>
      <c r="T270" s="69"/>
      <c r="U270" s="69"/>
      <c r="V270" s="69"/>
      <c r="W270" s="69"/>
      <c r="X270" s="69"/>
      <c r="Y270" s="69"/>
      <c r="Z270" s="69"/>
      <c r="AA270" s="69"/>
      <c r="AB270" s="69"/>
      <c r="AC270" s="69"/>
      <c r="AD270" s="69"/>
      <c r="AE270" s="69"/>
      <c r="AF270" s="69"/>
      <c r="AG270" s="69"/>
      <c r="AH270" s="69"/>
      <c r="AI270" s="69"/>
      <c r="AJ270" s="69"/>
      <c r="AK270" s="69"/>
      <c r="BE270" s="69"/>
    </row>
    <row r="271" spans="2:57" x14ac:dyDescent="0.25">
      <c r="B271"/>
      <c r="C271"/>
      <c r="D271"/>
      <c r="E271"/>
      <c r="I271" s="69"/>
      <c r="J271" s="69"/>
      <c r="K271" s="69"/>
      <c r="L271" s="69"/>
      <c r="M271" s="69"/>
      <c r="N271" s="69"/>
      <c r="O271" s="69"/>
      <c r="P271" s="69"/>
      <c r="Q271" s="69"/>
      <c r="R271" s="69"/>
      <c r="S271" s="69"/>
      <c r="T271" s="69"/>
      <c r="U271" s="69"/>
      <c r="V271" s="69"/>
      <c r="W271" s="69"/>
      <c r="X271" s="69"/>
      <c r="Y271" s="69"/>
      <c r="Z271" s="69"/>
      <c r="AA271" s="69"/>
      <c r="AB271" s="69"/>
      <c r="AC271" s="69"/>
      <c r="AD271" s="69"/>
      <c r="AE271" s="69"/>
      <c r="AF271" s="69"/>
      <c r="AG271" s="69"/>
      <c r="AH271" s="69"/>
      <c r="AI271" s="69"/>
      <c r="AJ271" s="69"/>
      <c r="AK271" s="69"/>
      <c r="BE271" s="69"/>
    </row>
    <row r="272" spans="2:57" x14ac:dyDescent="0.25">
      <c r="B272"/>
      <c r="C272"/>
      <c r="D272"/>
      <c r="E272"/>
      <c r="I272" s="69"/>
      <c r="J272" s="69"/>
      <c r="K272" s="69"/>
      <c r="L272" s="69"/>
      <c r="M272" s="69"/>
      <c r="N272" s="69"/>
      <c r="O272" s="69"/>
      <c r="P272" s="69"/>
      <c r="Q272" s="69"/>
      <c r="R272" s="69"/>
      <c r="S272" s="69"/>
      <c r="T272" s="69"/>
      <c r="U272" s="69"/>
      <c r="V272" s="69"/>
      <c r="W272" s="69"/>
      <c r="X272" s="69"/>
      <c r="Y272" s="69"/>
      <c r="Z272" s="69"/>
      <c r="AA272" s="69"/>
      <c r="AB272" s="69"/>
      <c r="AC272" s="69"/>
      <c r="AD272" s="69"/>
      <c r="AE272" s="69"/>
      <c r="AF272" s="69"/>
      <c r="AG272" s="69"/>
      <c r="AH272" s="69"/>
      <c r="AI272" s="69"/>
      <c r="AJ272" s="69"/>
      <c r="AK272" s="69"/>
      <c r="BE272" s="69"/>
    </row>
    <row r="273" spans="2:57" x14ac:dyDescent="0.25">
      <c r="B273"/>
      <c r="C273"/>
      <c r="D273"/>
      <c r="E273"/>
      <c r="I273" s="69"/>
      <c r="J273" s="69"/>
      <c r="K273" s="69"/>
      <c r="L273" s="69"/>
      <c r="M273" s="69"/>
      <c r="N273" s="69"/>
      <c r="O273" s="69"/>
      <c r="P273" s="69"/>
      <c r="Q273" s="69"/>
      <c r="R273" s="69"/>
      <c r="S273" s="69"/>
      <c r="T273" s="69"/>
      <c r="U273" s="69"/>
      <c r="V273" s="69"/>
      <c r="W273" s="69"/>
      <c r="X273" s="69"/>
      <c r="Y273" s="69"/>
      <c r="Z273" s="69"/>
      <c r="AA273" s="69"/>
      <c r="AB273" s="69"/>
      <c r="AC273" s="69"/>
      <c r="AD273" s="69"/>
      <c r="AE273" s="69"/>
      <c r="AF273" s="69"/>
      <c r="AG273" s="69"/>
      <c r="AH273" s="69"/>
      <c r="AI273" s="69"/>
      <c r="AJ273" s="69"/>
      <c r="AK273" s="69"/>
      <c r="BE273" s="69"/>
    </row>
    <row r="274" spans="2:57" x14ac:dyDescent="0.25">
      <c r="B274"/>
      <c r="C274"/>
      <c r="D274"/>
      <c r="E274"/>
      <c r="I274" s="69"/>
      <c r="J274" s="69"/>
      <c r="K274" s="69"/>
      <c r="L274" s="69"/>
      <c r="M274" s="69"/>
      <c r="N274" s="69"/>
      <c r="O274" s="69"/>
      <c r="P274" s="69"/>
      <c r="Q274" s="69"/>
      <c r="R274" s="69"/>
      <c r="S274" s="69"/>
      <c r="T274" s="69"/>
      <c r="U274" s="69"/>
      <c r="V274" s="69"/>
      <c r="W274" s="69"/>
      <c r="X274" s="69"/>
      <c r="Y274" s="69"/>
      <c r="Z274" s="69"/>
      <c r="AA274" s="69"/>
      <c r="AB274" s="69"/>
      <c r="AC274" s="69"/>
      <c r="AD274" s="69"/>
      <c r="AE274" s="69"/>
      <c r="AF274" s="69"/>
      <c r="AG274" s="69"/>
      <c r="AH274" s="69"/>
      <c r="AI274" s="69"/>
      <c r="AJ274" s="69"/>
      <c r="AK274" s="69"/>
      <c r="BE274" s="69"/>
    </row>
    <row r="275" spans="2:57" x14ac:dyDescent="0.25">
      <c r="B275"/>
      <c r="C275"/>
      <c r="D275"/>
      <c r="E275"/>
      <c r="I275" s="69"/>
      <c r="J275" s="69"/>
      <c r="K275" s="69"/>
      <c r="L275" s="69"/>
      <c r="M275" s="69"/>
      <c r="N275" s="69"/>
      <c r="O275" s="69"/>
      <c r="P275" s="69"/>
      <c r="Q275" s="69"/>
      <c r="R275" s="69"/>
      <c r="S275" s="69"/>
      <c r="T275" s="69"/>
      <c r="U275" s="69"/>
      <c r="V275" s="69"/>
      <c r="W275" s="69"/>
      <c r="X275" s="69"/>
      <c r="Y275" s="69"/>
      <c r="Z275" s="69"/>
      <c r="AA275" s="69"/>
      <c r="AB275" s="69"/>
      <c r="AC275" s="69"/>
      <c r="AD275" s="69"/>
      <c r="AE275" s="69"/>
      <c r="AF275" s="69"/>
      <c r="AG275" s="69"/>
      <c r="AH275" s="69"/>
      <c r="AI275" s="69"/>
      <c r="AJ275" s="69"/>
      <c r="AK275" s="69"/>
      <c r="BE275" s="69"/>
    </row>
    <row r="276" spans="2:57" x14ac:dyDescent="0.25">
      <c r="B276"/>
      <c r="C276"/>
      <c r="D276"/>
      <c r="E276"/>
      <c r="I276" s="69"/>
      <c r="J276" s="69"/>
      <c r="K276" s="69"/>
      <c r="L276" s="69"/>
      <c r="M276" s="69"/>
      <c r="N276" s="69"/>
      <c r="O276" s="69"/>
      <c r="P276" s="69"/>
      <c r="Q276" s="69"/>
      <c r="R276" s="69"/>
      <c r="S276" s="69"/>
      <c r="T276" s="69"/>
      <c r="U276" s="69"/>
      <c r="V276" s="69"/>
      <c r="W276" s="69"/>
      <c r="X276" s="69"/>
      <c r="Y276" s="69"/>
      <c r="Z276" s="69"/>
      <c r="AA276" s="69"/>
      <c r="AB276" s="69"/>
      <c r="AC276" s="69"/>
      <c r="AD276" s="69"/>
      <c r="AE276" s="69"/>
      <c r="AF276" s="69"/>
      <c r="AG276" s="69"/>
      <c r="AH276" s="69"/>
      <c r="AI276" s="69"/>
      <c r="AJ276" s="69"/>
      <c r="AK276" s="69"/>
      <c r="BE276" s="69"/>
    </row>
    <row r="277" spans="2:57" x14ac:dyDescent="0.25">
      <c r="B277"/>
      <c r="C277"/>
      <c r="D277"/>
      <c r="E277"/>
      <c r="I277" s="69"/>
      <c r="J277" s="69"/>
      <c r="K277" s="69"/>
      <c r="L277" s="69"/>
      <c r="M277" s="69"/>
      <c r="N277" s="69"/>
      <c r="O277" s="69"/>
      <c r="P277" s="69"/>
      <c r="Q277" s="69"/>
      <c r="R277" s="69"/>
      <c r="S277" s="69"/>
      <c r="T277" s="69"/>
      <c r="U277" s="69"/>
      <c r="V277" s="69"/>
      <c r="W277" s="69"/>
      <c r="X277" s="69"/>
      <c r="Y277" s="69"/>
      <c r="Z277" s="69"/>
      <c r="AA277" s="69"/>
      <c r="AB277" s="69"/>
      <c r="AC277" s="69"/>
      <c r="AD277" s="69"/>
      <c r="AE277" s="69"/>
      <c r="AF277" s="69"/>
      <c r="AG277" s="69"/>
      <c r="AH277" s="69"/>
      <c r="AI277" s="69"/>
      <c r="AJ277" s="69"/>
      <c r="AK277" s="69"/>
      <c r="BE277" s="69"/>
    </row>
    <row r="278" spans="2:57" x14ac:dyDescent="0.25">
      <c r="B278"/>
      <c r="C278"/>
      <c r="D278"/>
      <c r="E278"/>
      <c r="I278" s="69"/>
      <c r="J278" s="69"/>
      <c r="K278" s="69"/>
      <c r="L278" s="69"/>
      <c r="M278" s="69"/>
      <c r="N278" s="69"/>
      <c r="O278" s="69"/>
      <c r="P278" s="69"/>
      <c r="Q278" s="69"/>
      <c r="R278" s="69"/>
      <c r="S278" s="69"/>
      <c r="T278" s="69"/>
      <c r="U278" s="69"/>
      <c r="V278" s="69"/>
      <c r="W278" s="69"/>
      <c r="X278" s="69"/>
      <c r="Y278" s="69"/>
      <c r="Z278" s="69"/>
      <c r="AA278" s="69"/>
      <c r="AB278" s="69"/>
      <c r="AC278" s="69"/>
      <c r="AD278" s="69"/>
      <c r="AE278" s="69"/>
      <c r="AF278" s="69"/>
      <c r="AG278" s="69"/>
      <c r="AH278" s="69"/>
      <c r="AI278" s="69"/>
      <c r="AJ278" s="69"/>
      <c r="AK278" s="69"/>
      <c r="BE278" s="69"/>
    </row>
    <row r="279" spans="2:57" x14ac:dyDescent="0.25">
      <c r="B279"/>
      <c r="C279"/>
      <c r="D279"/>
      <c r="E279"/>
      <c r="I279" s="69"/>
      <c r="J279" s="69"/>
      <c r="K279" s="69"/>
      <c r="L279" s="69"/>
      <c r="M279" s="69"/>
      <c r="N279" s="69"/>
      <c r="O279" s="69"/>
      <c r="P279" s="69"/>
      <c r="Q279" s="69"/>
      <c r="R279" s="69"/>
      <c r="S279" s="69"/>
      <c r="T279" s="69"/>
      <c r="U279" s="69"/>
      <c r="V279" s="69"/>
      <c r="W279" s="69"/>
      <c r="X279" s="69"/>
      <c r="Y279" s="69"/>
      <c r="Z279" s="69"/>
      <c r="AA279" s="69"/>
      <c r="AB279" s="69"/>
      <c r="AC279" s="69"/>
      <c r="AD279" s="69"/>
      <c r="AE279" s="69"/>
      <c r="AF279" s="69"/>
      <c r="AG279" s="69"/>
      <c r="AH279" s="69"/>
      <c r="AI279" s="69"/>
      <c r="AJ279" s="69"/>
      <c r="AK279" s="69"/>
      <c r="BE279" s="69"/>
    </row>
    <row r="280" spans="2:57" x14ac:dyDescent="0.25">
      <c r="B280"/>
      <c r="C280"/>
      <c r="D280"/>
      <c r="E280"/>
      <c r="I280" s="69"/>
      <c r="J280" s="69"/>
      <c r="K280" s="69"/>
      <c r="L280" s="69"/>
      <c r="M280" s="69"/>
      <c r="N280" s="69"/>
      <c r="O280" s="69"/>
      <c r="P280" s="69"/>
      <c r="Q280" s="69"/>
      <c r="R280" s="69"/>
      <c r="S280" s="69"/>
      <c r="T280" s="69"/>
      <c r="U280" s="69"/>
      <c r="V280" s="69"/>
      <c r="W280" s="69"/>
      <c r="X280" s="69"/>
      <c r="Y280" s="69"/>
      <c r="Z280" s="69"/>
      <c r="AA280" s="69"/>
      <c r="AB280" s="69"/>
      <c r="AC280" s="69"/>
      <c r="AD280" s="69"/>
      <c r="AE280" s="69"/>
      <c r="AF280" s="69"/>
      <c r="AG280" s="69"/>
      <c r="AH280" s="69"/>
      <c r="AI280" s="69"/>
      <c r="AJ280" s="69"/>
      <c r="AK280" s="69"/>
      <c r="BE280" s="69"/>
    </row>
    <row r="281" spans="2:57" x14ac:dyDescent="0.25">
      <c r="B281"/>
      <c r="C281"/>
      <c r="D281"/>
      <c r="E281"/>
      <c r="I281" s="69"/>
      <c r="J281" s="69"/>
      <c r="K281" s="69"/>
      <c r="L281" s="69"/>
      <c r="M281" s="69"/>
      <c r="N281" s="69"/>
      <c r="O281" s="69"/>
      <c r="P281" s="69"/>
      <c r="Q281" s="69"/>
      <c r="R281" s="69"/>
      <c r="S281" s="69"/>
      <c r="T281" s="69"/>
      <c r="U281" s="69"/>
      <c r="V281" s="69"/>
      <c r="W281" s="69"/>
      <c r="X281" s="69"/>
      <c r="Y281" s="69"/>
      <c r="Z281" s="69"/>
      <c r="AA281" s="69"/>
      <c r="AB281" s="69"/>
      <c r="AC281" s="69"/>
      <c r="AD281" s="69"/>
      <c r="AE281" s="69"/>
      <c r="AF281" s="69"/>
      <c r="AG281" s="69"/>
      <c r="AH281" s="69"/>
      <c r="AI281" s="69"/>
      <c r="AJ281" s="69"/>
      <c r="AK281" s="69"/>
      <c r="BE281" s="69"/>
    </row>
    <row r="282" spans="2:57" x14ac:dyDescent="0.25">
      <c r="B282"/>
      <c r="C282"/>
      <c r="D282"/>
      <c r="E282"/>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c r="AI282" s="69"/>
      <c r="AJ282" s="69"/>
      <c r="AK282" s="69"/>
      <c r="BE282" s="69"/>
    </row>
    <row r="283" spans="2:57" x14ac:dyDescent="0.25">
      <c r="B283"/>
      <c r="C283"/>
      <c r="D283"/>
      <c r="E283"/>
      <c r="I283" s="69"/>
      <c r="J283" s="69"/>
      <c r="K283" s="69"/>
      <c r="L283" s="69"/>
      <c r="M283" s="69"/>
      <c r="N283" s="69"/>
      <c r="O283" s="69"/>
      <c r="P283" s="69"/>
      <c r="Q283" s="69"/>
      <c r="R283" s="69"/>
      <c r="S283" s="69"/>
      <c r="T283" s="69"/>
      <c r="U283" s="69"/>
      <c r="V283" s="69"/>
      <c r="W283" s="69"/>
      <c r="X283" s="69"/>
      <c r="Y283" s="69"/>
      <c r="Z283" s="69"/>
      <c r="AA283" s="69"/>
      <c r="AB283" s="69"/>
      <c r="AC283" s="69"/>
      <c r="AD283" s="69"/>
      <c r="AE283" s="69"/>
      <c r="AF283" s="69"/>
      <c r="AG283" s="69"/>
      <c r="AH283" s="69"/>
      <c r="AI283" s="69"/>
      <c r="AJ283" s="69"/>
      <c r="AK283" s="69"/>
      <c r="BE283" s="69"/>
    </row>
    <row r="284" spans="2:57" x14ac:dyDescent="0.25">
      <c r="B284"/>
      <c r="C284"/>
      <c r="D284"/>
      <c r="E284"/>
      <c r="I284" s="69"/>
      <c r="J284" s="69"/>
      <c r="K284" s="69"/>
      <c r="L284" s="69"/>
      <c r="M284" s="69"/>
      <c r="N284" s="69"/>
      <c r="O284" s="69"/>
      <c r="P284" s="69"/>
      <c r="Q284" s="69"/>
      <c r="R284" s="69"/>
      <c r="S284" s="69"/>
      <c r="T284" s="69"/>
      <c r="U284" s="69"/>
      <c r="V284" s="69"/>
      <c r="W284" s="69"/>
      <c r="X284" s="69"/>
      <c r="Y284" s="69"/>
      <c r="Z284" s="69"/>
      <c r="AA284" s="69"/>
      <c r="AB284" s="69"/>
      <c r="AC284" s="69"/>
      <c r="AD284" s="69"/>
      <c r="AE284" s="69"/>
      <c r="AF284" s="69"/>
      <c r="AG284" s="69"/>
      <c r="AH284" s="69"/>
      <c r="AI284" s="69"/>
      <c r="AJ284" s="69"/>
      <c r="AK284" s="69"/>
      <c r="BE284" s="69"/>
    </row>
    <row r="285" spans="2:57" x14ac:dyDescent="0.25">
      <c r="B285"/>
      <c r="C285"/>
      <c r="D285"/>
      <c r="E285"/>
      <c r="I285" s="69"/>
      <c r="J285" s="69"/>
      <c r="K285" s="69"/>
      <c r="L285" s="69"/>
      <c r="M285" s="69"/>
      <c r="N285" s="69"/>
      <c r="O285" s="69"/>
      <c r="P285" s="69"/>
      <c r="Q285" s="69"/>
      <c r="R285" s="69"/>
      <c r="S285" s="69"/>
      <c r="T285" s="69"/>
      <c r="U285" s="69"/>
      <c r="V285" s="69"/>
      <c r="W285" s="69"/>
      <c r="X285" s="69"/>
      <c r="Y285" s="69"/>
      <c r="Z285" s="69"/>
      <c r="AA285" s="69"/>
      <c r="AB285" s="69"/>
      <c r="AC285" s="69"/>
      <c r="AD285" s="69"/>
      <c r="AE285" s="69"/>
      <c r="AF285" s="69"/>
      <c r="AG285" s="69"/>
      <c r="AH285" s="69"/>
      <c r="AI285" s="69"/>
      <c r="AJ285" s="69"/>
      <c r="AK285" s="69"/>
      <c r="BE285" s="69"/>
    </row>
    <row r="286" spans="2:57" x14ac:dyDescent="0.25">
      <c r="B286"/>
      <c r="C286"/>
      <c r="D286"/>
      <c r="E286"/>
      <c r="I286" s="69"/>
      <c r="J286" s="69"/>
      <c r="K286" s="69"/>
      <c r="L286" s="69"/>
      <c r="M286" s="69"/>
      <c r="N286" s="69"/>
      <c r="O286" s="69"/>
      <c r="P286" s="69"/>
      <c r="Q286" s="69"/>
      <c r="R286" s="69"/>
      <c r="S286" s="69"/>
      <c r="T286" s="69"/>
      <c r="U286" s="69"/>
      <c r="V286" s="69"/>
      <c r="W286" s="69"/>
      <c r="X286" s="69"/>
      <c r="Y286" s="69"/>
      <c r="Z286" s="69"/>
      <c r="AA286" s="69"/>
      <c r="AB286" s="69"/>
      <c r="AC286" s="69"/>
      <c r="AD286" s="69"/>
      <c r="AE286" s="69"/>
      <c r="AF286" s="69"/>
      <c r="AG286" s="69"/>
      <c r="AH286" s="69"/>
      <c r="AI286" s="69"/>
      <c r="AJ286" s="69"/>
      <c r="AK286" s="69"/>
      <c r="BE286" s="69"/>
    </row>
    <row r="287" spans="2:57" x14ac:dyDescent="0.25">
      <c r="B287"/>
      <c r="C287"/>
      <c r="D287"/>
      <c r="E287"/>
      <c r="I287" s="69"/>
      <c r="J287" s="69"/>
      <c r="K287" s="69"/>
      <c r="L287" s="69"/>
      <c r="M287" s="69"/>
      <c r="N287" s="69"/>
      <c r="O287" s="69"/>
      <c r="P287" s="69"/>
      <c r="Q287" s="69"/>
      <c r="R287" s="69"/>
      <c r="S287" s="69"/>
      <c r="T287" s="69"/>
      <c r="U287" s="69"/>
      <c r="V287" s="69"/>
      <c r="W287" s="69"/>
      <c r="X287" s="69"/>
      <c r="Y287" s="69"/>
      <c r="Z287" s="69"/>
      <c r="AA287" s="69"/>
      <c r="AB287" s="69"/>
      <c r="AC287" s="69"/>
      <c r="AD287" s="69"/>
      <c r="AE287" s="69"/>
      <c r="AF287" s="69"/>
      <c r="AG287" s="69"/>
      <c r="AH287" s="69"/>
      <c r="AI287" s="69"/>
      <c r="AJ287" s="69"/>
      <c r="AK287" s="69"/>
      <c r="BE287" s="69"/>
    </row>
    <row r="288" spans="2:57" x14ac:dyDescent="0.25">
      <c r="B288"/>
      <c r="C288"/>
      <c r="D288"/>
      <c r="E288"/>
      <c r="I288" s="69"/>
      <c r="J288" s="69"/>
      <c r="K288" s="69"/>
      <c r="L288" s="69"/>
      <c r="M288" s="69"/>
      <c r="N288" s="69"/>
      <c r="O288" s="69"/>
      <c r="P288" s="69"/>
      <c r="Q288" s="69"/>
      <c r="R288" s="69"/>
      <c r="S288" s="69"/>
      <c r="T288" s="69"/>
      <c r="U288" s="69"/>
      <c r="V288" s="69"/>
      <c r="W288" s="69"/>
      <c r="X288" s="69"/>
      <c r="Y288" s="69"/>
      <c r="Z288" s="69"/>
      <c r="AA288" s="69"/>
      <c r="AB288" s="69"/>
      <c r="AC288" s="69"/>
      <c r="AD288" s="69"/>
      <c r="AE288" s="69"/>
      <c r="AF288" s="69"/>
      <c r="AG288" s="69"/>
      <c r="AH288" s="69"/>
      <c r="AI288" s="69"/>
      <c r="AJ288" s="69"/>
      <c r="AK288" s="69"/>
      <c r="BE288" s="69"/>
    </row>
    <row r="289" spans="2:57" x14ac:dyDescent="0.25">
      <c r="B289"/>
      <c r="C289"/>
      <c r="D289"/>
      <c r="E289"/>
      <c r="I289" s="69"/>
      <c r="J289" s="69"/>
      <c r="K289" s="69"/>
      <c r="L289" s="69"/>
      <c r="M289" s="69"/>
      <c r="N289" s="69"/>
      <c r="O289" s="69"/>
      <c r="P289" s="69"/>
      <c r="Q289" s="69"/>
      <c r="R289" s="69"/>
      <c r="S289" s="69"/>
      <c r="T289" s="69"/>
      <c r="U289" s="69"/>
      <c r="V289" s="69"/>
      <c r="W289" s="69"/>
      <c r="X289" s="69"/>
      <c r="Y289" s="69"/>
      <c r="Z289" s="69"/>
      <c r="AA289" s="69"/>
      <c r="AB289" s="69"/>
      <c r="AC289" s="69"/>
      <c r="AD289" s="69"/>
      <c r="AE289" s="69"/>
      <c r="AF289" s="69"/>
      <c r="AG289" s="69"/>
      <c r="AH289" s="69"/>
      <c r="AI289" s="69"/>
      <c r="AJ289" s="69"/>
      <c r="AK289" s="69"/>
      <c r="BE289" s="69"/>
    </row>
    <row r="290" spans="2:57" x14ac:dyDescent="0.25">
      <c r="B290"/>
      <c r="C290"/>
      <c r="D290"/>
      <c r="E290"/>
      <c r="I290" s="69"/>
      <c r="J290" s="69"/>
      <c r="K290" s="69"/>
      <c r="L290" s="69"/>
      <c r="M290" s="69"/>
      <c r="N290" s="69"/>
      <c r="O290" s="69"/>
      <c r="P290" s="69"/>
      <c r="Q290" s="69"/>
      <c r="R290" s="69"/>
      <c r="S290" s="69"/>
      <c r="T290" s="69"/>
      <c r="U290" s="69"/>
      <c r="V290" s="69"/>
      <c r="W290" s="69"/>
      <c r="X290" s="69"/>
      <c r="Y290" s="69"/>
      <c r="Z290" s="69"/>
      <c r="AA290" s="69"/>
      <c r="AB290" s="69"/>
      <c r="AC290" s="69"/>
      <c r="AD290" s="69"/>
      <c r="AE290" s="69"/>
      <c r="AF290" s="69"/>
      <c r="AG290" s="69"/>
      <c r="AH290" s="69"/>
      <c r="AI290" s="69"/>
      <c r="AJ290" s="69"/>
      <c r="AK290" s="69"/>
      <c r="BE290" s="69"/>
    </row>
    <row r="291" spans="2:57" x14ac:dyDescent="0.25">
      <c r="B291"/>
      <c r="C291"/>
      <c r="D291"/>
      <c r="E291"/>
      <c r="I291" s="69"/>
      <c r="J291" s="69"/>
      <c r="K291" s="69"/>
      <c r="L291" s="69"/>
      <c r="M291" s="69"/>
      <c r="N291" s="69"/>
      <c r="O291" s="69"/>
      <c r="P291" s="69"/>
      <c r="Q291" s="69"/>
      <c r="R291" s="69"/>
      <c r="S291" s="69"/>
      <c r="T291" s="69"/>
      <c r="U291" s="69"/>
      <c r="V291" s="69"/>
      <c r="W291" s="69"/>
      <c r="X291" s="69"/>
      <c r="Y291" s="69"/>
      <c r="Z291" s="69"/>
      <c r="AA291" s="69"/>
      <c r="AB291" s="69"/>
      <c r="AC291" s="69"/>
      <c r="AD291" s="69"/>
      <c r="AE291" s="69"/>
      <c r="AF291" s="69"/>
      <c r="AG291" s="69"/>
      <c r="AH291" s="69"/>
      <c r="AI291" s="69"/>
      <c r="AJ291" s="69"/>
      <c r="AK291" s="69"/>
      <c r="BE291" s="69"/>
    </row>
    <row r="292" spans="2:57" x14ac:dyDescent="0.25">
      <c r="B292"/>
      <c r="C292"/>
      <c r="D292"/>
      <c r="E292"/>
      <c r="I292" s="69"/>
      <c r="J292" s="69"/>
      <c r="K292" s="69"/>
      <c r="L292" s="69"/>
      <c r="M292" s="69"/>
      <c r="N292" s="69"/>
      <c r="O292" s="69"/>
      <c r="P292" s="69"/>
      <c r="Q292" s="69"/>
      <c r="R292" s="69"/>
      <c r="S292" s="69"/>
      <c r="T292" s="69"/>
      <c r="U292" s="69"/>
      <c r="V292" s="69"/>
      <c r="W292" s="69"/>
      <c r="X292" s="69"/>
      <c r="Y292" s="69"/>
      <c r="Z292" s="69"/>
      <c r="AA292" s="69"/>
      <c r="AB292" s="69"/>
      <c r="AC292" s="69"/>
      <c r="AD292" s="69"/>
      <c r="AE292" s="69"/>
      <c r="AF292" s="69"/>
      <c r="AG292" s="69"/>
      <c r="AH292" s="69"/>
      <c r="AI292" s="69"/>
      <c r="AJ292" s="69"/>
      <c r="AK292" s="69"/>
      <c r="BE292" s="69"/>
    </row>
    <row r="293" spans="2:57" x14ac:dyDescent="0.25">
      <c r="B293"/>
      <c r="C293"/>
      <c r="D293"/>
      <c r="E293"/>
      <c r="I293" s="69"/>
      <c r="J293" s="69"/>
      <c r="K293" s="69"/>
      <c r="L293" s="69"/>
      <c r="M293" s="69"/>
      <c r="N293" s="69"/>
      <c r="O293" s="69"/>
      <c r="P293" s="69"/>
      <c r="Q293" s="69"/>
      <c r="R293" s="69"/>
      <c r="S293" s="69"/>
      <c r="T293" s="69"/>
      <c r="U293" s="69"/>
      <c r="V293" s="69"/>
      <c r="W293" s="69"/>
      <c r="X293" s="69"/>
      <c r="Y293" s="69"/>
      <c r="Z293" s="69"/>
      <c r="AA293" s="69"/>
      <c r="AB293" s="69"/>
      <c r="AC293" s="69"/>
      <c r="AD293" s="69"/>
      <c r="AE293" s="69"/>
      <c r="AF293" s="69"/>
      <c r="AG293" s="69"/>
      <c r="AH293" s="69"/>
      <c r="AI293" s="69"/>
      <c r="AJ293" s="69"/>
      <c r="AK293" s="69"/>
      <c r="BE293" s="69"/>
    </row>
    <row r="294" spans="2:57" x14ac:dyDescent="0.25">
      <c r="B294"/>
      <c r="C294"/>
      <c r="D294"/>
      <c r="E294"/>
      <c r="I294" s="69"/>
      <c r="J294" s="69"/>
      <c r="K294" s="69"/>
      <c r="L294" s="69"/>
      <c r="M294" s="69"/>
      <c r="N294" s="69"/>
      <c r="O294" s="69"/>
      <c r="P294" s="69"/>
      <c r="Q294" s="69"/>
      <c r="R294" s="69"/>
      <c r="S294" s="69"/>
      <c r="T294" s="69"/>
      <c r="U294" s="69"/>
      <c r="V294" s="69"/>
      <c r="W294" s="69"/>
      <c r="X294" s="69"/>
      <c r="Y294" s="69"/>
      <c r="Z294" s="69"/>
      <c r="AA294" s="69"/>
      <c r="AB294" s="69"/>
      <c r="AC294" s="69"/>
      <c r="AD294" s="69"/>
      <c r="AE294" s="69"/>
      <c r="AF294" s="69"/>
      <c r="AG294" s="69"/>
      <c r="AH294" s="69"/>
      <c r="AI294" s="69"/>
      <c r="AJ294" s="69"/>
      <c r="AK294" s="69"/>
      <c r="BE294" s="69"/>
    </row>
    <row r="295" spans="2:57" x14ac:dyDescent="0.25">
      <c r="B295"/>
      <c r="C295"/>
      <c r="D295"/>
      <c r="E295"/>
      <c r="I295" s="69"/>
      <c r="J295" s="69"/>
      <c r="K295" s="69"/>
      <c r="L295" s="69"/>
      <c r="M295" s="69"/>
      <c r="N295" s="69"/>
      <c r="O295" s="69"/>
      <c r="P295" s="69"/>
      <c r="Q295" s="69"/>
      <c r="R295" s="69"/>
      <c r="S295" s="69"/>
      <c r="T295" s="69"/>
      <c r="U295" s="69"/>
      <c r="V295" s="69"/>
      <c r="W295" s="69"/>
      <c r="X295" s="69"/>
      <c r="Y295" s="69"/>
      <c r="Z295" s="69"/>
      <c r="AA295" s="69"/>
      <c r="AB295" s="69"/>
      <c r="AC295" s="69"/>
      <c r="AD295" s="69"/>
      <c r="AE295" s="69"/>
      <c r="AF295" s="69"/>
      <c r="AG295" s="69"/>
      <c r="AH295" s="69"/>
      <c r="AI295" s="69"/>
      <c r="AJ295" s="69"/>
      <c r="AK295" s="69"/>
      <c r="BE295" s="69"/>
    </row>
    <row r="296" spans="2:57" x14ac:dyDescent="0.25">
      <c r="B296"/>
      <c r="C296"/>
      <c r="D296"/>
      <c r="E296"/>
      <c r="I296" s="69"/>
      <c r="J296" s="69"/>
      <c r="K296" s="69"/>
      <c r="L296" s="69"/>
      <c r="M296" s="69"/>
      <c r="N296" s="69"/>
      <c r="O296" s="69"/>
      <c r="P296" s="69"/>
      <c r="Q296" s="69"/>
      <c r="R296" s="69"/>
      <c r="S296" s="69"/>
      <c r="T296" s="69"/>
      <c r="U296" s="69"/>
      <c r="V296" s="69"/>
      <c r="W296" s="69"/>
      <c r="X296" s="69"/>
      <c r="Y296" s="69"/>
      <c r="Z296" s="69"/>
      <c r="AA296" s="69"/>
      <c r="AB296" s="69"/>
      <c r="AC296" s="69"/>
      <c r="AD296" s="69"/>
      <c r="AE296" s="69"/>
      <c r="AF296" s="69"/>
      <c r="AG296" s="69"/>
      <c r="AH296" s="69"/>
      <c r="AI296" s="69"/>
      <c r="AJ296" s="69"/>
      <c r="AK296" s="69"/>
      <c r="BE296" s="69"/>
    </row>
    <row r="297" spans="2:57" x14ac:dyDescent="0.25">
      <c r="B297"/>
      <c r="C297"/>
      <c r="D297"/>
      <c r="E297"/>
      <c r="I297" s="69"/>
      <c r="J297" s="69"/>
      <c r="K297" s="69"/>
      <c r="L297" s="69"/>
      <c r="M297" s="69"/>
      <c r="N297" s="69"/>
      <c r="O297" s="69"/>
      <c r="P297" s="69"/>
      <c r="Q297" s="69"/>
      <c r="R297" s="69"/>
      <c r="S297" s="69"/>
      <c r="T297" s="69"/>
      <c r="U297" s="69"/>
      <c r="V297" s="69"/>
      <c r="W297" s="69"/>
      <c r="X297" s="69"/>
      <c r="Y297" s="69"/>
      <c r="Z297" s="69"/>
      <c r="AA297" s="69"/>
      <c r="AB297" s="69"/>
      <c r="AC297" s="69"/>
      <c r="AD297" s="69"/>
      <c r="AE297" s="69"/>
      <c r="AF297" s="69"/>
      <c r="AG297" s="69"/>
      <c r="AH297" s="69"/>
      <c r="AI297" s="69"/>
      <c r="AJ297" s="69"/>
      <c r="AK297" s="69"/>
      <c r="BE297" s="69"/>
    </row>
    <row r="298" spans="2:57" x14ac:dyDescent="0.25">
      <c r="B298"/>
      <c r="C298"/>
      <c r="D298"/>
      <c r="E298"/>
      <c r="I298" s="69"/>
      <c r="J298" s="69"/>
      <c r="K298" s="69"/>
      <c r="L298" s="69"/>
      <c r="M298" s="69"/>
      <c r="N298" s="69"/>
      <c r="O298" s="69"/>
      <c r="P298" s="69"/>
      <c r="Q298" s="69"/>
      <c r="R298" s="69"/>
      <c r="S298" s="69"/>
      <c r="T298" s="69"/>
      <c r="U298" s="69"/>
      <c r="V298" s="69"/>
      <c r="W298" s="69"/>
      <c r="X298" s="69"/>
      <c r="Y298" s="69"/>
      <c r="Z298" s="69"/>
      <c r="AA298" s="69"/>
      <c r="AB298" s="69"/>
      <c r="AC298" s="69"/>
      <c r="AD298" s="69"/>
      <c r="AE298" s="69"/>
      <c r="AF298" s="69"/>
      <c r="AG298" s="69"/>
      <c r="AH298" s="69"/>
      <c r="AI298" s="69"/>
      <c r="AJ298" s="69"/>
      <c r="AK298" s="69"/>
      <c r="BE298" s="69"/>
    </row>
    <row r="299" spans="2:57" x14ac:dyDescent="0.25">
      <c r="B299"/>
      <c r="C299"/>
      <c r="D299"/>
      <c r="E299"/>
      <c r="I299" s="69"/>
      <c r="J299" s="69"/>
      <c r="K299" s="69"/>
      <c r="L299" s="69"/>
      <c r="M299" s="69"/>
      <c r="N299" s="69"/>
      <c r="O299" s="69"/>
      <c r="P299" s="69"/>
      <c r="Q299" s="69"/>
      <c r="R299" s="69"/>
      <c r="S299" s="69"/>
      <c r="T299" s="69"/>
      <c r="U299" s="69"/>
      <c r="V299" s="69"/>
      <c r="W299" s="69"/>
      <c r="X299" s="69"/>
      <c r="Y299" s="69"/>
      <c r="Z299" s="69"/>
      <c r="AA299" s="69"/>
      <c r="AB299" s="69"/>
      <c r="AC299" s="69"/>
      <c r="AD299" s="69"/>
      <c r="AE299" s="69"/>
      <c r="AF299" s="69"/>
      <c r="AG299" s="69"/>
      <c r="AH299" s="69"/>
      <c r="AI299" s="69"/>
      <c r="AJ299" s="69"/>
      <c r="AK299" s="69"/>
      <c r="BE299" s="69"/>
    </row>
    <row r="300" spans="2:57" x14ac:dyDescent="0.25">
      <c r="B300"/>
      <c r="C300"/>
      <c r="D300"/>
      <c r="E300"/>
      <c r="I300" s="69"/>
      <c r="J300" s="69"/>
      <c r="K300" s="69"/>
      <c r="L300" s="69"/>
      <c r="M300" s="69"/>
      <c r="N300" s="69"/>
      <c r="O300" s="69"/>
      <c r="P300" s="69"/>
      <c r="Q300" s="69"/>
      <c r="R300" s="69"/>
      <c r="S300" s="69"/>
      <c r="T300" s="69"/>
      <c r="U300" s="69"/>
      <c r="V300" s="69"/>
      <c r="W300" s="69"/>
      <c r="X300" s="69"/>
      <c r="Y300" s="69"/>
      <c r="Z300" s="69"/>
      <c r="AA300" s="69"/>
      <c r="AB300" s="69"/>
      <c r="AC300" s="69"/>
      <c r="AD300" s="69"/>
      <c r="AE300" s="69"/>
      <c r="AF300" s="69"/>
      <c r="AG300" s="69"/>
      <c r="AH300" s="69"/>
      <c r="AI300" s="69"/>
      <c r="AJ300" s="69"/>
      <c r="AK300" s="69"/>
      <c r="BE300" s="69"/>
    </row>
    <row r="301" spans="2:57" x14ac:dyDescent="0.25">
      <c r="B301"/>
      <c r="C301"/>
      <c r="D301"/>
      <c r="E301"/>
      <c r="I301" s="69"/>
      <c r="J301" s="69"/>
      <c r="K301" s="69"/>
      <c r="L301" s="69"/>
      <c r="M301" s="69"/>
      <c r="N301" s="69"/>
      <c r="O301" s="69"/>
      <c r="P301" s="69"/>
      <c r="Q301" s="69"/>
      <c r="R301" s="69"/>
      <c r="S301" s="69"/>
      <c r="T301" s="69"/>
      <c r="U301" s="69"/>
      <c r="V301" s="69"/>
      <c r="W301" s="69"/>
      <c r="X301" s="69"/>
      <c r="Y301" s="69"/>
      <c r="Z301" s="69"/>
      <c r="AA301" s="69"/>
      <c r="AB301" s="69"/>
      <c r="AC301" s="69"/>
      <c r="AD301" s="69"/>
      <c r="AE301" s="69"/>
      <c r="AF301" s="69"/>
      <c r="AG301" s="69"/>
      <c r="AH301" s="69"/>
      <c r="AI301" s="69"/>
      <c r="AJ301" s="69"/>
      <c r="AK301" s="69"/>
      <c r="BE301" s="69"/>
    </row>
    <row r="302" spans="2:57" x14ac:dyDescent="0.25">
      <c r="B302"/>
      <c r="C302"/>
      <c r="D302"/>
      <c r="E302"/>
      <c r="I302" s="69"/>
      <c r="J302" s="69"/>
      <c r="K302" s="69"/>
      <c r="L302" s="69"/>
      <c r="M302" s="69"/>
      <c r="N302" s="69"/>
      <c r="O302" s="69"/>
      <c r="P302" s="69"/>
      <c r="Q302" s="69"/>
      <c r="R302" s="69"/>
      <c r="S302" s="69"/>
      <c r="T302" s="69"/>
      <c r="U302" s="69"/>
      <c r="V302" s="69"/>
      <c r="W302" s="69"/>
      <c r="X302" s="69"/>
      <c r="Y302" s="69"/>
      <c r="Z302" s="69"/>
      <c r="AA302" s="69"/>
      <c r="AB302" s="69"/>
      <c r="AC302" s="69"/>
      <c r="AD302" s="69"/>
      <c r="AE302" s="69"/>
      <c r="AF302" s="69"/>
      <c r="AG302" s="69"/>
      <c r="AH302" s="69"/>
      <c r="AI302" s="69"/>
      <c r="AJ302" s="69"/>
      <c r="AK302" s="69"/>
      <c r="BE302" s="69"/>
    </row>
    <row r="303" spans="2:57" x14ac:dyDescent="0.25">
      <c r="B303"/>
      <c r="C303"/>
      <c r="D303"/>
      <c r="E303"/>
      <c r="I303" s="69"/>
      <c r="J303" s="69"/>
      <c r="K303" s="69"/>
      <c r="L303" s="69"/>
      <c r="M303" s="69"/>
      <c r="N303" s="69"/>
      <c r="O303" s="69"/>
      <c r="P303" s="69"/>
      <c r="Q303" s="69"/>
      <c r="R303" s="69"/>
      <c r="S303" s="69"/>
      <c r="T303" s="69"/>
      <c r="U303" s="69"/>
      <c r="V303" s="69"/>
      <c r="W303" s="69"/>
      <c r="X303" s="69"/>
      <c r="Y303" s="69"/>
      <c r="Z303" s="69"/>
      <c r="AA303" s="69"/>
      <c r="AB303" s="69"/>
      <c r="AC303" s="69"/>
      <c r="AD303" s="69"/>
      <c r="AE303" s="69"/>
      <c r="AF303" s="69"/>
      <c r="AG303" s="69"/>
      <c r="AH303" s="69"/>
      <c r="AI303" s="69"/>
      <c r="AJ303" s="69"/>
      <c r="AK303" s="69"/>
      <c r="BE303" s="69"/>
    </row>
    <row r="304" spans="2:57" x14ac:dyDescent="0.25">
      <c r="B304"/>
      <c r="C304"/>
      <c r="D304"/>
      <c r="E304"/>
      <c r="I304" s="69"/>
      <c r="J304" s="69"/>
      <c r="K304" s="69"/>
      <c r="L304" s="69"/>
      <c r="M304" s="69"/>
      <c r="N304" s="69"/>
      <c r="O304" s="69"/>
      <c r="P304" s="69"/>
      <c r="Q304" s="69"/>
      <c r="R304" s="69"/>
      <c r="S304" s="69"/>
      <c r="T304" s="69"/>
      <c r="U304" s="69"/>
      <c r="V304" s="69"/>
      <c r="W304" s="69"/>
      <c r="X304" s="69"/>
      <c r="Y304" s="69"/>
      <c r="Z304" s="69"/>
      <c r="AA304" s="69"/>
      <c r="AB304" s="69"/>
      <c r="AC304" s="69"/>
      <c r="AD304" s="69"/>
      <c r="AE304" s="69"/>
      <c r="AF304" s="69"/>
      <c r="AG304" s="69"/>
      <c r="AH304" s="69"/>
      <c r="AI304" s="69"/>
      <c r="AJ304" s="69"/>
      <c r="AK304" s="69"/>
      <c r="BE304" s="69"/>
    </row>
    <row r="305" spans="2:57" x14ac:dyDescent="0.25">
      <c r="B305"/>
      <c r="C305"/>
      <c r="D305"/>
      <c r="E305"/>
      <c r="I305" s="69"/>
      <c r="J305" s="69"/>
      <c r="K305" s="69"/>
      <c r="L305" s="69"/>
      <c r="M305" s="69"/>
      <c r="N305" s="69"/>
      <c r="O305" s="69"/>
      <c r="P305" s="69"/>
      <c r="Q305" s="69"/>
      <c r="R305" s="69"/>
      <c r="S305" s="69"/>
      <c r="T305" s="69"/>
      <c r="U305" s="69"/>
      <c r="V305" s="69"/>
      <c r="W305" s="69"/>
      <c r="X305" s="69"/>
      <c r="Y305" s="69"/>
      <c r="Z305" s="69"/>
      <c r="AA305" s="69"/>
      <c r="AB305" s="69"/>
      <c r="AC305" s="69"/>
      <c r="AD305" s="69"/>
      <c r="AE305" s="69"/>
      <c r="AF305" s="69"/>
      <c r="AG305" s="69"/>
      <c r="AH305" s="69"/>
      <c r="AI305" s="69"/>
      <c r="AJ305" s="69"/>
      <c r="AK305" s="69"/>
      <c r="BE305" s="69"/>
    </row>
    <row r="306" spans="2:57" x14ac:dyDescent="0.25">
      <c r="B306"/>
      <c r="C306"/>
      <c r="D306"/>
      <c r="E306"/>
      <c r="I306" s="69"/>
      <c r="J306" s="69"/>
      <c r="K306" s="69"/>
      <c r="L306" s="69"/>
      <c r="M306" s="69"/>
      <c r="N306" s="69"/>
      <c r="O306" s="69"/>
      <c r="P306" s="69"/>
      <c r="Q306" s="69"/>
      <c r="R306" s="69"/>
      <c r="S306" s="69"/>
      <c r="T306" s="69"/>
      <c r="U306" s="69"/>
      <c r="V306" s="69"/>
      <c r="W306" s="69"/>
      <c r="X306" s="69"/>
      <c r="Y306" s="69"/>
      <c r="Z306" s="69"/>
      <c r="AA306" s="69"/>
      <c r="AB306" s="69"/>
      <c r="AC306" s="69"/>
      <c r="AD306" s="69"/>
      <c r="AE306" s="69"/>
      <c r="AF306" s="69"/>
      <c r="AG306" s="69"/>
      <c r="AH306" s="69"/>
      <c r="AI306" s="69"/>
      <c r="AJ306" s="69"/>
      <c r="AK306" s="69"/>
      <c r="BE306" s="69"/>
    </row>
    <row r="307" spans="2:57" x14ac:dyDescent="0.25">
      <c r="B307"/>
      <c r="C307"/>
      <c r="D307"/>
      <c r="E307"/>
      <c r="I307" s="69"/>
      <c r="J307" s="69"/>
      <c r="K307" s="69"/>
      <c r="L307" s="69"/>
      <c r="M307" s="69"/>
      <c r="N307" s="69"/>
      <c r="O307" s="69"/>
      <c r="P307" s="69"/>
      <c r="Q307" s="69"/>
      <c r="R307" s="69"/>
      <c r="S307" s="69"/>
      <c r="T307" s="69"/>
      <c r="U307" s="69"/>
      <c r="V307" s="69"/>
      <c r="W307" s="69"/>
      <c r="X307" s="69"/>
      <c r="Y307" s="69"/>
      <c r="Z307" s="69"/>
      <c r="AA307" s="69"/>
      <c r="AB307" s="69"/>
      <c r="AC307" s="69"/>
      <c r="AD307" s="69"/>
      <c r="AE307" s="69"/>
      <c r="AF307" s="69"/>
      <c r="AG307" s="69"/>
      <c r="AH307" s="69"/>
      <c r="AI307" s="69"/>
      <c r="AJ307" s="69"/>
      <c r="AK307" s="69"/>
      <c r="BE307" s="69"/>
    </row>
    <row r="308" spans="2:57" x14ac:dyDescent="0.25">
      <c r="B308"/>
      <c r="C308"/>
      <c r="D308"/>
      <c r="E308"/>
      <c r="I308" s="69"/>
      <c r="J308" s="69"/>
      <c r="K308" s="69"/>
      <c r="L308" s="69"/>
      <c r="M308" s="69"/>
      <c r="N308" s="69"/>
      <c r="O308" s="69"/>
      <c r="P308" s="69"/>
      <c r="Q308" s="69"/>
      <c r="R308" s="69"/>
      <c r="S308" s="69"/>
      <c r="T308" s="69"/>
      <c r="U308" s="69"/>
      <c r="V308" s="69"/>
      <c r="W308" s="69"/>
      <c r="X308" s="69"/>
      <c r="Y308" s="69"/>
      <c r="Z308" s="69"/>
      <c r="AA308" s="69"/>
      <c r="AB308" s="69"/>
      <c r="AC308" s="69"/>
      <c r="AD308" s="69"/>
      <c r="AE308" s="69"/>
      <c r="AF308" s="69"/>
      <c r="AG308" s="69"/>
      <c r="AH308" s="69"/>
      <c r="AI308" s="69"/>
      <c r="AJ308" s="69"/>
      <c r="AK308" s="69"/>
      <c r="BE308" s="69"/>
    </row>
    <row r="309" spans="2:57" x14ac:dyDescent="0.25">
      <c r="B309"/>
      <c r="C309"/>
      <c r="D309"/>
      <c r="E309"/>
      <c r="I309" s="69"/>
      <c r="J309" s="69"/>
      <c r="K309" s="69"/>
      <c r="L309" s="69"/>
      <c r="M309" s="69"/>
      <c r="N309" s="69"/>
      <c r="O309" s="69"/>
      <c r="P309" s="69"/>
      <c r="Q309" s="69"/>
      <c r="R309" s="69"/>
      <c r="S309" s="69"/>
      <c r="T309" s="69"/>
      <c r="U309" s="69"/>
      <c r="V309" s="69"/>
      <c r="W309" s="69"/>
      <c r="X309" s="69"/>
      <c r="Y309" s="69"/>
      <c r="Z309" s="69"/>
      <c r="AA309" s="69"/>
      <c r="AB309" s="69"/>
      <c r="AC309" s="69"/>
      <c r="AD309" s="69"/>
      <c r="AE309" s="69"/>
      <c r="AF309" s="69"/>
      <c r="AG309" s="69"/>
      <c r="AH309" s="69"/>
      <c r="AI309" s="69"/>
      <c r="AJ309" s="69"/>
      <c r="AK309" s="69"/>
      <c r="BE309" s="69"/>
    </row>
    <row r="310" spans="2:57" x14ac:dyDescent="0.25">
      <c r="B310"/>
      <c r="C310"/>
      <c r="D310"/>
      <c r="E310"/>
      <c r="I310" s="69"/>
      <c r="J310" s="69"/>
      <c r="K310" s="69"/>
      <c r="L310" s="69"/>
      <c r="M310" s="69"/>
      <c r="N310" s="69"/>
      <c r="O310" s="69"/>
      <c r="P310" s="69"/>
      <c r="Q310" s="69"/>
      <c r="R310" s="69"/>
      <c r="S310" s="69"/>
      <c r="T310" s="69"/>
      <c r="U310" s="69"/>
      <c r="V310" s="69"/>
      <c r="W310" s="69"/>
      <c r="X310" s="69"/>
      <c r="Y310" s="69"/>
      <c r="Z310" s="69"/>
      <c r="AA310" s="69"/>
      <c r="AB310" s="69"/>
      <c r="AC310" s="69"/>
      <c r="AD310" s="69"/>
      <c r="AE310" s="69"/>
      <c r="AF310" s="69"/>
      <c r="AG310" s="69"/>
      <c r="AH310" s="69"/>
      <c r="AI310" s="69"/>
      <c r="AJ310" s="69"/>
      <c r="AK310" s="69"/>
      <c r="BE310" s="69"/>
    </row>
    <row r="311" spans="2:57" x14ac:dyDescent="0.25">
      <c r="B311"/>
      <c r="C311"/>
      <c r="D311"/>
      <c r="E311"/>
      <c r="I311" s="69"/>
      <c r="J311" s="69"/>
      <c r="K311" s="69"/>
      <c r="L311" s="69"/>
      <c r="M311" s="69"/>
      <c r="N311" s="69"/>
      <c r="O311" s="69"/>
      <c r="P311" s="69"/>
      <c r="Q311" s="69"/>
      <c r="R311" s="69"/>
      <c r="S311" s="69"/>
      <c r="T311" s="69"/>
      <c r="U311" s="69"/>
      <c r="V311" s="69"/>
      <c r="W311" s="69"/>
      <c r="X311" s="69"/>
      <c r="Y311" s="69"/>
      <c r="Z311" s="69"/>
      <c r="AA311" s="69"/>
      <c r="AB311" s="69"/>
      <c r="AC311" s="69"/>
      <c r="AD311" s="69"/>
      <c r="AE311" s="69"/>
      <c r="AF311" s="69"/>
      <c r="AG311" s="69"/>
      <c r="AH311" s="69"/>
      <c r="AI311" s="69"/>
      <c r="AJ311" s="69"/>
      <c r="AK311" s="69"/>
      <c r="BE311" s="69"/>
    </row>
    <row r="312" spans="2:57" x14ac:dyDescent="0.25">
      <c r="B312"/>
      <c r="C312"/>
      <c r="D312"/>
      <c r="E312"/>
      <c r="I312" s="69"/>
      <c r="J312" s="69"/>
      <c r="K312" s="69"/>
      <c r="L312" s="69"/>
      <c r="M312" s="69"/>
      <c r="N312" s="69"/>
      <c r="O312" s="69"/>
      <c r="P312" s="69"/>
      <c r="Q312" s="69"/>
      <c r="R312" s="69"/>
      <c r="S312" s="69"/>
      <c r="T312" s="69"/>
      <c r="U312" s="69"/>
      <c r="V312" s="69"/>
      <c r="W312" s="69"/>
      <c r="X312" s="69"/>
      <c r="Y312" s="69"/>
      <c r="Z312" s="69"/>
      <c r="AA312" s="69"/>
      <c r="AB312" s="69"/>
      <c r="AC312" s="69"/>
      <c r="AD312" s="69"/>
      <c r="AE312" s="69"/>
      <c r="AF312" s="69"/>
      <c r="AG312" s="69"/>
      <c r="AH312" s="69"/>
      <c r="AI312" s="69"/>
      <c r="AJ312" s="69"/>
      <c r="AK312" s="69"/>
      <c r="BE312" s="69"/>
    </row>
    <row r="313" spans="2:57" x14ac:dyDescent="0.25">
      <c r="B313"/>
      <c r="C313"/>
      <c r="D313"/>
      <c r="E313"/>
      <c r="I313" s="69"/>
      <c r="J313" s="69"/>
      <c r="K313" s="69"/>
      <c r="L313" s="69"/>
      <c r="M313" s="69"/>
      <c r="N313" s="69"/>
      <c r="O313" s="69"/>
      <c r="P313" s="69"/>
      <c r="Q313" s="69"/>
      <c r="R313" s="69"/>
      <c r="S313" s="69"/>
      <c r="T313" s="69"/>
      <c r="U313" s="69"/>
      <c r="V313" s="69"/>
      <c r="W313" s="69"/>
      <c r="X313" s="69"/>
      <c r="Y313" s="69"/>
      <c r="Z313" s="69"/>
      <c r="AA313" s="69"/>
      <c r="AB313" s="69"/>
      <c r="AC313" s="69"/>
      <c r="AD313" s="69"/>
      <c r="AE313" s="69"/>
      <c r="AF313" s="69"/>
      <c r="AG313" s="69"/>
      <c r="AH313" s="69"/>
      <c r="AI313" s="69"/>
      <c r="AJ313" s="69"/>
      <c r="AK313" s="69"/>
      <c r="BE313" s="69"/>
    </row>
    <row r="314" spans="2:57" x14ac:dyDescent="0.25">
      <c r="B314"/>
      <c r="C314"/>
      <c r="D314"/>
      <c r="E314"/>
      <c r="I314" s="69"/>
      <c r="J314" s="69"/>
      <c r="K314" s="69"/>
      <c r="L314" s="69"/>
      <c r="M314" s="69"/>
      <c r="N314" s="69"/>
      <c r="O314" s="69"/>
      <c r="P314" s="69"/>
      <c r="Q314" s="69"/>
      <c r="R314" s="69"/>
      <c r="S314" s="69"/>
      <c r="T314" s="69"/>
      <c r="U314" s="69"/>
      <c r="V314" s="69"/>
      <c r="W314" s="69"/>
      <c r="X314" s="69"/>
      <c r="Y314" s="69"/>
      <c r="Z314" s="69"/>
      <c r="AA314" s="69"/>
      <c r="AB314" s="69"/>
      <c r="AC314" s="69"/>
      <c r="AD314" s="69"/>
      <c r="AE314" s="69"/>
      <c r="AF314" s="69"/>
      <c r="AG314" s="69"/>
      <c r="AH314" s="69"/>
      <c r="AI314" s="69"/>
      <c r="AJ314" s="69"/>
      <c r="AK314" s="69"/>
      <c r="BE314" s="69"/>
    </row>
    <row r="315" spans="2:57" x14ac:dyDescent="0.25">
      <c r="B315"/>
      <c r="C315"/>
      <c r="D315"/>
      <c r="E315"/>
      <c r="I315" s="69"/>
      <c r="J315" s="69"/>
      <c r="K315" s="69"/>
      <c r="L315" s="69"/>
      <c r="M315" s="69"/>
      <c r="N315" s="69"/>
      <c r="O315" s="69"/>
      <c r="P315" s="69"/>
      <c r="Q315" s="69"/>
      <c r="R315" s="69"/>
      <c r="S315" s="69"/>
      <c r="T315" s="69"/>
      <c r="U315" s="69"/>
      <c r="V315" s="69"/>
      <c r="W315" s="69"/>
      <c r="X315" s="69"/>
      <c r="Y315" s="69"/>
      <c r="Z315" s="69"/>
      <c r="AA315" s="69"/>
      <c r="AB315" s="69"/>
      <c r="AC315" s="69"/>
      <c r="AD315" s="69"/>
      <c r="AE315" s="69"/>
      <c r="AF315" s="69"/>
      <c r="AG315" s="69"/>
      <c r="AH315" s="69"/>
      <c r="AI315" s="69"/>
      <c r="AJ315" s="69"/>
      <c r="AK315" s="69"/>
      <c r="BE315" s="69"/>
    </row>
    <row r="316" spans="2:57" x14ac:dyDescent="0.25">
      <c r="B316"/>
      <c r="C316"/>
      <c r="D316"/>
      <c r="E316"/>
      <c r="I316" s="69"/>
      <c r="J316" s="69"/>
      <c r="K316" s="69"/>
      <c r="L316" s="69"/>
      <c r="M316" s="69"/>
      <c r="N316" s="69"/>
      <c r="O316" s="69"/>
      <c r="P316" s="69"/>
      <c r="Q316" s="69"/>
      <c r="R316" s="69"/>
      <c r="S316" s="69"/>
      <c r="T316" s="69"/>
      <c r="U316" s="69"/>
      <c r="V316" s="69"/>
      <c r="W316" s="69"/>
      <c r="X316" s="69"/>
      <c r="Y316" s="69"/>
      <c r="Z316" s="69"/>
      <c r="AA316" s="69"/>
      <c r="AB316" s="69"/>
      <c r="AC316" s="69"/>
      <c r="AD316" s="69"/>
      <c r="AE316" s="69"/>
      <c r="AF316" s="69"/>
      <c r="AG316" s="69"/>
      <c r="AH316" s="69"/>
      <c r="AI316" s="69"/>
      <c r="AJ316" s="69"/>
      <c r="AK316" s="69"/>
      <c r="BE316" s="69"/>
    </row>
    <row r="317" spans="2:57" x14ac:dyDescent="0.25">
      <c r="B317"/>
      <c r="C317"/>
      <c r="D317"/>
      <c r="E317"/>
      <c r="I317" s="69"/>
      <c r="J317" s="69"/>
      <c r="K317" s="69"/>
      <c r="L317" s="69"/>
      <c r="M317" s="69"/>
      <c r="N317" s="69"/>
      <c r="O317" s="69"/>
      <c r="P317" s="69"/>
      <c r="Q317" s="69"/>
      <c r="R317" s="69"/>
      <c r="S317" s="69"/>
      <c r="T317" s="69"/>
      <c r="U317" s="69"/>
      <c r="V317" s="69"/>
      <c r="W317" s="69"/>
      <c r="X317" s="69"/>
      <c r="Y317" s="69"/>
      <c r="Z317" s="69"/>
      <c r="AA317" s="69"/>
      <c r="AB317" s="69"/>
      <c r="AC317" s="69"/>
      <c r="AD317" s="69"/>
      <c r="AE317" s="69"/>
      <c r="AF317" s="69"/>
      <c r="AG317" s="69"/>
      <c r="AH317" s="69"/>
      <c r="AI317" s="69"/>
      <c r="AJ317" s="69"/>
      <c r="AK317" s="69"/>
      <c r="BE317" s="69"/>
    </row>
    <row r="318" spans="2:57" x14ac:dyDescent="0.25">
      <c r="B318"/>
      <c r="C318"/>
      <c r="D318"/>
      <c r="E318"/>
      <c r="I318" s="69"/>
      <c r="J318" s="69"/>
      <c r="K318" s="69"/>
      <c r="L318" s="69"/>
      <c r="M318" s="69"/>
      <c r="N318" s="69"/>
      <c r="O318" s="69"/>
      <c r="P318" s="69"/>
      <c r="Q318" s="69"/>
      <c r="R318" s="69"/>
      <c r="S318" s="69"/>
      <c r="T318" s="69"/>
      <c r="U318" s="69"/>
      <c r="V318" s="69"/>
      <c r="W318" s="69"/>
      <c r="X318" s="69"/>
      <c r="Y318" s="69"/>
      <c r="Z318" s="69"/>
      <c r="AA318" s="69"/>
      <c r="AB318" s="69"/>
      <c r="AC318" s="69"/>
      <c r="AD318" s="69"/>
      <c r="AE318" s="69"/>
      <c r="AF318" s="69"/>
      <c r="AG318" s="69"/>
      <c r="AH318" s="69"/>
      <c r="AI318" s="69"/>
      <c r="AJ318" s="69"/>
      <c r="AK318" s="69"/>
      <c r="BE318" s="69"/>
    </row>
    <row r="319" spans="2:57" x14ac:dyDescent="0.25">
      <c r="B319"/>
      <c r="C319"/>
      <c r="D319"/>
      <c r="E319"/>
      <c r="I319" s="69"/>
      <c r="J319" s="69"/>
      <c r="K319" s="69"/>
      <c r="L319" s="69"/>
      <c r="M319" s="69"/>
      <c r="N319" s="69"/>
      <c r="O319" s="69"/>
      <c r="P319" s="69"/>
      <c r="Q319" s="69"/>
      <c r="R319" s="69"/>
      <c r="S319" s="69"/>
      <c r="T319" s="69"/>
      <c r="U319" s="69"/>
      <c r="V319" s="69"/>
      <c r="W319" s="69"/>
      <c r="X319" s="69"/>
      <c r="Y319" s="69"/>
      <c r="Z319" s="69"/>
      <c r="AA319" s="69"/>
      <c r="AB319" s="69"/>
      <c r="AC319" s="69"/>
      <c r="AD319" s="69"/>
      <c r="AE319" s="69"/>
      <c r="AF319" s="69"/>
      <c r="AG319" s="69"/>
      <c r="AH319" s="69"/>
      <c r="AI319" s="69"/>
      <c r="AJ319" s="69"/>
      <c r="AK319" s="69"/>
      <c r="BE319" s="69"/>
    </row>
    <row r="320" spans="2:57" x14ac:dyDescent="0.25">
      <c r="B320"/>
      <c r="C320"/>
      <c r="D320"/>
      <c r="E320"/>
      <c r="I320" s="69"/>
      <c r="J320" s="69"/>
      <c r="K320" s="69"/>
      <c r="L320" s="69"/>
      <c r="M320" s="69"/>
      <c r="N320" s="69"/>
      <c r="O320" s="69"/>
      <c r="P320" s="69"/>
      <c r="Q320" s="69"/>
      <c r="R320" s="69"/>
      <c r="S320" s="69"/>
      <c r="T320" s="69"/>
      <c r="U320" s="69"/>
      <c r="V320" s="69"/>
      <c r="W320" s="69"/>
      <c r="X320" s="69"/>
      <c r="Y320" s="69"/>
      <c r="Z320" s="69"/>
      <c r="AA320" s="69"/>
      <c r="AB320" s="69"/>
      <c r="AC320" s="69"/>
      <c r="AD320" s="69"/>
      <c r="AE320" s="69"/>
      <c r="AF320" s="69"/>
      <c r="AG320" s="69"/>
      <c r="AH320" s="69"/>
      <c r="AI320" s="69"/>
      <c r="AJ320" s="69"/>
      <c r="AK320" s="69"/>
      <c r="BE320" s="69"/>
    </row>
    <row r="321" spans="2:57" x14ac:dyDescent="0.25">
      <c r="B321"/>
      <c r="C321"/>
      <c r="D321"/>
      <c r="E321"/>
      <c r="I321" s="69"/>
      <c r="J321" s="69"/>
      <c r="K321" s="69"/>
      <c r="L321" s="69"/>
      <c r="M321" s="69"/>
      <c r="N321" s="69"/>
      <c r="O321" s="69"/>
      <c r="P321" s="69"/>
      <c r="Q321" s="69"/>
      <c r="R321" s="69"/>
      <c r="S321" s="69"/>
      <c r="T321" s="69"/>
      <c r="U321" s="69"/>
      <c r="V321" s="69"/>
      <c r="W321" s="69"/>
      <c r="X321" s="69"/>
      <c r="Y321" s="69"/>
      <c r="Z321" s="69"/>
      <c r="AA321" s="69"/>
      <c r="AB321" s="69"/>
      <c r="AC321" s="69"/>
      <c r="AD321" s="69"/>
      <c r="AE321" s="69"/>
      <c r="AF321" s="69"/>
      <c r="AG321" s="69"/>
      <c r="AH321" s="69"/>
      <c r="AI321" s="69"/>
      <c r="AJ321" s="69"/>
      <c r="AK321" s="69"/>
      <c r="BE321" s="69"/>
    </row>
    <row r="322" spans="2:57" x14ac:dyDescent="0.25">
      <c r="B322"/>
      <c r="C322"/>
      <c r="D322"/>
      <c r="E322"/>
      <c r="I322" s="69"/>
      <c r="J322" s="69"/>
      <c r="K322" s="69"/>
      <c r="L322" s="69"/>
      <c r="M322" s="69"/>
      <c r="N322" s="69"/>
      <c r="O322" s="69"/>
      <c r="P322" s="69"/>
      <c r="Q322" s="69"/>
      <c r="R322" s="69"/>
      <c r="S322" s="69"/>
      <c r="T322" s="69"/>
      <c r="U322" s="69"/>
      <c r="V322" s="69"/>
      <c r="W322" s="69"/>
      <c r="X322" s="69"/>
      <c r="Y322" s="69"/>
      <c r="Z322" s="69"/>
      <c r="AA322" s="69"/>
      <c r="AB322" s="69"/>
      <c r="AC322" s="69"/>
      <c r="AD322" s="69"/>
      <c r="AE322" s="69"/>
      <c r="AF322" s="69"/>
      <c r="AG322" s="69"/>
      <c r="AH322" s="69"/>
      <c r="AI322" s="69"/>
      <c r="AJ322" s="69"/>
      <c r="AK322" s="69"/>
      <c r="BE322" s="69"/>
    </row>
    <row r="323" spans="2:57" x14ac:dyDescent="0.25">
      <c r="B323"/>
      <c r="C323"/>
      <c r="D323"/>
      <c r="E323"/>
      <c r="I323" s="69"/>
      <c r="J323" s="69"/>
      <c r="K323" s="69"/>
      <c r="L323" s="69"/>
      <c r="M323" s="69"/>
      <c r="N323" s="69"/>
      <c r="O323" s="69"/>
      <c r="P323" s="69"/>
      <c r="Q323" s="69"/>
      <c r="R323" s="69"/>
      <c r="S323" s="69"/>
      <c r="T323" s="69"/>
      <c r="U323" s="69"/>
      <c r="V323" s="69"/>
      <c r="W323" s="69"/>
      <c r="X323" s="69"/>
      <c r="Y323" s="69"/>
      <c r="Z323" s="69"/>
      <c r="AA323" s="69"/>
      <c r="AB323" s="69"/>
      <c r="AC323" s="69"/>
      <c r="AD323" s="69"/>
      <c r="AE323" s="69"/>
      <c r="AF323" s="69"/>
      <c r="AG323" s="69"/>
      <c r="AH323" s="69"/>
      <c r="AI323" s="69"/>
      <c r="AJ323" s="69"/>
      <c r="AK323" s="69"/>
      <c r="BE323" s="69"/>
    </row>
    <row r="324" spans="2:57" x14ac:dyDescent="0.25">
      <c r="B324"/>
      <c r="C324"/>
      <c r="D324"/>
      <c r="E324"/>
      <c r="I324" s="69"/>
      <c r="J324" s="69"/>
      <c r="K324" s="69"/>
      <c r="L324" s="69"/>
      <c r="M324" s="69"/>
      <c r="N324" s="69"/>
      <c r="O324" s="69"/>
      <c r="P324" s="69"/>
      <c r="Q324" s="69"/>
      <c r="R324" s="69"/>
      <c r="S324" s="69"/>
      <c r="T324" s="69"/>
      <c r="U324" s="69"/>
      <c r="V324" s="69"/>
      <c r="W324" s="69"/>
      <c r="X324" s="69"/>
      <c r="Y324" s="69"/>
      <c r="Z324" s="69"/>
      <c r="AA324" s="69"/>
      <c r="AB324" s="69"/>
      <c r="AC324" s="69"/>
      <c r="AD324" s="69"/>
      <c r="AE324" s="69"/>
      <c r="AF324" s="69"/>
      <c r="AG324" s="69"/>
      <c r="AH324" s="69"/>
      <c r="AI324" s="69"/>
      <c r="AJ324" s="69"/>
      <c r="AK324" s="69"/>
      <c r="BE324" s="69"/>
    </row>
    <row r="325" spans="2:57" x14ac:dyDescent="0.25">
      <c r="B325"/>
      <c r="C325"/>
      <c r="D325"/>
      <c r="E325"/>
      <c r="I325" s="69"/>
      <c r="J325" s="69"/>
      <c r="K325" s="69"/>
      <c r="L325" s="69"/>
      <c r="M325" s="69"/>
      <c r="N325" s="69"/>
      <c r="O325" s="69"/>
      <c r="P325" s="69"/>
      <c r="Q325" s="69"/>
      <c r="R325" s="69"/>
      <c r="S325" s="69"/>
      <c r="T325" s="69"/>
      <c r="U325" s="69"/>
      <c r="V325" s="69"/>
      <c r="W325" s="69"/>
      <c r="X325" s="69"/>
      <c r="Y325" s="69"/>
      <c r="Z325" s="69"/>
      <c r="AA325" s="69"/>
      <c r="AB325" s="69"/>
      <c r="AC325" s="69"/>
      <c r="AD325" s="69"/>
      <c r="AE325" s="69"/>
      <c r="AF325" s="69"/>
      <c r="AG325" s="69"/>
      <c r="AH325" s="69"/>
      <c r="AI325" s="69"/>
      <c r="AJ325" s="69"/>
      <c r="AK325" s="69"/>
      <c r="BE325" s="69"/>
    </row>
    <row r="326" spans="2:57" x14ac:dyDescent="0.25">
      <c r="B326"/>
      <c r="C326"/>
      <c r="D326"/>
      <c r="E326"/>
      <c r="I326" s="69"/>
      <c r="J326" s="69"/>
      <c r="K326" s="69"/>
      <c r="L326" s="69"/>
      <c r="M326" s="69"/>
      <c r="N326" s="69"/>
      <c r="O326" s="69"/>
      <c r="P326" s="69"/>
      <c r="Q326" s="69"/>
      <c r="R326" s="69"/>
      <c r="S326" s="69"/>
      <c r="T326" s="69"/>
      <c r="U326" s="69"/>
      <c r="V326" s="69"/>
      <c r="W326" s="69"/>
      <c r="X326" s="69"/>
      <c r="Y326" s="69"/>
      <c r="Z326" s="69"/>
      <c r="AA326" s="69"/>
      <c r="AB326" s="69"/>
      <c r="AC326" s="69"/>
      <c r="AD326" s="69"/>
      <c r="AE326" s="69"/>
      <c r="AF326" s="69"/>
      <c r="AG326" s="69"/>
      <c r="AH326" s="69"/>
      <c r="AI326" s="69"/>
      <c r="AJ326" s="69"/>
      <c r="AK326" s="69"/>
      <c r="BE326" s="69"/>
    </row>
    <row r="327" spans="2:57" x14ac:dyDescent="0.25">
      <c r="B327"/>
      <c r="C327"/>
      <c r="D327"/>
      <c r="E327"/>
      <c r="I327" s="69"/>
      <c r="J327" s="69"/>
      <c r="K327" s="69"/>
      <c r="L327" s="69"/>
      <c r="M327" s="69"/>
      <c r="N327" s="69"/>
      <c r="O327" s="69"/>
      <c r="P327" s="69"/>
      <c r="Q327" s="69"/>
      <c r="R327" s="69"/>
      <c r="S327" s="69"/>
      <c r="T327" s="69"/>
      <c r="U327" s="69"/>
      <c r="V327" s="69"/>
      <c r="W327" s="69"/>
      <c r="X327" s="69"/>
      <c r="Y327" s="69"/>
      <c r="Z327" s="69"/>
      <c r="AA327" s="69"/>
      <c r="AB327" s="69"/>
      <c r="AC327" s="69"/>
      <c r="AD327" s="69"/>
      <c r="AE327" s="69"/>
      <c r="AF327" s="69"/>
      <c r="AG327" s="69"/>
      <c r="AH327" s="69"/>
      <c r="AI327" s="69"/>
      <c r="AJ327" s="69"/>
      <c r="AK327" s="69"/>
      <c r="BE327" s="69"/>
    </row>
    <row r="328" spans="2:57" x14ac:dyDescent="0.25">
      <c r="B328"/>
      <c r="C328"/>
      <c r="D328"/>
      <c r="E328"/>
      <c r="I328" s="69"/>
      <c r="J328" s="69"/>
      <c r="K328" s="69"/>
      <c r="L328" s="69"/>
      <c r="M328" s="69"/>
      <c r="N328" s="69"/>
      <c r="O328" s="69"/>
      <c r="P328" s="69"/>
      <c r="Q328" s="69"/>
      <c r="R328" s="69"/>
      <c r="S328" s="69"/>
      <c r="T328" s="69"/>
      <c r="U328" s="69"/>
      <c r="V328" s="69"/>
      <c r="W328" s="69"/>
      <c r="X328" s="69"/>
      <c r="Y328" s="69"/>
      <c r="Z328" s="69"/>
      <c r="AA328" s="69"/>
      <c r="AB328" s="69"/>
      <c r="AC328" s="69"/>
      <c r="AD328" s="69"/>
      <c r="AE328" s="69"/>
      <c r="AF328" s="69"/>
      <c r="AG328" s="69"/>
      <c r="AH328" s="69"/>
      <c r="AI328" s="69"/>
      <c r="AJ328" s="69"/>
      <c r="AK328" s="69"/>
      <c r="BE328" s="69"/>
    </row>
    <row r="329" spans="2:57" x14ac:dyDescent="0.25">
      <c r="B329"/>
      <c r="C329"/>
      <c r="D329"/>
      <c r="E329"/>
      <c r="I329" s="69"/>
      <c r="J329" s="69"/>
      <c r="K329" s="69"/>
      <c r="L329" s="69"/>
      <c r="M329" s="69"/>
      <c r="N329" s="69"/>
      <c r="O329" s="69"/>
      <c r="P329" s="69"/>
      <c r="Q329" s="69"/>
      <c r="R329" s="69"/>
      <c r="S329" s="69"/>
      <c r="T329" s="69"/>
      <c r="U329" s="69"/>
      <c r="V329" s="69"/>
      <c r="W329" s="69"/>
      <c r="X329" s="69"/>
      <c r="Y329" s="69"/>
      <c r="Z329" s="69"/>
      <c r="AA329" s="69"/>
      <c r="AB329" s="69"/>
      <c r="AC329" s="69"/>
      <c r="AD329" s="69"/>
      <c r="AE329" s="69"/>
      <c r="AF329" s="69"/>
      <c r="AG329" s="69"/>
      <c r="AH329" s="69"/>
      <c r="AI329" s="69"/>
      <c r="AJ329" s="69"/>
      <c r="AK329" s="69"/>
      <c r="BE329" s="69"/>
    </row>
    <row r="330" spans="2:57" x14ac:dyDescent="0.25">
      <c r="B330"/>
      <c r="C330"/>
      <c r="D330"/>
      <c r="E330"/>
      <c r="I330" s="69"/>
      <c r="J330" s="69"/>
      <c r="K330" s="69"/>
      <c r="L330" s="69"/>
      <c r="M330" s="69"/>
      <c r="N330" s="69"/>
      <c r="O330" s="69"/>
      <c r="P330" s="69"/>
      <c r="Q330" s="69"/>
      <c r="R330" s="69"/>
      <c r="S330" s="69"/>
      <c r="T330" s="69"/>
      <c r="U330" s="69"/>
      <c r="V330" s="69"/>
      <c r="W330" s="69"/>
      <c r="X330" s="69"/>
      <c r="Y330" s="69"/>
      <c r="Z330" s="69"/>
      <c r="AA330" s="69"/>
      <c r="AB330" s="69"/>
      <c r="AC330" s="69"/>
      <c r="AD330" s="69"/>
      <c r="AE330" s="69"/>
      <c r="AF330" s="69"/>
      <c r="AG330" s="69"/>
      <c r="AH330" s="69"/>
      <c r="AI330" s="69"/>
      <c r="AJ330" s="69"/>
      <c r="AK330" s="69"/>
      <c r="BE330" s="69"/>
    </row>
    <row r="331" spans="2:57" x14ac:dyDescent="0.25">
      <c r="B331"/>
      <c r="C331"/>
      <c r="D331"/>
      <c r="E331"/>
      <c r="I331" s="69"/>
      <c r="J331" s="69"/>
      <c r="K331" s="69"/>
      <c r="L331" s="69"/>
      <c r="M331" s="69"/>
      <c r="N331" s="69"/>
      <c r="O331" s="69"/>
      <c r="P331" s="69"/>
      <c r="Q331" s="69"/>
      <c r="R331" s="69"/>
      <c r="S331" s="69"/>
      <c r="T331" s="69"/>
      <c r="U331" s="69"/>
      <c r="V331" s="69"/>
      <c r="W331" s="69"/>
      <c r="X331" s="69"/>
      <c r="Y331" s="69"/>
      <c r="Z331" s="69"/>
      <c r="AA331" s="69"/>
      <c r="AB331" s="69"/>
      <c r="AC331" s="69"/>
      <c r="AD331" s="69"/>
      <c r="AE331" s="69"/>
      <c r="AF331" s="69"/>
      <c r="AG331" s="69"/>
      <c r="AH331" s="69"/>
      <c r="AI331" s="69"/>
      <c r="AJ331" s="69"/>
      <c r="AK331" s="69"/>
      <c r="BE331" s="69"/>
    </row>
    <row r="332" spans="2:57" x14ac:dyDescent="0.25">
      <c r="B332"/>
      <c r="C332"/>
      <c r="D332"/>
      <c r="E332"/>
      <c r="I332" s="69"/>
      <c r="J332" s="69"/>
      <c r="K332" s="69"/>
      <c r="L332" s="69"/>
      <c r="M332" s="69"/>
      <c r="N332" s="69"/>
      <c r="O332" s="69"/>
      <c r="P332" s="69"/>
      <c r="Q332" s="69"/>
      <c r="R332" s="69"/>
      <c r="S332" s="69"/>
      <c r="T332" s="69"/>
      <c r="U332" s="69"/>
      <c r="V332" s="69"/>
      <c r="W332" s="69"/>
      <c r="X332" s="69"/>
      <c r="Y332" s="69"/>
      <c r="Z332" s="69"/>
      <c r="AA332" s="69"/>
      <c r="AB332" s="69"/>
      <c r="AC332" s="69"/>
      <c r="AD332" s="69"/>
      <c r="AE332" s="69"/>
      <c r="AF332" s="69"/>
      <c r="AG332" s="69"/>
      <c r="AH332" s="69"/>
      <c r="AI332" s="69"/>
      <c r="AJ332" s="69"/>
      <c r="AK332" s="69"/>
      <c r="BE332" s="69"/>
    </row>
    <row r="333" spans="2:57" x14ac:dyDescent="0.25">
      <c r="B333"/>
      <c r="C333"/>
      <c r="D333"/>
      <c r="E333"/>
      <c r="I333" s="69"/>
      <c r="J333" s="69"/>
      <c r="K333" s="69"/>
      <c r="L333" s="69"/>
      <c r="M333" s="69"/>
      <c r="N333" s="69"/>
      <c r="O333" s="69"/>
      <c r="P333" s="69"/>
      <c r="Q333" s="69"/>
      <c r="R333" s="69"/>
      <c r="S333" s="69"/>
      <c r="T333" s="69"/>
      <c r="U333" s="69"/>
      <c r="V333" s="69"/>
      <c r="W333" s="69"/>
      <c r="X333" s="69"/>
      <c r="Y333" s="69"/>
      <c r="Z333" s="69"/>
      <c r="AA333" s="69"/>
      <c r="AB333" s="69"/>
      <c r="AC333" s="69"/>
      <c r="AD333" s="69"/>
      <c r="AE333" s="69"/>
      <c r="AF333" s="69"/>
      <c r="AG333" s="69"/>
      <c r="AH333" s="69"/>
      <c r="AI333" s="69"/>
      <c r="AJ333" s="69"/>
      <c r="AK333" s="69"/>
      <c r="BE333" s="69"/>
    </row>
    <row r="334" spans="2:57" x14ac:dyDescent="0.25">
      <c r="B334"/>
      <c r="C334"/>
      <c r="D334"/>
      <c r="E334"/>
      <c r="I334" s="69"/>
      <c r="J334" s="69"/>
      <c r="K334" s="69"/>
      <c r="L334" s="69"/>
      <c r="M334" s="69"/>
      <c r="N334" s="69"/>
      <c r="O334" s="69"/>
      <c r="P334" s="69"/>
      <c r="Q334" s="69"/>
      <c r="R334" s="69"/>
      <c r="S334" s="69"/>
      <c r="T334" s="69"/>
      <c r="U334" s="69"/>
      <c r="V334" s="69"/>
      <c r="W334" s="69"/>
      <c r="X334" s="69"/>
      <c r="Y334" s="69"/>
      <c r="Z334" s="69"/>
      <c r="AA334" s="69"/>
      <c r="AB334" s="69"/>
      <c r="AC334" s="69"/>
      <c r="AD334" s="69"/>
      <c r="AE334" s="69"/>
      <c r="AF334" s="69"/>
      <c r="AG334" s="69"/>
      <c r="AH334" s="69"/>
      <c r="AI334" s="69"/>
      <c r="AJ334" s="69"/>
      <c r="AK334" s="69"/>
      <c r="BE334" s="69"/>
    </row>
    <row r="335" spans="2:57" x14ac:dyDescent="0.25">
      <c r="B335"/>
      <c r="C335"/>
      <c r="D335"/>
      <c r="E335"/>
      <c r="I335" s="69"/>
      <c r="J335" s="69"/>
      <c r="K335" s="69"/>
      <c r="L335" s="69"/>
      <c r="M335" s="69"/>
      <c r="N335" s="69"/>
      <c r="O335" s="69"/>
      <c r="P335" s="69"/>
      <c r="Q335" s="69"/>
      <c r="R335" s="69"/>
      <c r="S335" s="69"/>
      <c r="T335" s="69"/>
      <c r="U335" s="69"/>
      <c r="V335" s="69"/>
      <c r="W335" s="69"/>
      <c r="X335" s="69"/>
      <c r="Y335" s="69"/>
      <c r="Z335" s="69"/>
      <c r="AA335" s="69"/>
      <c r="AB335" s="69"/>
      <c r="AC335" s="69"/>
      <c r="AD335" s="69"/>
      <c r="AE335" s="69"/>
      <c r="AF335" s="69"/>
      <c r="AG335" s="69"/>
      <c r="AH335" s="69"/>
      <c r="AI335" s="69"/>
      <c r="AJ335" s="69"/>
      <c r="AK335" s="69"/>
      <c r="BE335" s="69"/>
    </row>
    <row r="336" spans="2:57" x14ac:dyDescent="0.25">
      <c r="B336"/>
      <c r="C336"/>
      <c r="D336"/>
      <c r="E336"/>
      <c r="I336" s="69"/>
      <c r="J336" s="69"/>
      <c r="K336" s="69"/>
      <c r="L336" s="69"/>
      <c r="M336" s="69"/>
      <c r="N336" s="69"/>
      <c r="O336" s="69"/>
      <c r="P336" s="69"/>
      <c r="Q336" s="69"/>
      <c r="R336" s="69"/>
      <c r="S336" s="69"/>
      <c r="T336" s="69"/>
      <c r="U336" s="69"/>
      <c r="V336" s="69"/>
      <c r="W336" s="69"/>
      <c r="X336" s="69"/>
      <c r="Y336" s="69"/>
      <c r="Z336" s="69"/>
      <c r="AA336" s="69"/>
      <c r="AB336" s="69"/>
      <c r="AC336" s="69"/>
      <c r="AD336" s="69"/>
      <c r="AE336" s="69"/>
      <c r="AF336" s="69"/>
      <c r="AG336" s="69"/>
      <c r="AH336" s="69"/>
      <c r="AI336" s="69"/>
      <c r="AJ336" s="69"/>
      <c r="AK336" s="69"/>
      <c r="BE336" s="69"/>
    </row>
    <row r="337" spans="2:57" x14ac:dyDescent="0.25">
      <c r="B337"/>
      <c r="C337"/>
      <c r="D337"/>
      <c r="E337"/>
      <c r="I337" s="69"/>
      <c r="J337" s="69"/>
      <c r="K337" s="69"/>
      <c r="L337" s="69"/>
      <c r="M337" s="69"/>
      <c r="N337" s="69"/>
      <c r="O337" s="69"/>
      <c r="P337" s="69"/>
      <c r="Q337" s="69"/>
      <c r="R337" s="69"/>
      <c r="S337" s="69"/>
      <c r="T337" s="69"/>
      <c r="U337" s="69"/>
      <c r="V337" s="69"/>
      <c r="W337" s="69"/>
      <c r="X337" s="69"/>
      <c r="Y337" s="69"/>
      <c r="Z337" s="69"/>
      <c r="AA337" s="69"/>
      <c r="AB337" s="69"/>
      <c r="AC337" s="69"/>
      <c r="AD337" s="69"/>
      <c r="AE337" s="69"/>
      <c r="AF337" s="69"/>
      <c r="AG337" s="69"/>
      <c r="AH337" s="69"/>
      <c r="AI337" s="69"/>
      <c r="AJ337" s="69"/>
      <c r="AK337" s="69"/>
      <c r="BE337" s="69"/>
    </row>
    <row r="338" spans="2:57" x14ac:dyDescent="0.25">
      <c r="B338"/>
      <c r="C338"/>
      <c r="D338"/>
      <c r="E338"/>
      <c r="I338" s="69"/>
      <c r="J338" s="69"/>
      <c r="K338" s="69"/>
      <c r="L338" s="69"/>
      <c r="M338" s="69"/>
      <c r="N338" s="69"/>
      <c r="O338" s="69"/>
      <c r="P338" s="69"/>
      <c r="Q338" s="69"/>
      <c r="R338" s="69"/>
      <c r="S338" s="69"/>
      <c r="T338" s="69"/>
      <c r="U338" s="69"/>
      <c r="V338" s="69"/>
      <c r="W338" s="69"/>
      <c r="X338" s="69"/>
      <c r="Y338" s="69"/>
      <c r="Z338" s="69"/>
      <c r="AA338" s="69"/>
      <c r="AB338" s="69"/>
      <c r="AC338" s="69"/>
      <c r="AD338" s="69"/>
      <c r="AE338" s="69"/>
      <c r="AF338" s="69"/>
      <c r="AG338" s="69"/>
      <c r="AH338" s="69"/>
      <c r="AI338" s="69"/>
      <c r="AJ338" s="69"/>
      <c r="AK338" s="69"/>
      <c r="BE338" s="69"/>
    </row>
    <row r="339" spans="2:57" x14ac:dyDescent="0.25">
      <c r="B339"/>
      <c r="C339"/>
      <c r="D339"/>
      <c r="E339"/>
      <c r="I339" s="69"/>
      <c r="J339" s="69"/>
      <c r="K339" s="69"/>
      <c r="L339" s="69"/>
      <c r="M339" s="69"/>
      <c r="N339" s="69"/>
      <c r="O339" s="69"/>
      <c r="P339" s="69"/>
      <c r="Q339" s="69"/>
      <c r="R339" s="69"/>
      <c r="S339" s="69"/>
      <c r="T339" s="69"/>
      <c r="U339" s="69"/>
      <c r="V339" s="69"/>
      <c r="W339" s="69"/>
      <c r="X339" s="69"/>
      <c r="Y339" s="69"/>
      <c r="Z339" s="69"/>
      <c r="AA339" s="69"/>
      <c r="AB339" s="69"/>
      <c r="AC339" s="69"/>
      <c r="AD339" s="69"/>
      <c r="AE339" s="69"/>
      <c r="AF339" s="69"/>
      <c r="AG339" s="69"/>
      <c r="AH339" s="69"/>
      <c r="AI339" s="69"/>
      <c r="AJ339" s="69"/>
      <c r="AK339" s="69"/>
      <c r="BE339" s="69"/>
    </row>
    <row r="340" spans="2:57" x14ac:dyDescent="0.25">
      <c r="B340"/>
      <c r="C340"/>
      <c r="D340"/>
      <c r="E340"/>
      <c r="I340" s="69"/>
      <c r="J340" s="69"/>
      <c r="K340" s="69"/>
      <c r="L340" s="69"/>
      <c r="M340" s="69"/>
      <c r="N340" s="69"/>
      <c r="O340" s="69"/>
      <c r="P340" s="69"/>
      <c r="Q340" s="69"/>
      <c r="R340" s="69"/>
      <c r="S340" s="69"/>
      <c r="T340" s="69"/>
      <c r="U340" s="69"/>
      <c r="V340" s="69"/>
      <c r="W340" s="69"/>
      <c r="X340" s="69"/>
      <c r="Y340" s="69"/>
      <c r="Z340" s="69"/>
      <c r="AA340" s="69"/>
      <c r="AB340" s="69"/>
      <c r="AC340" s="69"/>
      <c r="AD340" s="69"/>
      <c r="AE340" s="69"/>
      <c r="AF340" s="69"/>
      <c r="AG340" s="69"/>
      <c r="AH340" s="69"/>
      <c r="AI340" s="69"/>
      <c r="AJ340" s="69"/>
      <c r="AK340" s="69"/>
      <c r="BE340" s="69"/>
    </row>
    <row r="341" spans="2:57" x14ac:dyDescent="0.25">
      <c r="B341"/>
      <c r="C341"/>
      <c r="D341"/>
      <c r="E341"/>
      <c r="I341" s="69"/>
      <c r="J341" s="69"/>
      <c r="K341" s="69"/>
      <c r="L341" s="69"/>
      <c r="M341" s="69"/>
      <c r="N341" s="69"/>
      <c r="O341" s="69"/>
      <c r="P341" s="69"/>
      <c r="Q341" s="69"/>
      <c r="R341" s="69"/>
      <c r="S341" s="69"/>
      <c r="T341" s="69"/>
      <c r="U341" s="69"/>
      <c r="V341" s="69"/>
      <c r="W341" s="69"/>
      <c r="X341" s="69"/>
      <c r="Y341" s="69"/>
      <c r="Z341" s="69"/>
      <c r="AA341" s="69"/>
      <c r="AB341" s="69"/>
      <c r="AC341" s="69"/>
      <c r="AD341" s="69"/>
      <c r="AE341" s="69"/>
      <c r="AF341" s="69"/>
      <c r="AG341" s="69"/>
      <c r="AH341" s="69"/>
      <c r="AI341" s="69"/>
      <c r="AJ341" s="69"/>
      <c r="AK341" s="69"/>
      <c r="BE341" s="69"/>
    </row>
    <row r="342" spans="2:57" x14ac:dyDescent="0.25">
      <c r="B342"/>
      <c r="C342"/>
      <c r="D342"/>
      <c r="E342"/>
      <c r="I342" s="69"/>
      <c r="J342" s="69"/>
      <c r="K342" s="69"/>
      <c r="L342" s="69"/>
      <c r="M342" s="69"/>
      <c r="N342" s="69"/>
      <c r="O342" s="69"/>
      <c r="P342" s="69"/>
      <c r="Q342" s="69"/>
      <c r="R342" s="69"/>
      <c r="S342" s="69"/>
      <c r="T342" s="69"/>
      <c r="U342" s="69"/>
      <c r="V342" s="69"/>
      <c r="W342" s="69"/>
      <c r="X342" s="69"/>
      <c r="Y342" s="69"/>
      <c r="Z342" s="69"/>
      <c r="AA342" s="69"/>
      <c r="AB342" s="69"/>
      <c r="AC342" s="69"/>
      <c r="AD342" s="69"/>
      <c r="AE342" s="69"/>
      <c r="AF342" s="69"/>
      <c r="AG342" s="69"/>
      <c r="AH342" s="69"/>
      <c r="AI342" s="69"/>
      <c r="AJ342" s="69"/>
      <c r="AK342" s="69"/>
      <c r="BE342" s="69"/>
    </row>
    <row r="343" spans="2:57" x14ac:dyDescent="0.25">
      <c r="B343"/>
      <c r="C343"/>
      <c r="D343"/>
      <c r="E343"/>
      <c r="I343" s="69"/>
      <c r="J343" s="69"/>
      <c r="K343" s="69"/>
      <c r="L343" s="69"/>
      <c r="M343" s="69"/>
      <c r="N343" s="69"/>
      <c r="O343" s="69"/>
      <c r="P343" s="69"/>
      <c r="Q343" s="69"/>
      <c r="R343" s="69"/>
      <c r="S343" s="69"/>
      <c r="T343" s="69"/>
      <c r="U343" s="69"/>
      <c r="V343" s="69"/>
      <c r="W343" s="69"/>
      <c r="X343" s="69"/>
      <c r="Y343" s="69"/>
      <c r="Z343" s="69"/>
      <c r="AA343" s="69"/>
      <c r="AB343" s="69"/>
      <c r="AC343" s="69"/>
      <c r="AD343" s="69"/>
      <c r="AE343" s="69"/>
      <c r="AF343" s="69"/>
      <c r="AG343" s="69"/>
      <c r="AH343" s="69"/>
      <c r="AI343" s="69"/>
      <c r="AJ343" s="69"/>
      <c r="AK343" s="69"/>
      <c r="BE343" s="69"/>
    </row>
    <row r="344" spans="2:57" x14ac:dyDescent="0.25">
      <c r="B344"/>
      <c r="C344"/>
      <c r="D344"/>
      <c r="E344"/>
      <c r="I344" s="69"/>
      <c r="J344" s="69"/>
      <c r="K344" s="69"/>
      <c r="L344" s="69"/>
      <c r="M344" s="69"/>
      <c r="N344" s="69"/>
      <c r="O344" s="69"/>
      <c r="P344" s="69"/>
      <c r="Q344" s="69"/>
      <c r="R344" s="69"/>
      <c r="S344" s="69"/>
      <c r="T344" s="69"/>
      <c r="U344" s="69"/>
      <c r="V344" s="69"/>
      <c r="W344" s="69"/>
      <c r="X344" s="69"/>
      <c r="Y344" s="69"/>
      <c r="Z344" s="69"/>
      <c r="AA344" s="69"/>
      <c r="AB344" s="69"/>
      <c r="AC344" s="69"/>
      <c r="AD344" s="69"/>
      <c r="AE344" s="69"/>
      <c r="AF344" s="69"/>
      <c r="AG344" s="69"/>
      <c r="AH344" s="69"/>
      <c r="AI344" s="69"/>
      <c r="AJ344" s="69"/>
      <c r="AK344" s="69"/>
      <c r="BE344" s="69"/>
    </row>
    <row r="345" spans="2:57" x14ac:dyDescent="0.25">
      <c r="B345"/>
      <c r="C345"/>
      <c r="D345"/>
      <c r="E345"/>
      <c r="I345" s="69"/>
      <c r="J345" s="69"/>
      <c r="K345" s="69"/>
      <c r="L345" s="69"/>
      <c r="M345" s="69"/>
      <c r="N345" s="69"/>
      <c r="O345" s="69"/>
      <c r="P345" s="69"/>
      <c r="Q345" s="69"/>
      <c r="R345" s="69"/>
      <c r="S345" s="69"/>
      <c r="T345" s="69"/>
      <c r="U345" s="69"/>
      <c r="V345" s="69"/>
      <c r="W345" s="69"/>
      <c r="X345" s="69"/>
      <c r="Y345" s="69"/>
      <c r="Z345" s="69"/>
      <c r="AA345" s="69"/>
      <c r="AB345" s="69"/>
      <c r="AC345" s="69"/>
      <c r="AD345" s="69"/>
      <c r="AE345" s="69"/>
      <c r="AF345" s="69"/>
      <c r="AG345" s="69"/>
      <c r="AH345" s="69"/>
      <c r="AI345" s="69"/>
      <c r="AJ345" s="69"/>
      <c r="AK345" s="69"/>
      <c r="BE345" s="69"/>
    </row>
    <row r="346" spans="2:57" x14ac:dyDescent="0.25">
      <c r="B346"/>
      <c r="C346"/>
      <c r="D346"/>
      <c r="E346"/>
      <c r="I346" s="69"/>
      <c r="J346" s="69"/>
      <c r="K346" s="69"/>
      <c r="L346" s="69"/>
      <c r="M346" s="69"/>
      <c r="N346" s="69"/>
      <c r="O346" s="69"/>
      <c r="P346" s="69"/>
      <c r="Q346" s="69"/>
      <c r="R346" s="69"/>
      <c r="S346" s="69"/>
      <c r="T346" s="69"/>
      <c r="U346" s="69"/>
      <c r="V346" s="69"/>
      <c r="W346" s="69"/>
      <c r="X346" s="69"/>
      <c r="Y346" s="69"/>
      <c r="Z346" s="69"/>
      <c r="AA346" s="69"/>
      <c r="AB346" s="69"/>
      <c r="AC346" s="69"/>
      <c r="AD346" s="69"/>
      <c r="AE346" s="69"/>
      <c r="AF346" s="69"/>
      <c r="AG346" s="69"/>
      <c r="AH346" s="69"/>
      <c r="AI346" s="69"/>
      <c r="AJ346" s="69"/>
      <c r="AK346" s="69"/>
      <c r="BE346" s="69"/>
    </row>
    <row r="347" spans="2:57" x14ac:dyDescent="0.25">
      <c r="B347"/>
      <c r="C347"/>
      <c r="D347"/>
      <c r="E347"/>
      <c r="I347" s="69"/>
      <c r="J347" s="69"/>
      <c r="K347" s="69"/>
      <c r="L347" s="69"/>
      <c r="M347" s="69"/>
      <c r="N347" s="69"/>
      <c r="O347" s="69"/>
      <c r="P347" s="69"/>
      <c r="Q347" s="69"/>
      <c r="R347" s="69"/>
      <c r="S347" s="69"/>
      <c r="T347" s="69"/>
      <c r="U347" s="69"/>
      <c r="V347" s="69"/>
      <c r="W347" s="69"/>
      <c r="X347" s="69"/>
      <c r="Y347" s="69"/>
      <c r="Z347" s="69"/>
      <c r="AA347" s="69"/>
      <c r="AB347" s="69"/>
      <c r="AC347" s="69"/>
      <c r="AD347" s="69"/>
      <c r="AE347" s="69"/>
      <c r="AF347" s="69"/>
      <c r="AG347" s="69"/>
      <c r="AH347" s="69"/>
      <c r="AI347" s="69"/>
      <c r="AJ347" s="69"/>
      <c r="AK347" s="69"/>
      <c r="BE347" s="69"/>
    </row>
    <row r="348" spans="2:57" x14ac:dyDescent="0.25">
      <c r="B348"/>
      <c r="C348"/>
      <c r="D348"/>
      <c r="E348"/>
      <c r="I348" s="69"/>
      <c r="J348" s="69"/>
      <c r="K348" s="69"/>
      <c r="L348" s="69"/>
      <c r="M348" s="69"/>
      <c r="N348" s="69"/>
      <c r="O348" s="69"/>
      <c r="P348" s="69"/>
      <c r="Q348" s="69"/>
      <c r="R348" s="69"/>
      <c r="S348" s="69"/>
      <c r="T348" s="69"/>
      <c r="U348" s="69"/>
      <c r="V348" s="69"/>
      <c r="W348" s="69"/>
      <c r="X348" s="69"/>
      <c r="Y348" s="69"/>
      <c r="Z348" s="69"/>
      <c r="AA348" s="69"/>
      <c r="AB348" s="69"/>
      <c r="AC348" s="69"/>
      <c r="AD348" s="69"/>
      <c r="AE348" s="69"/>
      <c r="AF348" s="69"/>
      <c r="AG348" s="69"/>
      <c r="AH348" s="69"/>
      <c r="AI348" s="69"/>
      <c r="AJ348" s="69"/>
      <c r="AK348" s="69"/>
      <c r="BE348" s="69"/>
    </row>
    <row r="349" spans="2:57" x14ac:dyDescent="0.25">
      <c r="B349"/>
      <c r="C349"/>
      <c r="D349"/>
      <c r="E349"/>
      <c r="I349" s="69"/>
      <c r="J349" s="69"/>
      <c r="K349" s="69"/>
      <c r="L349" s="69"/>
      <c r="M349" s="69"/>
      <c r="N349" s="69"/>
      <c r="O349" s="69"/>
      <c r="P349" s="69"/>
      <c r="Q349" s="69"/>
      <c r="R349" s="69"/>
      <c r="S349" s="69"/>
      <c r="T349" s="69"/>
      <c r="U349" s="69"/>
      <c r="V349" s="69"/>
      <c r="W349" s="69"/>
      <c r="X349" s="69"/>
      <c r="Y349" s="69"/>
      <c r="Z349" s="69"/>
      <c r="AA349" s="69"/>
      <c r="AB349" s="69"/>
      <c r="AC349" s="69"/>
      <c r="AD349" s="69"/>
      <c r="AE349" s="69"/>
      <c r="AF349" s="69"/>
      <c r="AG349" s="69"/>
      <c r="AH349" s="69"/>
      <c r="AI349" s="69"/>
      <c r="AJ349" s="69"/>
      <c r="AK349" s="69"/>
      <c r="BE349" s="69"/>
    </row>
    <row r="350" spans="2:57" x14ac:dyDescent="0.25">
      <c r="B350"/>
      <c r="C350"/>
      <c r="D350"/>
      <c r="E350"/>
      <c r="I350" s="69"/>
      <c r="J350" s="69"/>
      <c r="K350" s="69"/>
      <c r="L350" s="69"/>
      <c r="M350" s="69"/>
      <c r="N350" s="69"/>
      <c r="O350" s="69"/>
      <c r="P350" s="69"/>
      <c r="Q350" s="69"/>
      <c r="R350" s="69"/>
      <c r="S350" s="69"/>
      <c r="T350" s="69"/>
      <c r="U350" s="69"/>
      <c r="V350" s="69"/>
      <c r="W350" s="69"/>
      <c r="X350" s="69"/>
      <c r="Y350" s="69"/>
      <c r="Z350" s="69"/>
      <c r="AA350" s="69"/>
      <c r="AB350" s="69"/>
      <c r="AC350" s="69"/>
      <c r="AD350" s="69"/>
      <c r="AE350" s="69"/>
      <c r="AF350" s="69"/>
      <c r="AG350" s="69"/>
      <c r="AH350" s="69"/>
      <c r="AI350" s="69"/>
      <c r="AJ350" s="69"/>
      <c r="AK350" s="69"/>
      <c r="BE350" s="69"/>
    </row>
    <row r="351" spans="2:57" x14ac:dyDescent="0.25">
      <c r="B351"/>
      <c r="C351"/>
      <c r="D351"/>
      <c r="E351"/>
      <c r="I351" s="69"/>
      <c r="J351" s="69"/>
      <c r="K351" s="69"/>
      <c r="L351" s="69"/>
      <c r="M351" s="69"/>
      <c r="N351" s="69"/>
      <c r="O351" s="69"/>
      <c r="P351" s="69"/>
      <c r="Q351" s="69"/>
      <c r="R351" s="69"/>
      <c r="S351" s="69"/>
      <c r="T351" s="69"/>
      <c r="U351" s="69"/>
      <c r="V351" s="69"/>
      <c r="W351" s="69"/>
      <c r="X351" s="69"/>
      <c r="Y351" s="69"/>
      <c r="Z351" s="69"/>
      <c r="AA351" s="69"/>
      <c r="AB351" s="69"/>
      <c r="AC351" s="69"/>
      <c r="AD351" s="69"/>
      <c r="AE351" s="69"/>
      <c r="AF351" s="69"/>
      <c r="AG351" s="69"/>
      <c r="AH351" s="69"/>
      <c r="AI351" s="69"/>
      <c r="AJ351" s="69"/>
      <c r="AK351" s="69"/>
      <c r="BE351" s="69"/>
    </row>
    <row r="352" spans="2:57" x14ac:dyDescent="0.25">
      <c r="B352"/>
      <c r="C352"/>
      <c r="D352"/>
      <c r="E352"/>
      <c r="I352" s="69"/>
      <c r="J352" s="69"/>
      <c r="K352" s="69"/>
      <c r="L352" s="69"/>
      <c r="M352" s="69"/>
      <c r="N352" s="69"/>
      <c r="O352" s="69"/>
      <c r="P352" s="69"/>
      <c r="Q352" s="69"/>
      <c r="R352" s="69"/>
      <c r="S352" s="69"/>
      <c r="T352" s="69"/>
      <c r="U352" s="69"/>
      <c r="V352" s="69"/>
      <c r="W352" s="69"/>
      <c r="X352" s="69"/>
      <c r="Y352" s="69"/>
      <c r="Z352" s="69"/>
      <c r="AA352" s="69"/>
      <c r="AB352" s="69"/>
      <c r="AC352" s="69"/>
      <c r="AD352" s="69"/>
      <c r="AE352" s="69"/>
      <c r="AF352" s="69"/>
      <c r="AG352" s="69"/>
      <c r="AH352" s="69"/>
      <c r="AI352" s="69"/>
      <c r="AJ352" s="69"/>
      <c r="AK352" s="69"/>
      <c r="BE352" s="69"/>
    </row>
    <row r="353" spans="2:57" x14ac:dyDescent="0.25">
      <c r="B353"/>
      <c r="C353"/>
      <c r="D353"/>
      <c r="E353"/>
      <c r="I353" s="69"/>
      <c r="J353" s="69"/>
      <c r="K353" s="69"/>
      <c r="L353" s="69"/>
      <c r="M353" s="69"/>
      <c r="N353" s="69"/>
      <c r="O353" s="69"/>
      <c r="P353" s="69"/>
      <c r="Q353" s="69"/>
      <c r="R353" s="69"/>
      <c r="S353" s="69"/>
      <c r="T353" s="69"/>
      <c r="U353" s="69"/>
      <c r="V353" s="69"/>
      <c r="W353" s="69"/>
      <c r="X353" s="69"/>
      <c r="Y353" s="69"/>
      <c r="Z353" s="69"/>
      <c r="AA353" s="69"/>
      <c r="AB353" s="69"/>
      <c r="AC353" s="69"/>
      <c r="AD353" s="69"/>
      <c r="AE353" s="69"/>
      <c r="AF353" s="69"/>
      <c r="AG353" s="69"/>
      <c r="AH353" s="69"/>
      <c r="AI353" s="69"/>
      <c r="AJ353" s="69"/>
      <c r="AK353" s="69"/>
      <c r="BE353" s="69"/>
    </row>
    <row r="354" spans="2:57" x14ac:dyDescent="0.25">
      <c r="B354"/>
      <c r="C354"/>
      <c r="D354"/>
      <c r="E354"/>
      <c r="I354" s="69"/>
      <c r="J354" s="69"/>
      <c r="K354" s="69"/>
      <c r="L354" s="69"/>
      <c r="M354" s="69"/>
      <c r="N354" s="69"/>
      <c r="O354" s="69"/>
      <c r="P354" s="69"/>
      <c r="Q354" s="69"/>
      <c r="R354" s="69"/>
      <c r="S354" s="69"/>
      <c r="T354" s="69"/>
      <c r="U354" s="69"/>
      <c r="V354" s="69"/>
      <c r="W354" s="69"/>
      <c r="X354" s="69"/>
      <c r="Y354" s="69"/>
      <c r="Z354" s="69"/>
      <c r="AA354" s="69"/>
      <c r="AB354" s="69"/>
      <c r="AC354" s="69"/>
      <c r="AD354" s="69"/>
      <c r="AE354" s="69"/>
      <c r="AF354" s="69"/>
      <c r="AG354" s="69"/>
      <c r="AH354" s="69"/>
      <c r="AI354" s="69"/>
      <c r="AJ354" s="69"/>
      <c r="AK354" s="69"/>
      <c r="BE354" s="69"/>
    </row>
    <row r="355" spans="2:57" x14ac:dyDescent="0.25">
      <c r="B355"/>
      <c r="C355"/>
      <c r="D355"/>
      <c r="E355"/>
      <c r="I355" s="69"/>
      <c r="J355" s="69"/>
      <c r="K355" s="69"/>
      <c r="L355" s="69"/>
      <c r="M355" s="69"/>
      <c r="N355" s="69"/>
      <c r="O355" s="69"/>
      <c r="P355" s="69"/>
      <c r="Q355" s="69"/>
      <c r="R355" s="69"/>
      <c r="S355" s="69"/>
      <c r="T355" s="69"/>
      <c r="U355" s="69"/>
      <c r="V355" s="69"/>
      <c r="W355" s="69"/>
      <c r="X355" s="69"/>
      <c r="Y355" s="69"/>
      <c r="Z355" s="69"/>
      <c r="AA355" s="69"/>
      <c r="AB355" s="69"/>
      <c r="AC355" s="69"/>
      <c r="AD355" s="69"/>
      <c r="AE355" s="69"/>
      <c r="AF355" s="69"/>
      <c r="AG355" s="69"/>
      <c r="AH355" s="69"/>
      <c r="AI355" s="69"/>
      <c r="AJ355" s="69"/>
      <c r="AK355" s="69"/>
      <c r="BE355" s="69"/>
    </row>
    <row r="356" spans="2:57" x14ac:dyDescent="0.25">
      <c r="B356"/>
      <c r="C356"/>
      <c r="D356"/>
      <c r="E356"/>
      <c r="I356" s="69"/>
      <c r="J356" s="69"/>
      <c r="K356" s="69"/>
      <c r="L356" s="69"/>
      <c r="M356" s="69"/>
      <c r="N356" s="69"/>
      <c r="O356" s="69"/>
      <c r="P356" s="69"/>
      <c r="Q356" s="69"/>
      <c r="R356" s="69"/>
      <c r="S356" s="69"/>
      <c r="T356" s="69"/>
      <c r="U356" s="69"/>
      <c r="V356" s="69"/>
      <c r="W356" s="69"/>
      <c r="X356" s="69"/>
      <c r="Y356" s="69"/>
      <c r="Z356" s="69"/>
      <c r="AA356" s="69"/>
      <c r="AB356" s="69"/>
      <c r="AC356" s="69"/>
      <c r="AD356" s="69"/>
      <c r="AE356" s="69"/>
      <c r="AF356" s="69"/>
      <c r="AG356" s="69"/>
      <c r="AH356" s="69"/>
      <c r="AI356" s="69"/>
      <c r="AJ356" s="69"/>
      <c r="AK356" s="69"/>
      <c r="BE356" s="69"/>
    </row>
    <row r="357" spans="2:57" x14ac:dyDescent="0.25">
      <c r="B357"/>
      <c r="C357"/>
      <c r="D357"/>
      <c r="E357"/>
      <c r="I357" s="69"/>
      <c r="J357" s="69"/>
      <c r="K357" s="69"/>
      <c r="L357" s="69"/>
      <c r="M357" s="69"/>
      <c r="N357" s="69"/>
      <c r="O357" s="69"/>
      <c r="P357" s="69"/>
      <c r="Q357" s="69"/>
      <c r="R357" s="69"/>
      <c r="S357" s="69"/>
      <c r="T357" s="69"/>
      <c r="U357" s="69"/>
      <c r="V357" s="69"/>
      <c r="W357" s="69"/>
      <c r="X357" s="69"/>
      <c r="Y357" s="69"/>
      <c r="Z357" s="69"/>
      <c r="AA357" s="69"/>
      <c r="AB357" s="69"/>
      <c r="AC357" s="69"/>
      <c r="AD357" s="69"/>
      <c r="AE357" s="69"/>
      <c r="AF357" s="69"/>
      <c r="AG357" s="69"/>
      <c r="AH357" s="69"/>
      <c r="AI357" s="69"/>
      <c r="AJ357" s="69"/>
      <c r="AK357" s="69"/>
      <c r="BE357" s="69"/>
    </row>
    <row r="358" spans="2:57" x14ac:dyDescent="0.25">
      <c r="B358"/>
      <c r="C358"/>
      <c r="D358"/>
      <c r="E358"/>
      <c r="I358" s="69"/>
      <c r="J358" s="69"/>
      <c r="K358" s="69"/>
      <c r="L358" s="69"/>
      <c r="M358" s="69"/>
      <c r="N358" s="69"/>
      <c r="O358" s="69"/>
      <c r="P358" s="69"/>
      <c r="Q358" s="69"/>
      <c r="R358" s="69"/>
      <c r="S358" s="69"/>
      <c r="T358" s="69"/>
      <c r="U358" s="69"/>
      <c r="V358" s="69"/>
      <c r="W358" s="69"/>
      <c r="X358" s="69"/>
      <c r="Y358" s="69"/>
      <c r="Z358" s="69"/>
      <c r="AA358" s="69"/>
      <c r="AB358" s="69"/>
      <c r="AC358" s="69"/>
      <c r="AD358" s="69"/>
      <c r="AE358" s="69"/>
      <c r="AF358" s="69"/>
      <c r="AG358" s="69"/>
      <c r="AH358" s="69"/>
      <c r="AI358" s="69"/>
      <c r="AJ358" s="69"/>
      <c r="AK358" s="69"/>
      <c r="BE358" s="69"/>
    </row>
    <row r="359" spans="2:57" x14ac:dyDescent="0.25">
      <c r="B359"/>
      <c r="C359"/>
      <c r="D359"/>
      <c r="E359"/>
      <c r="I359" s="69"/>
      <c r="J359" s="69"/>
      <c r="K359" s="69"/>
      <c r="L359" s="69"/>
      <c r="M359" s="69"/>
      <c r="N359" s="69"/>
      <c r="O359" s="69"/>
      <c r="P359" s="69"/>
      <c r="Q359" s="69"/>
      <c r="R359" s="69"/>
      <c r="S359" s="69"/>
      <c r="T359" s="69"/>
      <c r="U359" s="69"/>
      <c r="V359" s="69"/>
      <c r="W359" s="69"/>
      <c r="X359" s="69"/>
      <c r="Y359" s="69"/>
      <c r="Z359" s="69"/>
      <c r="AA359" s="69"/>
      <c r="AB359" s="69"/>
      <c r="AC359" s="69"/>
      <c r="AD359" s="69"/>
      <c r="AE359" s="69"/>
      <c r="AF359" s="69"/>
      <c r="AG359" s="69"/>
      <c r="AH359" s="69"/>
      <c r="AI359" s="69"/>
      <c r="AJ359" s="69"/>
      <c r="AK359" s="69"/>
      <c r="BE359" s="69"/>
    </row>
    <row r="360" spans="2:57" x14ac:dyDescent="0.25">
      <c r="B360"/>
      <c r="C360"/>
      <c r="D360"/>
      <c r="E360"/>
      <c r="I360" s="69"/>
      <c r="J360" s="69"/>
      <c r="K360" s="69"/>
      <c r="L360" s="69"/>
      <c r="M360" s="69"/>
      <c r="N360" s="69"/>
      <c r="O360" s="69"/>
      <c r="P360" s="69"/>
      <c r="Q360" s="69"/>
      <c r="R360" s="69"/>
      <c r="S360" s="69"/>
      <c r="T360" s="69"/>
      <c r="U360" s="69"/>
      <c r="V360" s="69"/>
      <c r="W360" s="69"/>
      <c r="X360" s="69"/>
      <c r="Y360" s="69"/>
      <c r="Z360" s="69"/>
      <c r="AA360" s="69"/>
      <c r="AB360" s="69"/>
      <c r="AC360" s="69"/>
      <c r="AD360" s="69"/>
      <c r="AE360" s="69"/>
      <c r="AF360" s="69"/>
      <c r="AG360" s="69"/>
      <c r="AH360" s="69"/>
      <c r="AI360" s="69"/>
      <c r="AJ360" s="69"/>
      <c r="AK360" s="69"/>
      <c r="BE360" s="69"/>
    </row>
    <row r="361" spans="2:57" x14ac:dyDescent="0.25">
      <c r="B361"/>
      <c r="C361"/>
      <c r="D361"/>
      <c r="E361"/>
      <c r="I361" s="69"/>
      <c r="J361" s="69"/>
      <c r="K361" s="69"/>
      <c r="L361" s="69"/>
      <c r="M361" s="69"/>
      <c r="N361" s="69"/>
      <c r="O361" s="69"/>
      <c r="P361" s="69"/>
      <c r="Q361" s="69"/>
      <c r="R361" s="69"/>
      <c r="S361" s="69"/>
      <c r="T361" s="69"/>
      <c r="U361" s="69"/>
      <c r="V361" s="69"/>
      <c r="W361" s="69"/>
      <c r="X361" s="69"/>
      <c r="Y361" s="69"/>
      <c r="Z361" s="69"/>
      <c r="AA361" s="69"/>
      <c r="AB361" s="69"/>
      <c r="AC361" s="69"/>
      <c r="AD361" s="69"/>
      <c r="AE361" s="69"/>
      <c r="AF361" s="69"/>
      <c r="AG361" s="69"/>
      <c r="AH361" s="69"/>
      <c r="AI361" s="69"/>
      <c r="AJ361" s="69"/>
      <c r="AK361" s="69"/>
      <c r="BE361" s="69"/>
    </row>
    <row r="362" spans="2:57" x14ac:dyDescent="0.25">
      <c r="B362"/>
      <c r="C362"/>
      <c r="D362"/>
      <c r="E362"/>
      <c r="I362" s="69"/>
      <c r="J362" s="69"/>
      <c r="K362" s="69"/>
      <c r="L362" s="69"/>
      <c r="M362" s="69"/>
      <c r="N362" s="69"/>
      <c r="O362" s="69"/>
      <c r="P362" s="69"/>
      <c r="Q362" s="69"/>
      <c r="R362" s="69"/>
      <c r="S362" s="69"/>
      <c r="T362" s="69"/>
      <c r="U362" s="69"/>
      <c r="V362" s="69"/>
      <c r="W362" s="69"/>
      <c r="X362" s="69"/>
      <c r="Y362" s="69"/>
      <c r="Z362" s="69"/>
      <c r="AA362" s="69"/>
      <c r="AB362" s="69"/>
      <c r="AC362" s="69"/>
      <c r="AD362" s="69"/>
      <c r="AE362" s="69"/>
      <c r="AF362" s="69"/>
      <c r="AG362" s="69"/>
      <c r="AH362" s="69"/>
      <c r="AI362" s="69"/>
      <c r="AJ362" s="69"/>
      <c r="AK362" s="69"/>
      <c r="BE362" s="69"/>
    </row>
    <row r="363" spans="2:57" x14ac:dyDescent="0.25">
      <c r="B363"/>
      <c r="C363"/>
      <c r="D363"/>
      <c r="E363"/>
      <c r="I363" s="69"/>
      <c r="J363" s="69"/>
      <c r="K363" s="69"/>
      <c r="L363" s="69"/>
      <c r="M363" s="69"/>
      <c r="N363" s="69"/>
      <c r="O363" s="69"/>
      <c r="P363" s="69"/>
      <c r="Q363" s="69"/>
      <c r="R363" s="69"/>
      <c r="S363" s="69"/>
      <c r="T363" s="69"/>
      <c r="U363" s="69"/>
      <c r="V363" s="69"/>
      <c r="W363" s="69"/>
      <c r="X363" s="69"/>
      <c r="Y363" s="69"/>
      <c r="Z363" s="69"/>
      <c r="AA363" s="69"/>
      <c r="AB363" s="69"/>
      <c r="AC363" s="69"/>
      <c r="AD363" s="69"/>
      <c r="AE363" s="69"/>
      <c r="AF363" s="69"/>
      <c r="AG363" s="69"/>
      <c r="AH363" s="69"/>
      <c r="AI363" s="69"/>
      <c r="AJ363" s="69"/>
      <c r="AK363" s="69"/>
      <c r="BE363" s="69"/>
    </row>
    <row r="364" spans="2:57" x14ac:dyDescent="0.25">
      <c r="B364"/>
      <c r="C364"/>
      <c r="D364"/>
      <c r="E364"/>
      <c r="I364" s="69"/>
      <c r="J364" s="69"/>
      <c r="K364" s="69"/>
      <c r="L364" s="69"/>
      <c r="M364" s="69"/>
      <c r="N364" s="69"/>
      <c r="O364" s="69"/>
      <c r="P364" s="69"/>
      <c r="Q364" s="69"/>
      <c r="R364" s="69"/>
      <c r="S364" s="69"/>
      <c r="T364" s="69"/>
      <c r="U364" s="69"/>
      <c r="V364" s="69"/>
      <c r="W364" s="69"/>
      <c r="X364" s="69"/>
      <c r="Y364" s="69"/>
      <c r="Z364" s="69"/>
      <c r="AA364" s="69"/>
      <c r="AB364" s="69"/>
      <c r="AC364" s="69"/>
      <c r="AD364" s="69"/>
      <c r="AE364" s="69"/>
      <c r="AF364" s="69"/>
      <c r="AG364" s="69"/>
      <c r="AH364" s="69"/>
      <c r="AI364" s="69"/>
      <c r="AJ364" s="69"/>
      <c r="AK364" s="69"/>
      <c r="BE364" s="69"/>
    </row>
    <row r="365" spans="2:57" x14ac:dyDescent="0.25">
      <c r="B365"/>
      <c r="C365"/>
      <c r="D365"/>
      <c r="E365"/>
      <c r="I365" s="69"/>
      <c r="J365" s="69"/>
      <c r="K365" s="69"/>
      <c r="L365" s="69"/>
      <c r="M365" s="69"/>
      <c r="N365" s="69"/>
      <c r="O365" s="69"/>
      <c r="P365" s="69"/>
      <c r="Q365" s="69"/>
      <c r="R365" s="69"/>
      <c r="S365" s="69"/>
      <c r="T365" s="69"/>
      <c r="U365" s="69"/>
      <c r="V365" s="69"/>
      <c r="W365" s="69"/>
      <c r="X365" s="69"/>
      <c r="Y365" s="69"/>
      <c r="Z365" s="69"/>
      <c r="AA365" s="69"/>
      <c r="AB365" s="69"/>
      <c r="AC365" s="69"/>
      <c r="AD365" s="69"/>
      <c r="AE365" s="69"/>
      <c r="AF365" s="69"/>
      <c r="AG365" s="69"/>
      <c r="AH365" s="69"/>
      <c r="AI365" s="69"/>
      <c r="AJ365" s="69"/>
      <c r="AK365" s="69"/>
      <c r="BE365" s="69"/>
    </row>
    <row r="366" spans="2:57" x14ac:dyDescent="0.25">
      <c r="B366"/>
      <c r="C366"/>
      <c r="D366"/>
      <c r="E366"/>
      <c r="I366" s="69"/>
      <c r="J366" s="69"/>
      <c r="K366" s="69"/>
      <c r="L366" s="69"/>
      <c r="M366" s="69"/>
      <c r="N366" s="69"/>
      <c r="O366" s="69"/>
      <c r="P366" s="69"/>
      <c r="Q366" s="69"/>
      <c r="R366" s="69"/>
      <c r="S366" s="69"/>
      <c r="T366" s="69"/>
      <c r="U366" s="69"/>
      <c r="V366" s="69"/>
      <c r="W366" s="69"/>
      <c r="X366" s="69"/>
      <c r="Y366" s="69"/>
      <c r="Z366" s="69"/>
      <c r="AA366" s="69"/>
      <c r="AB366" s="69"/>
      <c r="AC366" s="69"/>
      <c r="AD366" s="69"/>
      <c r="AE366" s="69"/>
      <c r="AF366" s="69"/>
      <c r="AG366" s="69"/>
      <c r="AH366" s="69"/>
      <c r="AI366" s="69"/>
      <c r="AJ366" s="69"/>
      <c r="AK366" s="69"/>
      <c r="BE366" s="69"/>
    </row>
    <row r="367" spans="2:57" x14ac:dyDescent="0.25">
      <c r="B367"/>
      <c r="C367"/>
      <c r="D367"/>
      <c r="E367"/>
      <c r="I367" s="69"/>
      <c r="J367" s="69"/>
      <c r="K367" s="69"/>
      <c r="L367" s="69"/>
      <c r="M367" s="69"/>
      <c r="N367" s="69"/>
      <c r="O367" s="69"/>
      <c r="P367" s="69"/>
      <c r="Q367" s="69"/>
      <c r="R367" s="69"/>
      <c r="S367" s="69"/>
      <c r="T367" s="69"/>
      <c r="U367" s="69"/>
      <c r="V367" s="69"/>
      <c r="W367" s="69"/>
      <c r="X367" s="69"/>
      <c r="Y367" s="69"/>
      <c r="Z367" s="69"/>
      <c r="AA367" s="69"/>
      <c r="AB367" s="69"/>
      <c r="AC367" s="69"/>
      <c r="AD367" s="69"/>
      <c r="AE367" s="69"/>
      <c r="AF367" s="69"/>
      <c r="AG367" s="69"/>
      <c r="AH367" s="69"/>
      <c r="AI367" s="69"/>
      <c r="AJ367" s="69"/>
      <c r="AK367" s="69"/>
      <c r="BE367" s="69"/>
    </row>
    <row r="368" spans="2:57" x14ac:dyDescent="0.25">
      <c r="B368"/>
      <c r="C368"/>
      <c r="D368"/>
      <c r="E368"/>
      <c r="I368" s="69"/>
      <c r="J368" s="69"/>
      <c r="K368" s="69"/>
      <c r="L368" s="69"/>
      <c r="M368" s="69"/>
      <c r="N368" s="69"/>
      <c r="O368" s="69"/>
      <c r="P368" s="69"/>
      <c r="Q368" s="69"/>
      <c r="R368" s="69"/>
      <c r="S368" s="69"/>
      <c r="T368" s="69"/>
      <c r="U368" s="69"/>
      <c r="V368" s="69"/>
      <c r="W368" s="69"/>
      <c r="X368" s="69"/>
      <c r="Y368" s="69"/>
      <c r="Z368" s="69"/>
      <c r="AA368" s="69"/>
      <c r="AB368" s="69"/>
      <c r="AC368" s="69"/>
      <c r="AD368" s="69"/>
      <c r="AE368" s="69"/>
      <c r="AF368" s="69"/>
      <c r="AG368" s="69"/>
      <c r="AH368" s="69"/>
      <c r="AI368" s="69"/>
      <c r="AJ368" s="69"/>
      <c r="AK368" s="69"/>
      <c r="BE368" s="69"/>
    </row>
    <row r="369" spans="2:57" x14ac:dyDescent="0.25">
      <c r="B369"/>
      <c r="C369"/>
      <c r="D369"/>
      <c r="E369"/>
      <c r="I369" s="69"/>
      <c r="J369" s="69"/>
      <c r="K369" s="69"/>
      <c r="L369" s="69"/>
      <c r="M369" s="69"/>
      <c r="N369" s="69"/>
      <c r="O369" s="69"/>
      <c r="P369" s="69"/>
      <c r="Q369" s="69"/>
      <c r="R369" s="69"/>
      <c r="S369" s="69"/>
      <c r="T369" s="69"/>
      <c r="U369" s="69"/>
      <c r="V369" s="69"/>
      <c r="W369" s="69"/>
      <c r="X369" s="69"/>
      <c r="Y369" s="69"/>
      <c r="Z369" s="69"/>
      <c r="AA369" s="69"/>
      <c r="AB369" s="69"/>
      <c r="AC369" s="69"/>
      <c r="AD369" s="69"/>
      <c r="AE369" s="69"/>
      <c r="AF369" s="69"/>
      <c r="AG369" s="69"/>
      <c r="AH369" s="69"/>
      <c r="AI369" s="69"/>
      <c r="AJ369" s="69"/>
      <c r="AK369" s="69"/>
      <c r="BE369" s="69"/>
    </row>
    <row r="370" spans="2:57" x14ac:dyDescent="0.25">
      <c r="B370"/>
      <c r="C370"/>
      <c r="D370"/>
      <c r="E370"/>
      <c r="I370" s="69"/>
      <c r="J370" s="69"/>
      <c r="K370" s="69"/>
      <c r="L370" s="69"/>
      <c r="M370" s="69"/>
      <c r="N370" s="69"/>
      <c r="O370" s="69"/>
      <c r="P370" s="69"/>
      <c r="Q370" s="69"/>
      <c r="R370" s="69"/>
      <c r="S370" s="69"/>
      <c r="T370" s="69"/>
      <c r="U370" s="69"/>
      <c r="V370" s="69"/>
      <c r="W370" s="69"/>
      <c r="X370" s="69"/>
      <c r="Y370" s="69"/>
      <c r="Z370" s="69"/>
      <c r="AA370" s="69"/>
      <c r="AB370" s="69"/>
      <c r="AC370" s="69"/>
      <c r="AD370" s="69"/>
      <c r="AE370" s="69"/>
      <c r="AF370" s="69"/>
      <c r="AG370" s="69"/>
      <c r="AH370" s="69"/>
      <c r="AI370" s="69"/>
      <c r="AJ370" s="69"/>
      <c r="AK370" s="69"/>
      <c r="BE370" s="69"/>
    </row>
    <row r="371" spans="2:57" x14ac:dyDescent="0.25">
      <c r="B371"/>
      <c r="C371"/>
      <c r="D371"/>
      <c r="E371"/>
      <c r="I371" s="69"/>
      <c r="J371" s="69"/>
      <c r="K371" s="69"/>
      <c r="L371" s="69"/>
      <c r="M371" s="69"/>
      <c r="N371" s="69"/>
      <c r="O371" s="69"/>
      <c r="P371" s="69"/>
      <c r="Q371" s="69"/>
      <c r="R371" s="69"/>
      <c r="S371" s="69"/>
      <c r="T371" s="69"/>
      <c r="U371" s="69"/>
      <c r="V371" s="69"/>
      <c r="W371" s="69"/>
      <c r="X371" s="69"/>
      <c r="Y371" s="69"/>
      <c r="Z371" s="69"/>
      <c r="AA371" s="69"/>
      <c r="AB371" s="69"/>
      <c r="AC371" s="69"/>
      <c r="AD371" s="69"/>
      <c r="AE371" s="69"/>
      <c r="AF371" s="69"/>
      <c r="AG371" s="69"/>
      <c r="AH371" s="69"/>
      <c r="AI371" s="69"/>
      <c r="AJ371" s="69"/>
      <c r="AK371" s="69"/>
      <c r="BE371" s="69"/>
    </row>
    <row r="372" spans="2:57" x14ac:dyDescent="0.25">
      <c r="B372"/>
      <c r="C372"/>
      <c r="D372"/>
      <c r="E372"/>
      <c r="I372" s="69"/>
      <c r="J372" s="69"/>
      <c r="K372" s="69"/>
      <c r="L372" s="69"/>
      <c r="M372" s="69"/>
      <c r="N372" s="69"/>
      <c r="O372" s="69"/>
      <c r="P372" s="69"/>
      <c r="Q372" s="69"/>
      <c r="R372" s="69"/>
      <c r="S372" s="69"/>
      <c r="T372" s="69"/>
      <c r="U372" s="69"/>
      <c r="V372" s="69"/>
      <c r="W372" s="69"/>
      <c r="X372" s="69"/>
      <c r="Y372" s="69"/>
      <c r="Z372" s="69"/>
      <c r="AA372" s="69"/>
      <c r="AB372" s="69"/>
      <c r="AC372" s="69"/>
      <c r="AD372" s="69"/>
      <c r="AE372" s="69"/>
      <c r="AF372" s="69"/>
      <c r="AG372" s="69"/>
      <c r="AH372" s="69"/>
      <c r="AI372" s="69"/>
      <c r="AJ372" s="69"/>
      <c r="AK372" s="69"/>
      <c r="BE372" s="69"/>
    </row>
    <row r="373" spans="2:57" x14ac:dyDescent="0.25">
      <c r="B373"/>
      <c r="C373"/>
      <c r="D373"/>
      <c r="E373"/>
      <c r="I373" s="69"/>
      <c r="J373" s="69"/>
      <c r="K373" s="69"/>
      <c r="L373" s="69"/>
      <c r="M373" s="69"/>
      <c r="N373" s="69"/>
      <c r="O373" s="69"/>
      <c r="P373" s="69"/>
      <c r="Q373" s="69"/>
      <c r="R373" s="69"/>
      <c r="S373" s="69"/>
      <c r="T373" s="69"/>
      <c r="U373" s="69"/>
      <c r="V373" s="69"/>
      <c r="W373" s="69"/>
      <c r="X373" s="69"/>
      <c r="Y373" s="69"/>
      <c r="Z373" s="69"/>
      <c r="AA373" s="69"/>
      <c r="AB373" s="69"/>
      <c r="AC373" s="69"/>
      <c r="AD373" s="69"/>
      <c r="AE373" s="69"/>
      <c r="AF373" s="69"/>
      <c r="AG373" s="69"/>
      <c r="AH373" s="69"/>
      <c r="AI373" s="69"/>
      <c r="AJ373" s="69"/>
      <c r="AK373" s="69"/>
      <c r="BE373" s="69"/>
    </row>
    <row r="374" spans="2:57" x14ac:dyDescent="0.25">
      <c r="B374"/>
      <c r="C374"/>
      <c r="D374"/>
      <c r="E374"/>
      <c r="I374" s="69"/>
      <c r="J374" s="69"/>
      <c r="K374" s="69"/>
      <c r="L374" s="69"/>
      <c r="M374" s="69"/>
      <c r="N374" s="69"/>
      <c r="O374" s="69"/>
      <c r="P374" s="69"/>
      <c r="Q374" s="69"/>
      <c r="R374" s="69"/>
      <c r="S374" s="69"/>
      <c r="T374" s="69"/>
      <c r="U374" s="69"/>
      <c r="V374" s="69"/>
      <c r="W374" s="69"/>
      <c r="X374" s="69"/>
      <c r="Y374" s="69"/>
      <c r="Z374" s="69"/>
      <c r="AA374" s="69"/>
      <c r="AB374" s="69"/>
      <c r="AC374" s="69"/>
      <c r="AD374" s="69"/>
      <c r="AE374" s="69"/>
      <c r="AF374" s="69"/>
      <c r="AG374" s="69"/>
      <c r="AH374" s="69"/>
      <c r="AI374" s="69"/>
      <c r="AJ374" s="69"/>
      <c r="AK374" s="69"/>
      <c r="BE374" s="69"/>
    </row>
    <row r="375" spans="2:57" x14ac:dyDescent="0.25">
      <c r="B375"/>
      <c r="C375"/>
      <c r="D375"/>
      <c r="E375"/>
      <c r="I375" s="69"/>
      <c r="J375" s="69"/>
      <c r="K375" s="69"/>
      <c r="L375" s="69"/>
      <c r="M375" s="69"/>
      <c r="N375" s="69"/>
      <c r="O375" s="69"/>
      <c r="P375" s="69"/>
      <c r="Q375" s="69"/>
      <c r="R375" s="69"/>
      <c r="S375" s="69"/>
      <c r="T375" s="69"/>
      <c r="U375" s="69"/>
      <c r="V375" s="69"/>
      <c r="W375" s="69"/>
      <c r="X375" s="69"/>
      <c r="Y375" s="69"/>
      <c r="Z375" s="69"/>
      <c r="AA375" s="69"/>
      <c r="AB375" s="69"/>
      <c r="AC375" s="69"/>
      <c r="AD375" s="69"/>
      <c r="AE375" s="69"/>
      <c r="AF375" s="69"/>
      <c r="AG375" s="69"/>
      <c r="AH375" s="69"/>
      <c r="AI375" s="69"/>
      <c r="AJ375" s="69"/>
      <c r="AK375" s="69"/>
      <c r="BE375" s="69"/>
    </row>
    <row r="376" spans="2:57" x14ac:dyDescent="0.25">
      <c r="B376"/>
      <c r="C376"/>
      <c r="D376"/>
      <c r="E376"/>
      <c r="I376" s="69"/>
      <c r="J376" s="69"/>
      <c r="K376" s="69"/>
      <c r="L376" s="69"/>
      <c r="M376" s="69"/>
      <c r="N376" s="69"/>
      <c r="O376" s="69"/>
      <c r="P376" s="69"/>
      <c r="Q376" s="69"/>
      <c r="R376" s="69"/>
      <c r="S376" s="69"/>
      <c r="T376" s="69"/>
      <c r="U376" s="69"/>
      <c r="V376" s="69"/>
      <c r="W376" s="69"/>
      <c r="X376" s="69"/>
      <c r="Y376" s="69"/>
      <c r="Z376" s="69"/>
      <c r="AA376" s="69"/>
      <c r="AB376" s="69"/>
      <c r="AC376" s="69"/>
      <c r="AD376" s="69"/>
      <c r="AE376" s="69"/>
      <c r="AF376" s="69"/>
      <c r="AG376" s="69"/>
      <c r="AH376" s="69"/>
      <c r="AI376" s="69"/>
      <c r="AJ376" s="69"/>
      <c r="AK376" s="69"/>
      <c r="BE376" s="69"/>
    </row>
    <row r="377" spans="2:57" x14ac:dyDescent="0.25">
      <c r="B377"/>
      <c r="C377"/>
      <c r="D377"/>
      <c r="E377"/>
      <c r="I377" s="69"/>
      <c r="J377" s="69"/>
      <c r="K377" s="69"/>
      <c r="L377" s="69"/>
      <c r="M377" s="69"/>
      <c r="N377" s="69"/>
      <c r="O377" s="69"/>
      <c r="P377" s="69"/>
      <c r="Q377" s="69"/>
      <c r="R377" s="69"/>
      <c r="S377" s="69"/>
      <c r="T377" s="69"/>
      <c r="U377" s="69"/>
      <c r="V377" s="69"/>
      <c r="W377" s="69"/>
      <c r="X377" s="69"/>
      <c r="Y377" s="69"/>
      <c r="Z377" s="69"/>
      <c r="AA377" s="69"/>
      <c r="AB377" s="69"/>
      <c r="AC377" s="69"/>
      <c r="AD377" s="69"/>
      <c r="AE377" s="69"/>
      <c r="AF377" s="69"/>
      <c r="AG377" s="69"/>
      <c r="AH377" s="69"/>
      <c r="AI377" s="69"/>
      <c r="AJ377" s="69"/>
      <c r="AK377" s="69"/>
      <c r="BE377" s="69"/>
    </row>
    <row r="378" spans="2:57" x14ac:dyDescent="0.25">
      <c r="B378"/>
      <c r="C378"/>
      <c r="D378"/>
      <c r="E378"/>
      <c r="I378" s="69"/>
      <c r="J378" s="69"/>
      <c r="K378" s="69"/>
      <c r="L378" s="69"/>
      <c r="M378" s="69"/>
      <c r="N378" s="69"/>
      <c r="O378" s="69"/>
      <c r="P378" s="69"/>
      <c r="Q378" s="69"/>
      <c r="R378" s="69"/>
      <c r="S378" s="69"/>
      <c r="T378" s="69"/>
      <c r="U378" s="69"/>
      <c r="V378" s="69"/>
      <c r="W378" s="69"/>
      <c r="X378" s="69"/>
      <c r="Y378" s="69"/>
      <c r="Z378" s="69"/>
      <c r="AA378" s="69"/>
      <c r="AB378" s="69"/>
      <c r="AC378" s="69"/>
      <c r="AD378" s="69"/>
      <c r="AE378" s="69"/>
      <c r="AF378" s="69"/>
      <c r="AG378" s="69"/>
      <c r="AH378" s="69"/>
      <c r="AI378" s="69"/>
      <c r="AJ378" s="69"/>
      <c r="AK378" s="69"/>
      <c r="BE378" s="69"/>
    </row>
    <row r="379" spans="2:57" x14ac:dyDescent="0.25">
      <c r="B379"/>
      <c r="C379"/>
      <c r="D379"/>
      <c r="E379"/>
      <c r="I379" s="69"/>
      <c r="J379" s="69"/>
      <c r="K379" s="69"/>
      <c r="L379" s="69"/>
      <c r="M379" s="69"/>
      <c r="N379" s="69"/>
      <c r="O379" s="69"/>
      <c r="P379" s="69"/>
      <c r="Q379" s="69"/>
      <c r="R379" s="69"/>
      <c r="S379" s="69"/>
      <c r="T379" s="69"/>
      <c r="U379" s="69"/>
      <c r="V379" s="69"/>
      <c r="W379" s="69"/>
      <c r="X379" s="69"/>
      <c r="Y379" s="69"/>
      <c r="Z379" s="69"/>
      <c r="AA379" s="69"/>
      <c r="AB379" s="69"/>
      <c r="AC379" s="69"/>
      <c r="AD379" s="69"/>
      <c r="AE379" s="69"/>
      <c r="AF379" s="69"/>
      <c r="AG379" s="69"/>
      <c r="AH379" s="69"/>
      <c r="AI379" s="69"/>
      <c r="AJ379" s="69"/>
      <c r="AK379" s="69"/>
      <c r="BE379" s="69"/>
    </row>
    <row r="380" spans="2:57" x14ac:dyDescent="0.25">
      <c r="B380"/>
      <c r="C380"/>
      <c r="D380"/>
      <c r="E380"/>
      <c r="I380" s="69"/>
      <c r="J380" s="69"/>
      <c r="K380" s="69"/>
      <c r="L380" s="69"/>
      <c r="M380" s="69"/>
      <c r="N380" s="69"/>
      <c r="O380" s="69"/>
      <c r="P380" s="69"/>
      <c r="Q380" s="69"/>
      <c r="R380" s="69"/>
      <c r="S380" s="69"/>
      <c r="T380" s="69"/>
      <c r="U380" s="69"/>
      <c r="V380" s="69"/>
      <c r="W380" s="69"/>
      <c r="X380" s="69"/>
      <c r="Y380" s="69"/>
      <c r="Z380" s="69"/>
      <c r="AA380" s="69"/>
      <c r="AB380" s="69"/>
      <c r="AC380" s="69"/>
      <c r="AD380" s="69"/>
      <c r="AE380" s="69"/>
      <c r="AF380" s="69"/>
      <c r="AG380" s="69"/>
      <c r="AH380" s="69"/>
      <c r="AI380" s="69"/>
      <c r="AJ380" s="69"/>
      <c r="AK380" s="69"/>
      <c r="BE380" s="69"/>
    </row>
    <row r="381" spans="2:57" x14ac:dyDescent="0.25">
      <c r="B381"/>
      <c r="C381"/>
      <c r="D381"/>
      <c r="E381"/>
      <c r="I381" s="69"/>
      <c r="J381" s="69"/>
      <c r="K381" s="69"/>
      <c r="L381" s="69"/>
      <c r="M381" s="69"/>
      <c r="N381" s="69"/>
      <c r="O381" s="69"/>
      <c r="P381" s="69"/>
      <c r="Q381" s="69"/>
      <c r="R381" s="69"/>
      <c r="S381" s="69"/>
      <c r="T381" s="69"/>
      <c r="U381" s="69"/>
      <c r="V381" s="69"/>
      <c r="W381" s="69"/>
      <c r="X381" s="69"/>
      <c r="Y381" s="69"/>
      <c r="Z381" s="69"/>
      <c r="AA381" s="69"/>
      <c r="AB381" s="69"/>
      <c r="AC381" s="69"/>
      <c r="AD381" s="69"/>
      <c r="AE381" s="69"/>
      <c r="AF381" s="69"/>
      <c r="AG381" s="69"/>
      <c r="AH381" s="69"/>
      <c r="AI381" s="69"/>
      <c r="AJ381" s="69"/>
      <c r="AK381" s="69"/>
      <c r="BE381" s="69"/>
    </row>
    <row r="382" spans="2:57" x14ac:dyDescent="0.25">
      <c r="B382"/>
      <c r="C382"/>
      <c r="D382"/>
      <c r="E382"/>
      <c r="I382" s="69"/>
      <c r="J382" s="69"/>
      <c r="K382" s="69"/>
      <c r="L382" s="69"/>
      <c r="M382" s="69"/>
      <c r="N382" s="69"/>
      <c r="O382" s="69"/>
      <c r="P382" s="69"/>
      <c r="Q382" s="69"/>
      <c r="R382" s="69"/>
      <c r="S382" s="69"/>
      <c r="T382" s="69"/>
      <c r="U382" s="69"/>
      <c r="V382" s="69"/>
      <c r="W382" s="69"/>
      <c r="X382" s="69"/>
      <c r="Y382" s="69"/>
      <c r="Z382" s="69"/>
      <c r="AA382" s="69"/>
      <c r="AB382" s="69"/>
      <c r="AC382" s="69"/>
      <c r="AD382" s="69"/>
      <c r="AE382" s="69"/>
      <c r="AF382" s="69"/>
      <c r="AG382" s="69"/>
      <c r="AH382" s="69"/>
      <c r="AI382" s="69"/>
      <c r="AJ382" s="69"/>
      <c r="AK382" s="69"/>
      <c r="BE382" s="69"/>
    </row>
    <row r="383" spans="2:57" x14ac:dyDescent="0.25">
      <c r="B383"/>
      <c r="C383"/>
      <c r="D383"/>
      <c r="E383"/>
      <c r="I383" s="69"/>
      <c r="J383" s="69"/>
      <c r="K383" s="69"/>
      <c r="L383" s="69"/>
      <c r="M383" s="69"/>
      <c r="N383" s="69"/>
      <c r="O383" s="69"/>
      <c r="P383" s="69"/>
      <c r="Q383" s="69"/>
      <c r="R383" s="69"/>
      <c r="S383" s="69"/>
      <c r="T383" s="69"/>
      <c r="U383" s="69"/>
      <c r="V383" s="69"/>
      <c r="W383" s="69"/>
      <c r="X383" s="69"/>
      <c r="Y383" s="69"/>
      <c r="Z383" s="69"/>
      <c r="AA383" s="69"/>
      <c r="AB383" s="69"/>
      <c r="AC383" s="69"/>
      <c r="AD383" s="69"/>
      <c r="AE383" s="69"/>
      <c r="AF383" s="69"/>
      <c r="AG383" s="69"/>
      <c r="AH383" s="69"/>
      <c r="AI383" s="69"/>
      <c r="AJ383" s="69"/>
      <c r="AK383" s="69"/>
      <c r="BE383" s="69"/>
    </row>
    <row r="384" spans="2:57" x14ac:dyDescent="0.25">
      <c r="B384"/>
      <c r="C384"/>
      <c r="D384"/>
      <c r="E384"/>
      <c r="I384" s="69"/>
      <c r="J384" s="69"/>
      <c r="K384" s="69"/>
      <c r="L384" s="69"/>
      <c r="M384" s="69"/>
      <c r="N384" s="69"/>
      <c r="O384" s="69"/>
      <c r="P384" s="69"/>
      <c r="Q384" s="69"/>
      <c r="R384" s="69"/>
      <c r="S384" s="69"/>
      <c r="T384" s="69"/>
      <c r="U384" s="69"/>
      <c r="V384" s="69"/>
      <c r="W384" s="69"/>
      <c r="X384" s="69"/>
      <c r="Y384" s="69"/>
      <c r="Z384" s="69"/>
      <c r="AA384" s="69"/>
      <c r="AB384" s="69"/>
      <c r="AC384" s="69"/>
      <c r="AD384" s="69"/>
      <c r="AE384" s="69"/>
      <c r="AF384" s="69"/>
      <c r="AG384" s="69"/>
      <c r="AH384" s="69"/>
      <c r="AI384" s="69"/>
      <c r="AJ384" s="69"/>
      <c r="AK384" s="69"/>
      <c r="BE384" s="69"/>
    </row>
    <row r="385" spans="2:57" x14ac:dyDescent="0.25">
      <c r="B385"/>
      <c r="C385"/>
      <c r="D385"/>
      <c r="E385"/>
      <c r="I385" s="69"/>
      <c r="J385" s="69"/>
      <c r="K385" s="69"/>
      <c r="L385" s="69"/>
      <c r="M385" s="69"/>
      <c r="N385" s="69"/>
      <c r="O385" s="69"/>
      <c r="P385" s="69"/>
      <c r="Q385" s="69"/>
      <c r="R385" s="69"/>
      <c r="S385" s="69"/>
      <c r="T385" s="69"/>
      <c r="U385" s="69"/>
      <c r="V385" s="69"/>
      <c r="W385" s="69"/>
      <c r="X385" s="69"/>
      <c r="Y385" s="69"/>
      <c r="Z385" s="69"/>
      <c r="AA385" s="69"/>
      <c r="AB385" s="69"/>
      <c r="AC385" s="69"/>
      <c r="AD385" s="69"/>
      <c r="AE385" s="69"/>
      <c r="AF385" s="69"/>
      <c r="AG385" s="69"/>
      <c r="AH385" s="69"/>
      <c r="AI385" s="69"/>
      <c r="AJ385" s="69"/>
      <c r="AK385" s="69"/>
      <c r="BE385" s="69"/>
    </row>
    <row r="386" spans="2:57" x14ac:dyDescent="0.25">
      <c r="B386"/>
      <c r="C386"/>
      <c r="D386"/>
      <c r="E386"/>
      <c r="I386" s="69"/>
      <c r="J386" s="69"/>
      <c r="K386" s="69"/>
      <c r="L386" s="69"/>
      <c r="M386" s="69"/>
      <c r="N386" s="69"/>
      <c r="O386" s="69"/>
      <c r="P386" s="69"/>
      <c r="Q386" s="69"/>
      <c r="R386" s="69"/>
      <c r="S386" s="69"/>
      <c r="T386" s="69"/>
      <c r="U386" s="69"/>
      <c r="V386" s="69"/>
      <c r="W386" s="69"/>
      <c r="X386" s="69"/>
      <c r="Y386" s="69"/>
      <c r="Z386" s="69"/>
      <c r="AA386" s="69"/>
      <c r="AB386" s="69"/>
      <c r="AC386" s="69"/>
      <c r="AD386" s="69"/>
      <c r="AE386" s="69"/>
      <c r="AF386" s="69"/>
      <c r="AG386" s="69"/>
      <c r="AH386" s="69"/>
      <c r="AI386" s="69"/>
      <c r="AJ386" s="69"/>
      <c r="AK386" s="69"/>
      <c r="BE386" s="69"/>
    </row>
    <row r="387" spans="2:57" x14ac:dyDescent="0.25">
      <c r="B387"/>
      <c r="C387"/>
      <c r="D387"/>
      <c r="E387"/>
      <c r="I387" s="69"/>
      <c r="J387" s="69"/>
      <c r="K387" s="69"/>
      <c r="L387" s="69"/>
      <c r="M387" s="69"/>
      <c r="N387" s="69"/>
      <c r="O387" s="69"/>
      <c r="P387" s="69"/>
      <c r="Q387" s="69"/>
      <c r="R387" s="69"/>
      <c r="S387" s="69"/>
      <c r="T387" s="69"/>
      <c r="U387" s="69"/>
      <c r="V387" s="69"/>
      <c r="W387" s="69"/>
      <c r="X387" s="69"/>
      <c r="Y387" s="69"/>
      <c r="Z387" s="69"/>
      <c r="AA387" s="69"/>
      <c r="AB387" s="69"/>
      <c r="AC387" s="69"/>
      <c r="AD387" s="69"/>
      <c r="AE387" s="69"/>
      <c r="AF387" s="69"/>
      <c r="AG387" s="69"/>
      <c r="AH387" s="69"/>
      <c r="AI387" s="69"/>
      <c r="AJ387" s="69"/>
      <c r="AK387" s="69"/>
      <c r="BE387" s="69"/>
    </row>
    <row r="388" spans="2:57" x14ac:dyDescent="0.25">
      <c r="B388"/>
      <c r="C388"/>
      <c r="D388"/>
      <c r="E388"/>
      <c r="I388" s="69"/>
      <c r="J388" s="69"/>
      <c r="K388" s="69"/>
      <c r="L388" s="69"/>
      <c r="M388" s="69"/>
      <c r="N388" s="69"/>
      <c r="O388" s="69"/>
      <c r="P388" s="69"/>
      <c r="Q388" s="69"/>
      <c r="R388" s="69"/>
      <c r="S388" s="69"/>
      <c r="T388" s="69"/>
      <c r="U388" s="69"/>
      <c r="V388" s="69"/>
      <c r="W388" s="69"/>
      <c r="X388" s="69"/>
      <c r="Y388" s="69"/>
      <c r="Z388" s="69"/>
      <c r="AA388" s="69"/>
      <c r="AB388" s="69"/>
      <c r="AC388" s="69"/>
      <c r="AD388" s="69"/>
      <c r="AE388" s="69"/>
      <c r="AF388" s="69"/>
      <c r="AG388" s="69"/>
      <c r="AH388" s="69"/>
      <c r="AI388" s="69"/>
      <c r="AJ388" s="69"/>
      <c r="AK388" s="69"/>
      <c r="BE388" s="69"/>
    </row>
    <row r="389" spans="2:57" x14ac:dyDescent="0.25">
      <c r="B389"/>
      <c r="C389"/>
      <c r="D389"/>
      <c r="E389"/>
      <c r="I389" s="69"/>
      <c r="J389" s="69"/>
      <c r="K389" s="69"/>
      <c r="L389" s="69"/>
      <c r="M389" s="69"/>
      <c r="N389" s="69"/>
      <c r="O389" s="69"/>
      <c r="P389" s="69"/>
      <c r="Q389" s="69"/>
      <c r="R389" s="69"/>
      <c r="S389" s="69"/>
      <c r="T389" s="69"/>
      <c r="U389" s="69"/>
      <c r="V389" s="69"/>
      <c r="W389" s="69"/>
      <c r="X389" s="69"/>
      <c r="Y389" s="69"/>
      <c r="Z389" s="69"/>
      <c r="AA389" s="69"/>
      <c r="AB389" s="69"/>
      <c r="AC389" s="69"/>
      <c r="AD389" s="69"/>
      <c r="AE389" s="69"/>
      <c r="AF389" s="69"/>
      <c r="AG389" s="69"/>
      <c r="AH389" s="69"/>
      <c r="AI389" s="69"/>
      <c r="AJ389" s="69"/>
      <c r="AK389" s="69"/>
      <c r="BE389" s="69"/>
    </row>
    <row r="390" spans="2:57" x14ac:dyDescent="0.25">
      <c r="B390"/>
      <c r="C390"/>
      <c r="D390"/>
      <c r="E390"/>
      <c r="I390" s="69"/>
      <c r="J390" s="69"/>
      <c r="K390" s="69"/>
      <c r="L390" s="69"/>
      <c r="M390" s="69"/>
      <c r="N390" s="69"/>
      <c r="O390" s="69"/>
      <c r="P390" s="69"/>
      <c r="Q390" s="69"/>
      <c r="R390" s="69"/>
      <c r="S390" s="69"/>
      <c r="T390" s="69"/>
      <c r="U390" s="69"/>
      <c r="V390" s="69"/>
      <c r="W390" s="69"/>
      <c r="X390" s="69"/>
      <c r="Y390" s="69"/>
      <c r="Z390" s="69"/>
      <c r="AA390" s="69"/>
      <c r="AB390" s="69"/>
      <c r="AC390" s="69"/>
      <c r="AD390" s="69"/>
      <c r="AE390" s="69"/>
      <c r="AF390" s="69"/>
      <c r="AG390" s="69"/>
      <c r="AH390" s="69"/>
      <c r="AI390" s="69"/>
      <c r="AJ390" s="69"/>
      <c r="AK390" s="69"/>
      <c r="BE390" s="69"/>
    </row>
    <row r="391" spans="2:57" x14ac:dyDescent="0.25">
      <c r="B391"/>
      <c r="C391"/>
      <c r="D391"/>
      <c r="E391"/>
      <c r="I391" s="69"/>
      <c r="J391" s="69"/>
      <c r="K391" s="69"/>
      <c r="L391" s="69"/>
      <c r="M391" s="69"/>
      <c r="N391" s="69"/>
      <c r="O391" s="69"/>
      <c r="P391" s="69"/>
      <c r="Q391" s="69"/>
      <c r="R391" s="69"/>
      <c r="S391" s="69"/>
      <c r="T391" s="69"/>
      <c r="U391" s="69"/>
      <c r="V391" s="69"/>
      <c r="W391" s="69"/>
      <c r="X391" s="69"/>
      <c r="Y391" s="69"/>
      <c r="Z391" s="69"/>
      <c r="AA391" s="69"/>
      <c r="AB391" s="69"/>
      <c r="AC391" s="69"/>
      <c r="AD391" s="69"/>
      <c r="AE391" s="69"/>
      <c r="AF391" s="69"/>
      <c r="AG391" s="69"/>
      <c r="AH391" s="69"/>
      <c r="AI391" s="69"/>
      <c r="AJ391" s="69"/>
      <c r="AK391" s="69"/>
      <c r="BE391" s="69"/>
    </row>
    <row r="392" spans="2:57" x14ac:dyDescent="0.25">
      <c r="B392"/>
      <c r="C392"/>
      <c r="D392"/>
      <c r="E392"/>
      <c r="I392" s="69"/>
      <c r="J392" s="69"/>
      <c r="K392" s="69"/>
      <c r="L392" s="69"/>
      <c r="M392" s="69"/>
      <c r="N392" s="69"/>
      <c r="O392" s="69"/>
      <c r="P392" s="69"/>
      <c r="Q392" s="69"/>
      <c r="R392" s="69"/>
      <c r="S392" s="69"/>
      <c r="T392" s="69"/>
      <c r="U392" s="69"/>
      <c r="V392" s="69"/>
      <c r="W392" s="69"/>
      <c r="X392" s="69"/>
      <c r="Y392" s="69"/>
      <c r="Z392" s="69"/>
      <c r="AA392" s="69"/>
      <c r="AB392" s="69"/>
      <c r="AC392" s="69"/>
      <c r="AD392" s="69"/>
      <c r="AE392" s="69"/>
      <c r="AF392" s="69"/>
      <c r="AG392" s="69"/>
      <c r="AH392" s="69"/>
      <c r="AI392" s="69"/>
      <c r="AJ392" s="69"/>
      <c r="AK392" s="69"/>
      <c r="BE392" s="69"/>
    </row>
    <row r="393" spans="2:57" x14ac:dyDescent="0.25">
      <c r="B393"/>
      <c r="C393"/>
      <c r="D393"/>
      <c r="E393"/>
      <c r="I393" s="69"/>
      <c r="J393" s="69"/>
      <c r="K393" s="69"/>
      <c r="L393" s="69"/>
      <c r="M393" s="69"/>
      <c r="N393" s="69"/>
      <c r="O393" s="69"/>
      <c r="P393" s="69"/>
      <c r="Q393" s="69"/>
      <c r="R393" s="69"/>
      <c r="S393" s="69"/>
      <c r="T393" s="69"/>
      <c r="U393" s="69"/>
      <c r="V393" s="69"/>
      <c r="W393" s="69"/>
      <c r="X393" s="69"/>
      <c r="Y393" s="69"/>
      <c r="Z393" s="69"/>
      <c r="AA393" s="69"/>
      <c r="AB393" s="69"/>
      <c r="AC393" s="69"/>
      <c r="AD393" s="69"/>
      <c r="AE393" s="69"/>
      <c r="AF393" s="69"/>
      <c r="AG393" s="69"/>
      <c r="AH393" s="69"/>
      <c r="AI393" s="69"/>
      <c r="AJ393" s="69"/>
      <c r="AK393" s="69"/>
      <c r="BE393" s="69"/>
    </row>
    <row r="394" spans="2:57" x14ac:dyDescent="0.25">
      <c r="B394"/>
      <c r="C394"/>
      <c r="D394"/>
      <c r="E394"/>
      <c r="I394" s="69"/>
      <c r="J394" s="69"/>
      <c r="K394" s="69"/>
      <c r="L394" s="69"/>
      <c r="M394" s="69"/>
      <c r="N394" s="69"/>
      <c r="O394" s="69"/>
      <c r="P394" s="69"/>
      <c r="Q394" s="69"/>
      <c r="R394" s="69"/>
      <c r="S394" s="69"/>
      <c r="T394" s="69"/>
      <c r="U394" s="69"/>
      <c r="V394" s="69"/>
      <c r="W394" s="69"/>
      <c r="X394" s="69"/>
      <c r="Y394" s="69"/>
      <c r="Z394" s="69"/>
      <c r="AA394" s="69"/>
      <c r="AB394" s="69"/>
      <c r="AC394" s="69"/>
      <c r="AD394" s="69"/>
      <c r="AE394" s="69"/>
      <c r="AF394" s="69"/>
      <c r="AG394" s="69"/>
      <c r="AH394" s="69"/>
      <c r="AI394" s="69"/>
      <c r="AJ394" s="69"/>
      <c r="AK394" s="69"/>
      <c r="BE394" s="69"/>
    </row>
    <row r="395" spans="2:57" x14ac:dyDescent="0.25">
      <c r="B395"/>
      <c r="C395"/>
      <c r="D395"/>
      <c r="E395"/>
      <c r="I395" s="69"/>
      <c r="J395" s="69"/>
      <c r="K395" s="69"/>
      <c r="L395" s="69"/>
      <c r="M395" s="69"/>
      <c r="N395" s="69"/>
      <c r="O395" s="69"/>
      <c r="P395" s="69"/>
      <c r="Q395" s="69"/>
      <c r="R395" s="69"/>
      <c r="S395" s="69"/>
      <c r="T395" s="69"/>
      <c r="U395" s="69"/>
      <c r="V395" s="69"/>
      <c r="W395" s="69"/>
      <c r="X395" s="69"/>
      <c r="Y395" s="69"/>
      <c r="Z395" s="69"/>
      <c r="AA395" s="69"/>
      <c r="AB395" s="69"/>
      <c r="AC395" s="69"/>
      <c r="AD395" s="69"/>
      <c r="AE395" s="69"/>
      <c r="AF395" s="69"/>
      <c r="AG395" s="69"/>
      <c r="AH395" s="69"/>
      <c r="AI395" s="69"/>
      <c r="AJ395" s="69"/>
      <c r="AK395" s="69"/>
      <c r="BE395" s="69"/>
    </row>
    <row r="396" spans="2:57" x14ac:dyDescent="0.25">
      <c r="B396"/>
      <c r="C396"/>
      <c r="D396"/>
      <c r="E396"/>
      <c r="I396" s="69"/>
      <c r="J396" s="69"/>
      <c r="K396" s="69"/>
      <c r="L396" s="69"/>
      <c r="M396" s="69"/>
      <c r="N396" s="69"/>
      <c r="O396" s="69"/>
      <c r="P396" s="69"/>
      <c r="Q396" s="69"/>
      <c r="R396" s="69"/>
      <c r="S396" s="69"/>
      <c r="T396" s="69"/>
      <c r="U396" s="69"/>
      <c r="V396" s="69"/>
      <c r="W396" s="69"/>
      <c r="X396" s="69"/>
      <c r="Y396" s="69"/>
      <c r="Z396" s="69"/>
      <c r="AA396" s="69"/>
      <c r="AB396" s="69"/>
      <c r="AC396" s="69"/>
      <c r="AD396" s="69"/>
      <c r="AE396" s="69"/>
      <c r="AF396" s="69"/>
      <c r="AG396" s="69"/>
      <c r="AH396" s="69"/>
      <c r="AI396" s="69"/>
      <c r="AJ396" s="69"/>
      <c r="AK396" s="69"/>
      <c r="BE396" s="69"/>
    </row>
    <row r="397" spans="2:57" x14ac:dyDescent="0.25">
      <c r="B397"/>
      <c r="C397"/>
      <c r="D397"/>
      <c r="E397"/>
      <c r="I397" s="69"/>
      <c r="J397" s="69"/>
      <c r="K397" s="69"/>
      <c r="L397" s="69"/>
      <c r="M397" s="69"/>
      <c r="N397" s="69"/>
      <c r="O397" s="69"/>
      <c r="P397" s="69"/>
      <c r="Q397" s="69"/>
      <c r="R397" s="69"/>
      <c r="S397" s="69"/>
      <c r="T397" s="69"/>
      <c r="U397" s="69"/>
      <c r="V397" s="69"/>
      <c r="W397" s="69"/>
      <c r="X397" s="69"/>
      <c r="Y397" s="69"/>
      <c r="Z397" s="69"/>
      <c r="AA397" s="69"/>
      <c r="AB397" s="69"/>
      <c r="AC397" s="69"/>
      <c r="AD397" s="69"/>
      <c r="AE397" s="69"/>
      <c r="AF397" s="69"/>
      <c r="AG397" s="69"/>
      <c r="AH397" s="69"/>
      <c r="AI397" s="69"/>
      <c r="AJ397" s="69"/>
      <c r="AK397" s="69"/>
      <c r="BE397" s="69"/>
    </row>
    <row r="398" spans="2:57" x14ac:dyDescent="0.25">
      <c r="B398"/>
      <c r="C398"/>
      <c r="D398"/>
      <c r="E398"/>
      <c r="I398" s="69"/>
      <c r="J398" s="69"/>
      <c r="K398" s="69"/>
      <c r="L398" s="69"/>
      <c r="M398" s="69"/>
      <c r="N398" s="69"/>
      <c r="O398" s="69"/>
      <c r="P398" s="69"/>
      <c r="Q398" s="69"/>
      <c r="R398" s="69"/>
      <c r="S398" s="69"/>
      <c r="T398" s="69"/>
      <c r="U398" s="69"/>
      <c r="V398" s="69"/>
      <c r="W398" s="69"/>
      <c r="X398" s="69"/>
      <c r="Y398" s="69"/>
      <c r="Z398" s="69"/>
      <c r="AA398" s="69"/>
      <c r="AB398" s="69"/>
      <c r="AC398" s="69"/>
      <c r="AD398" s="69"/>
      <c r="AE398" s="69"/>
      <c r="AF398" s="69"/>
      <c r="AG398" s="69"/>
      <c r="AH398" s="69"/>
      <c r="AI398" s="69"/>
      <c r="AJ398" s="69"/>
      <c r="AK398" s="69"/>
      <c r="BE398" s="69"/>
    </row>
    <row r="399" spans="2:57" x14ac:dyDescent="0.25">
      <c r="B399"/>
      <c r="C399"/>
      <c r="D399"/>
      <c r="E399"/>
      <c r="I399" s="69"/>
      <c r="J399" s="69"/>
      <c r="K399" s="69"/>
      <c r="L399" s="69"/>
      <c r="M399" s="69"/>
      <c r="N399" s="69"/>
      <c r="O399" s="69"/>
      <c r="P399" s="69"/>
      <c r="Q399" s="69"/>
      <c r="R399" s="69"/>
      <c r="S399" s="69"/>
      <c r="T399" s="69"/>
      <c r="U399" s="69"/>
      <c r="V399" s="69"/>
      <c r="W399" s="69"/>
      <c r="X399" s="69"/>
      <c r="Y399" s="69"/>
      <c r="Z399" s="69"/>
      <c r="AA399" s="69"/>
      <c r="AB399" s="69"/>
      <c r="AC399" s="69"/>
      <c r="AD399" s="69"/>
      <c r="AE399" s="69"/>
      <c r="AF399" s="69"/>
      <c r="AG399" s="69"/>
      <c r="AH399" s="69"/>
      <c r="AI399" s="69"/>
      <c r="AJ399" s="69"/>
      <c r="AK399" s="69"/>
      <c r="BE399" s="69"/>
    </row>
    <row r="400" spans="2:57" x14ac:dyDescent="0.25">
      <c r="B400"/>
      <c r="C400"/>
      <c r="D400"/>
      <c r="E400"/>
      <c r="I400" s="69"/>
      <c r="J400" s="69"/>
      <c r="K400" s="69"/>
      <c r="L400" s="69"/>
      <c r="M400" s="69"/>
      <c r="N400" s="69"/>
      <c r="O400" s="69"/>
      <c r="P400" s="69"/>
      <c r="Q400" s="69"/>
      <c r="R400" s="69"/>
      <c r="S400" s="69"/>
      <c r="T400" s="69"/>
      <c r="U400" s="69"/>
      <c r="V400" s="69"/>
      <c r="W400" s="69"/>
      <c r="X400" s="69"/>
      <c r="Y400" s="69"/>
      <c r="Z400" s="69"/>
      <c r="AA400" s="69"/>
      <c r="AB400" s="69"/>
      <c r="AC400" s="69"/>
      <c r="AD400" s="69"/>
      <c r="AE400" s="69"/>
      <c r="AF400" s="69"/>
      <c r="AG400" s="69"/>
      <c r="AH400" s="69"/>
      <c r="AI400" s="69"/>
      <c r="AJ400" s="69"/>
      <c r="AK400" s="69"/>
      <c r="BE400" s="69"/>
    </row>
    <row r="401" spans="2:57" x14ac:dyDescent="0.25">
      <c r="B401"/>
      <c r="C401"/>
      <c r="D401"/>
      <c r="E401"/>
      <c r="I401" s="69"/>
      <c r="J401" s="69"/>
      <c r="K401" s="69"/>
      <c r="L401" s="69"/>
      <c r="M401" s="69"/>
      <c r="N401" s="69"/>
      <c r="O401" s="69"/>
      <c r="P401" s="69"/>
      <c r="Q401" s="69"/>
      <c r="R401" s="69"/>
      <c r="S401" s="69"/>
      <c r="T401" s="69"/>
      <c r="U401" s="69"/>
      <c r="V401" s="69"/>
      <c r="W401" s="69"/>
      <c r="X401" s="69"/>
      <c r="Y401" s="69"/>
      <c r="Z401" s="69"/>
      <c r="AA401" s="69"/>
      <c r="AB401" s="69"/>
      <c r="AC401" s="69"/>
      <c r="AD401" s="69"/>
      <c r="AE401" s="69"/>
      <c r="AF401" s="69"/>
      <c r="AG401" s="69"/>
      <c r="AH401" s="69"/>
      <c r="AI401" s="69"/>
      <c r="AJ401" s="69"/>
      <c r="AK401" s="69"/>
      <c r="BE401" s="69"/>
    </row>
  </sheetData>
  <sheetProtection algorithmName="SHA-512" hashValue="VtrKE0xXdi97ARk9kYZeGdpABSDM3/lF7KbNDihH9BQ+0mIvKsXnvNLTG/zHaUISPUFDo+R+T5wgdbR1fuyYMw==" saltValue="aixj+bvU5O9LJzhn/A12cg==" spinCount="100000" sheet="1" formatColumns="0" formatRows="0"/>
  <mergeCells count="20">
    <mergeCell ref="AJ6:AL6"/>
    <mergeCell ref="B88:H88"/>
    <mergeCell ref="A2:B2"/>
    <mergeCell ref="B81:H81"/>
    <mergeCell ref="B85:H85"/>
    <mergeCell ref="B86:H86"/>
    <mergeCell ref="B87:H87"/>
    <mergeCell ref="Z1:AE1"/>
    <mergeCell ref="B95:H95"/>
    <mergeCell ref="B80:H80"/>
    <mergeCell ref="B92:H92"/>
    <mergeCell ref="B93:H93"/>
    <mergeCell ref="B83:H83"/>
    <mergeCell ref="B82:H82"/>
    <mergeCell ref="B84:H84"/>
    <mergeCell ref="A1:F1"/>
    <mergeCell ref="B94:H94"/>
    <mergeCell ref="B89:H89"/>
    <mergeCell ref="B90:H90"/>
    <mergeCell ref="B91:H91"/>
  </mergeCells>
  <phoneticPr fontId="22" type="noConversion"/>
  <conditionalFormatting sqref="E78 A28:H62">
    <cfRule type="expression" dxfId="190" priority="184">
      <formula>$E$28="Yes"</formula>
    </cfRule>
  </conditionalFormatting>
  <conditionalFormatting sqref="A9:H12 A8:D8 F8:H8 A13:D13 F13:H13 A20:D20 F20:H20 A27:D27 F27:H27 A64:H66 A63:D63 F63:H63 A67:D67 F67:H67 A70:D70 F70:H70 A78:H78 A77:D77 F77:H77 A14:H19 A21:H26 A28:H62 A68:H69 A71:H76">
    <cfRule type="expression" dxfId="189" priority="3908">
      <formula>$C$3="Yes, section requirements are not applicable"</formula>
    </cfRule>
  </conditionalFormatting>
  <conditionalFormatting sqref="E64">
    <cfRule type="expression" dxfId="188" priority="102">
      <formula>$E$28="Yes"</formula>
    </cfRule>
  </conditionalFormatting>
  <conditionalFormatting sqref="E65">
    <cfRule type="expression" dxfId="187" priority="100">
      <formula>$E$28="Yes"</formula>
    </cfRule>
  </conditionalFormatting>
  <conditionalFormatting sqref="E66">
    <cfRule type="expression" dxfId="186" priority="98">
      <formula>$E$28="Yes"</formula>
    </cfRule>
  </conditionalFormatting>
  <conditionalFormatting sqref="E68">
    <cfRule type="expression" dxfId="185" priority="96">
      <formula>$E$28="Yes"</formula>
    </cfRule>
  </conditionalFormatting>
  <conditionalFormatting sqref="E69">
    <cfRule type="expression" dxfId="184" priority="95">
      <formula>$E$28="Yes"</formula>
    </cfRule>
  </conditionalFormatting>
  <conditionalFormatting sqref="E71">
    <cfRule type="expression" dxfId="183" priority="94">
      <formula>$E$28="Yes"</formula>
    </cfRule>
  </conditionalFormatting>
  <conditionalFormatting sqref="E72">
    <cfRule type="expression" dxfId="182" priority="93">
      <formula>$E$28="Yes"</formula>
    </cfRule>
  </conditionalFormatting>
  <conditionalFormatting sqref="E73">
    <cfRule type="expression" dxfId="181" priority="92">
      <formula>$E$28="Yes"</formula>
    </cfRule>
  </conditionalFormatting>
  <conditionalFormatting sqref="E74">
    <cfRule type="expression" dxfId="180" priority="91">
      <formula>$E$28="Yes"</formula>
    </cfRule>
  </conditionalFormatting>
  <conditionalFormatting sqref="E75">
    <cfRule type="expression" dxfId="179" priority="90">
      <formula>$E$28="Yes"</formula>
    </cfRule>
  </conditionalFormatting>
  <conditionalFormatting sqref="E76 E78">
    <cfRule type="expression" dxfId="178" priority="89">
      <formula>$E$28="Yes"</formula>
    </cfRule>
  </conditionalFormatting>
  <conditionalFormatting sqref="A9:H12">
    <cfRule type="expression" dxfId="177" priority="9">
      <formula>$E$8="N/A"</formula>
    </cfRule>
  </conditionalFormatting>
  <conditionalFormatting sqref="A14:H19">
    <cfRule type="expression" dxfId="176" priority="8">
      <formula>$E$13="N/A"</formula>
    </cfRule>
  </conditionalFormatting>
  <conditionalFormatting sqref="A21:H26">
    <cfRule type="expression" dxfId="175" priority="7">
      <formula>$E$20="N/A"</formula>
    </cfRule>
  </conditionalFormatting>
  <conditionalFormatting sqref="A28:H62">
    <cfRule type="expression" dxfId="174" priority="6">
      <formula>$E$27="N/A"</formula>
    </cfRule>
  </conditionalFormatting>
  <conditionalFormatting sqref="A64:H66">
    <cfRule type="expression" dxfId="173" priority="5">
      <formula>$E$63="N/A"</formula>
    </cfRule>
  </conditionalFormatting>
  <conditionalFormatting sqref="A68:H69">
    <cfRule type="expression" dxfId="172" priority="4">
      <formula>$E$67="N/A"</formula>
    </cfRule>
  </conditionalFormatting>
  <conditionalFormatting sqref="A71:H76">
    <cfRule type="expression" dxfId="171" priority="3">
      <formula>$E$70="N/A"</formula>
    </cfRule>
  </conditionalFormatting>
  <conditionalFormatting sqref="A78:H78">
    <cfRule type="expression" dxfId="170" priority="2">
      <formula>$E$77="N/A"</formula>
    </cfRule>
  </conditionalFormatting>
  <conditionalFormatting sqref="A9:H78">
    <cfRule type="expression" dxfId="169" priority="1">
      <formula>$X9=TRUE</formula>
    </cfRule>
  </conditionalFormatting>
  <conditionalFormatting sqref="E8 E13 E20 E27 E63 E67 E70 E77">
    <cfRule type="expression" dxfId="168" priority="5148">
      <formula>$AK8=1</formula>
    </cfRule>
    <cfRule type="expression" dxfId="167" priority="5149">
      <formula>$C$3="Yes, section requirements are not included in the contract amendment"</formula>
    </cfRule>
    <cfRule type="expression" dxfId="166" priority="5150">
      <formula>OR($BE8=TRUE,$U8=TRUE)</formula>
    </cfRule>
  </conditionalFormatting>
  <dataValidations count="3">
    <dataValidation type="list" allowBlank="1" showInputMessage="1" showErrorMessage="1" sqref="C3" xr:uid="{00000000-0002-0000-0700-000000000000}">
      <formula1>$K$2:$K$3</formula1>
    </dataValidation>
    <dataValidation type="list" allowBlank="1" showInputMessage="1" showErrorMessage="1" sqref="E9:E12 E14:E19 E21:E26 E68:E69 E78 E64:E66 E71:E76 E28:E62" xr:uid="{9CF34712-B099-408F-B9A2-9F8D9583995C}">
      <formula1>$J$1:$J$4</formula1>
    </dataValidation>
    <dataValidation type="list" allowBlank="1" showInputMessage="1" showErrorMessage="1" sqref="E8 E77 E70 E67 E63 E27 E20 E13" xr:uid="{236C54BF-140A-41E1-A685-644D5A6F12A4}">
      <formula1>$AU$1</formula1>
    </dataValidation>
  </dataValidations>
  <hyperlinks>
    <hyperlink ref="D11" location="'D. Payment'!A80" display="'D. Payment'!A80" xr:uid="{DA425B1E-8DE8-4E2C-9C00-8EC366D74B02}"/>
    <hyperlink ref="D14" location="'D. Payment'!A81" display="'D. Payment'!A81" xr:uid="{D48AD442-CB59-4472-9996-B37EFA169E34}"/>
    <hyperlink ref="D19" location="'D. Payment'!A81" display="2,3" xr:uid="{9D45AD1F-49AC-4958-816E-7A1F8FD40AD1}"/>
    <hyperlink ref="D21" location="'D. Payment'!A83" display="'D. Payment'!A83" xr:uid="{29223D4A-3CC1-4409-83A7-3C86659AD78D}"/>
    <hyperlink ref="D26" location="'D. Payment'!A83" display="4,5" xr:uid="{84106F90-68C7-45C8-A5E1-5FCB9AAA9249}"/>
    <hyperlink ref="D29" location="'D. Payment'!A85" display="6,7" xr:uid="{2577D51A-7EF5-4FEE-A81C-CEF459E7C22E}"/>
    <hyperlink ref="D31" location="'D. Payment'!A85" display="6,7,8" xr:uid="{B0F6C921-64C6-4656-A179-926541EA065C}"/>
    <hyperlink ref="D58" location="'D. Payment'!A86" display="7,8" xr:uid="{FE97ACF0-A189-4107-8ABC-FFFA41A6ABF5}"/>
    <hyperlink ref="D68" location="'D. Payment'!A89" display="'D. Payment'!A89" xr:uid="{2F53E519-B8E8-42E3-8573-9BF1D33E22B5}"/>
    <hyperlink ref="D73" location="'D. Payment'!A90" display="11,12,13,14" xr:uid="{0FD3431A-5397-47FE-BC46-50D9480BDCEC}"/>
    <hyperlink ref="D74" location="'D. Payment'!A90" display="11,12,16" xr:uid="{6495A07C-1E89-4B62-AD08-1790C41A61E4}"/>
    <hyperlink ref="A80" location="'D. Payment'!D11" display="'D. Payment'!D11" xr:uid="{42C7D05C-5052-4487-9A11-F739DB7D08F8}"/>
    <hyperlink ref="A81" location="'D. Payment'!D14" display="'D. Payment'!D14" xr:uid="{5DA73D5C-1527-4FA5-B7AB-1A2CCCA1E937}"/>
    <hyperlink ref="A82" location="'D. Payment'!D19" display="'D. Payment'!D19" xr:uid="{03BA397A-3C22-4542-8D11-AC0B28FBB788}"/>
    <hyperlink ref="A83" location="'D. Payment'!D21" display="'D. Payment'!D21" xr:uid="{ACFEF539-C875-482E-8837-F52F8710571C}"/>
    <hyperlink ref="A84" location="'D. Payment'!D26" display="'D. Payment'!D26" xr:uid="{DB2CBBE6-A726-4572-A9A1-9D0F156A6E29}"/>
    <hyperlink ref="A85" location="'D. Payment'!D29" display="'D. Payment'!D29" xr:uid="{B2EAF9B8-2A13-4E24-9326-5726C6E75530}"/>
    <hyperlink ref="A86" location="'D. Payment'!D29" display="'D. Payment'!D29" xr:uid="{E84468C6-7229-48BE-BC79-CA18A2AE8BB9}"/>
    <hyperlink ref="A89" location="'D. Payment'!D68" display="'D. Payment'!D68" xr:uid="{11DECDCF-8A5E-442B-87A6-02D3053AC311}"/>
    <hyperlink ref="A90" location="'D. Payment'!D71" display="'D. Payment'!D71" xr:uid="{AF932577-5356-4573-8D51-1F712C2BBE2F}"/>
    <hyperlink ref="A91" location="'D. Payment'!D71" display="'D. Payment'!D71" xr:uid="{6D8D5AB4-9F51-41B4-85F4-37AE271F1553}"/>
    <hyperlink ref="A92" location="'D. Payment'!D71" display="'D. Payment'!D71" xr:uid="{21027CA0-DDA9-457E-BF46-1C8016B983D9}"/>
    <hyperlink ref="A93" location="'D. Payment'!D73" display="'D. Payment'!D73" xr:uid="{2D68C102-5DD5-4AED-9F8B-A31BF1B13605}"/>
    <hyperlink ref="A95" location="'D. Payment'!D74" display="'D. Payment'!D74" xr:uid="{2058D3C2-4C47-485F-94A4-D76BF62695CD}"/>
    <hyperlink ref="A87" location="'D. Payment'!D31" display="'D. Payment'!D31" xr:uid="{C26CA9F1-88C7-4E1F-B5F3-F5D32CEEE008}"/>
    <hyperlink ref="A88" location="'D. Payment'!D38" display="'D. Payment'!D38" xr:uid="{C27CBAE7-2EA2-4A79-8006-D8095DF5EA9C}"/>
    <hyperlink ref="A94" location="'D. Payment'!D45" display="'D. Payment'!D45" xr:uid="{027114C2-A039-4B7E-80DA-98030C467CED}"/>
    <hyperlink ref="D32" location="'D. Payment'!A85" display="6,7" xr:uid="{B355A435-C0FA-49B2-9EC9-42C1B8DB2A81}"/>
    <hyperlink ref="D37" location="'D. Payment'!A85" display="6,7,9" xr:uid="{FB2BE0A9-AABA-4E14-BA18-176BDD4771AF}"/>
    <hyperlink ref="D51" location="'D. Payment'!A85" display="6,7" xr:uid="{6ECD1005-3850-4579-A0C7-6940DB1FECB7}"/>
    <hyperlink ref="D52" location="'D. Payment'!A85" display="6,7,9" xr:uid="{B811FA86-1C25-4C6A-9B25-DF378379FAC7}"/>
    <hyperlink ref="D59" location="'D. Payment'!A85" display="6,7" xr:uid="{1BBC0D90-03E2-419B-BDA4-847F9717AAE7}"/>
    <hyperlink ref="D71" location="'D. Payment'!A90" display="11,12,13" xr:uid="{F2B4B8D9-D2A5-46B6-9BF5-4BA01C1444AC}"/>
    <hyperlink ref="D75" location="'D. Payment'!A90" display="11,12,16" xr:uid="{8A536783-EBC7-4954-B318-DEC784D21E31}"/>
    <hyperlink ref="D76" location="'D. Payment'!A90" display="11,12,16" xr:uid="{A5FA1BB4-E40E-4D77-9C05-993689422A14}"/>
    <hyperlink ref="D15" location="'D. Payment'!A81" display="'D. Payment'!A81" xr:uid="{5B0E3784-F592-4EB9-B4AC-77FF0946324D}"/>
    <hyperlink ref="D16" location="'D. Payment'!A81" display="'D. Payment'!A81" xr:uid="{FE7A6566-CE75-414A-8632-4F548FE618EF}"/>
    <hyperlink ref="D17" location="'D. Payment'!A81" display="'D. Payment'!A81" xr:uid="{0EC732A4-7863-40DB-BB1D-B2F048313BD5}"/>
    <hyperlink ref="D18" location="'D. Payment'!A81" display="'D. Payment'!A81" xr:uid="{D605FC09-9BEF-41F5-826F-ABD5D2712157}"/>
    <hyperlink ref="D22" location="'D. Payment'!A83" display="'D. Payment'!A83" xr:uid="{37D9685A-F8A2-4731-AEDF-D1E8B11809E3}"/>
    <hyperlink ref="D23" location="'D. Payment'!A83" display="'D. Payment'!A83" xr:uid="{2535891E-0673-4909-A470-7BD07278FE62}"/>
    <hyperlink ref="D24" location="'D. Payment'!A83" display="'D. Payment'!A83" xr:uid="{28751D31-A8DB-4229-A9D4-B2BF861F46AA}"/>
    <hyperlink ref="D25" location="'D. Payment'!A83" display="'D. Payment'!A83" xr:uid="{F9BF509D-1B95-47C6-B6F2-2C5EEE49F963}"/>
    <hyperlink ref="D30" location="'D. Payment'!A85" display="6,7" xr:uid="{5DC7A5C4-C475-4611-8E11-5047BAE5FBF9}"/>
    <hyperlink ref="D33" location="'D. Payment'!A85" display="6,7" xr:uid="{5A94DB3A-71A7-413F-8208-2CCBB2B73340}"/>
    <hyperlink ref="D34" location="'D. Payment'!A85" display="6,7" xr:uid="{3B9A76AB-A476-415E-B538-FBB5D9AAB86D}"/>
    <hyperlink ref="D35" location="'D. Payment'!A85" display="6,7" xr:uid="{D53A5E91-A0BA-4381-ABD2-25790CD24DC6}"/>
    <hyperlink ref="D36" location="'D. Payment'!A85" display="6,7" xr:uid="{04FE138D-BEF8-4921-9D3E-56D48A28B0A5}"/>
    <hyperlink ref="D38" location="'D. Payment'!A85" display="6,7,9" xr:uid="{918795BA-3863-42CA-83E2-279F694CA9AE}"/>
    <hyperlink ref="D39" location="'D. Payment'!A85" display="6,7,9" xr:uid="{2B1C6A2A-4141-4034-AFBD-FA0C87B8B9FF}"/>
    <hyperlink ref="D40" location="'D. Payment'!A85" display="6,7" xr:uid="{2F6E1BA1-B336-4477-994C-AD72EC9C6F09}"/>
    <hyperlink ref="D41" location="'D. Payment'!A85" display="6,7" xr:uid="{A1A704F7-C598-4B34-BA2D-91C5F0FF91FB}"/>
    <hyperlink ref="D42" location="'D. Payment'!A85" display="6,7" xr:uid="{6ADB96A4-FDE3-4A46-B3ED-6A9E779242AD}"/>
    <hyperlink ref="D43" location="'D. Payment'!A85" display="6,7" xr:uid="{5EE85B7C-5A1F-4CC8-8CDD-D1E1A3886200}"/>
    <hyperlink ref="D44" location="'D. Payment'!A85" display="6,7" xr:uid="{46DEA6D7-709B-480F-A0EF-486685BAFF5D}"/>
    <hyperlink ref="D45" location="'D. Payment'!A85" display="6,7" xr:uid="{E17A7BB5-A291-4C94-958F-60F48D90BD71}"/>
    <hyperlink ref="D46" location="'D. Payment'!A85" display="6,7" xr:uid="{C6967FF7-D8F4-4AA1-AC84-CFA50645331C}"/>
    <hyperlink ref="D47" location="'D. Payment'!A85" display="6,7" xr:uid="{0F07F0CC-54C1-408C-9E26-1CFD406A3EE8}"/>
    <hyperlink ref="D48" location="'D. Payment'!A85" display="6,7" xr:uid="{258181E7-66AE-4458-93F9-675F348E6ABB}"/>
    <hyperlink ref="D49" location="'D. Payment'!A85" display="6,7" xr:uid="{47D66972-3347-49DC-BAEB-887A625EFD2C}"/>
    <hyperlink ref="D50" location="'D. Payment'!A85" display="6,7" xr:uid="{C7C71B56-36B7-49E2-9C07-E1B476C2DDE3}"/>
    <hyperlink ref="D53" location="'D. Payment'!A85" display="6,7" xr:uid="{AEFA1D5B-CEAF-427B-8BAC-C2696B66EECC}"/>
    <hyperlink ref="D54" location="'D. Payment'!A85" display="6,7" xr:uid="{1837AF85-DD23-497C-9808-0ED3F36B72E3}"/>
    <hyperlink ref="D55" location="'D. Payment'!A85" display="6,7" xr:uid="{E6AC7537-CF3D-48E6-A2D6-D68A03CDAD3B}"/>
    <hyperlink ref="D56" location="'D. Payment'!A85" display="6,7" xr:uid="{D189EA0E-5272-4E6F-89C2-B25684D1F375}"/>
    <hyperlink ref="D57" location="'D. Payment'!A85" display="6,7" xr:uid="{C153F3E1-A2E5-490F-9DE6-553534599641}"/>
    <hyperlink ref="D60" location="'D. Payment'!A85" display="6,7" xr:uid="{1730E1BA-CB35-472B-8430-F9271BEEC82C}"/>
    <hyperlink ref="D61" location="'D. Payment'!A85" display="6,7" xr:uid="{73E0B4E5-8C01-420A-B93F-825FE70C25C6}"/>
    <hyperlink ref="D62" location="'D. Payment'!A85" display="6,7" xr:uid="{C5DAFC15-FE77-4070-9528-8361D2E8F3EA}"/>
    <hyperlink ref="D69" location="'D. Payment'!A89" display="'D. Payment'!A89" xr:uid="{0490472C-6557-4DD9-8BEF-778DCEC57DD1}"/>
    <hyperlink ref="D72" location="'D. Payment'!A90" display="11,12,13" xr:uid="{746EA563-935B-49CD-9FE7-F9F58A247131}"/>
  </hyperlinks>
  <pageMargins left="0.25" right="0.25" top="0.75" bottom="0.75" header="0.3" footer="0.3"/>
  <pageSetup scale="73" fitToHeight="0" orientation="landscape" horizontalDpi="4294967293" verticalDpi="4294967293" r:id="rId1"/>
  <extLst>
    <ext xmlns:x14="http://schemas.microsoft.com/office/spreadsheetml/2009/9/main" uri="{78C0D931-6437-407d-A8EE-F0AAD7539E65}">
      <x14:conditionalFormattings>
        <x14:conditionalFormatting xmlns:xm="http://schemas.microsoft.com/office/excel/2006/main">
          <x14:cfRule type="expression" priority="55" id="{5A8DA3E7-2A8D-4064-B404-11CD68640749}">
            <xm:f>AND('Cover Sheet'!$B$29="Streamlined Review")</xm:f>
            <x14:dxf>
              <fill>
                <patternFill patternType="lightUp"/>
              </fill>
            </x14:dxf>
          </x14:cfRule>
          <xm:sqref>A28:H28 A64:H66 A14:H19 A21:H26 A31:H62 A68:H69 A71:H76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Y94"/>
  <sheetViews>
    <sheetView zoomScale="85" zoomScaleNormal="85" workbookViewId="0">
      <pane ySplit="7" topLeftCell="A8" activePane="bottomLeft" state="frozen"/>
      <selection pane="bottomLeft" sqref="A1:F1"/>
    </sheetView>
  </sheetViews>
  <sheetFormatPr defaultColWidth="9.28515625" defaultRowHeight="15" x14ac:dyDescent="0.25"/>
  <cols>
    <col min="1" max="1" width="10.5703125" customWidth="1"/>
    <col min="2" max="2" width="22" style="7" customWidth="1"/>
    <col min="3" max="3" width="72.5703125" style="152" customWidth="1"/>
    <col min="4" max="4" width="7.5703125" style="8" customWidth="1"/>
    <col min="5" max="5" width="8.5703125" style="5" customWidth="1"/>
    <col min="6" max="6" width="8.5703125" customWidth="1"/>
    <col min="7" max="7" width="19.5703125" customWidth="1"/>
    <col min="8" max="8" width="26.85546875" customWidth="1"/>
    <col min="9" max="9" width="10.7109375" style="141" hidden="1" customWidth="1"/>
    <col min="10" max="10" width="9.5703125" style="139" hidden="1" customWidth="1"/>
    <col min="11" max="12" width="7.42578125" style="139" hidden="1" customWidth="1"/>
    <col min="13" max="13" width="11.28515625" style="138" hidden="1" customWidth="1"/>
    <col min="14" max="14" width="6.28515625" style="116" hidden="1" customWidth="1"/>
    <col min="15" max="15" width="9.28515625" style="116" hidden="1" customWidth="1"/>
    <col min="16" max="17" width="9" style="116" hidden="1" customWidth="1"/>
    <col min="18" max="20" width="12.42578125" style="117" hidden="1" customWidth="1"/>
    <col min="21" max="21" width="21" style="122" hidden="1" customWidth="1"/>
    <col min="22" max="31" width="23.5703125" style="116" hidden="1" customWidth="1"/>
    <col min="32" max="32" width="18.42578125" style="116" hidden="1" customWidth="1"/>
    <col min="33" max="33" width="32.42578125" style="121" hidden="1" customWidth="1"/>
    <col min="34" max="34" width="26.5703125" style="88" hidden="1" customWidth="1"/>
    <col min="35" max="35" width="58.7109375" style="69" hidden="1" customWidth="1"/>
    <col min="36" max="36" width="34.5703125" style="106" hidden="1" customWidth="1"/>
    <col min="37" max="37" width="13.28515625" style="69" hidden="1" customWidth="1"/>
    <col min="38" max="38" width="88.7109375" style="84" hidden="1" customWidth="1"/>
    <col min="39" max="39" width="18.28515625" style="69" hidden="1" customWidth="1"/>
    <col min="40" max="40" width="13.42578125" style="69" hidden="1" customWidth="1"/>
    <col min="41" max="42" width="9.28515625" style="69" hidden="1" customWidth="1"/>
    <col min="43" max="46" width="31.5703125" style="69" hidden="1" customWidth="1"/>
    <col min="47" max="47" width="14.28515625" style="69" hidden="1" customWidth="1"/>
    <col min="48" max="48" width="12.5703125" style="69" hidden="1" customWidth="1"/>
    <col min="49" max="49" width="9.28515625" style="69" hidden="1" customWidth="1"/>
    <col min="50" max="50" width="11" style="69" hidden="1" customWidth="1"/>
    <col min="51" max="51" width="9.28515625" style="69" hidden="1" customWidth="1"/>
    <col min="52" max="67" width="9.28515625" customWidth="1"/>
  </cols>
  <sheetData>
    <row r="1" spans="1:50" ht="30.95" customHeight="1" thickBot="1" x14ac:dyDescent="0.3">
      <c r="A1" s="573" t="s">
        <v>1076</v>
      </c>
      <c r="B1" s="574"/>
      <c r="C1" s="574"/>
      <c r="D1" s="574"/>
      <c r="E1" s="574"/>
      <c r="F1" s="592"/>
      <c r="G1" s="543"/>
      <c r="H1" s="280"/>
      <c r="I1" s="25"/>
      <c r="J1" s="26" t="s">
        <v>311</v>
      </c>
      <c r="K1" s="27"/>
      <c r="L1" s="51"/>
      <c r="M1" s="52" t="b">
        <f>IF($C$2="Base contract","Blist",IF($C$2="Contract Amendment","Alist"))</f>
        <v>0</v>
      </c>
      <c r="N1" s="53"/>
      <c r="O1" s="29"/>
      <c r="P1" s="53"/>
      <c r="Q1" s="53"/>
      <c r="R1" s="53"/>
      <c r="S1" s="53"/>
      <c r="T1" s="53"/>
      <c r="U1" s="38"/>
      <c r="V1" s="112"/>
      <c r="W1" s="112"/>
      <c r="X1" s="545"/>
      <c r="Y1" s="545"/>
      <c r="Z1" s="581" t="s">
        <v>313</v>
      </c>
      <c r="AA1" s="582"/>
      <c r="AB1" s="582"/>
      <c r="AC1" s="582"/>
      <c r="AD1" s="582"/>
      <c r="AE1" s="582"/>
      <c r="AF1" s="54"/>
      <c r="AG1" s="65"/>
      <c r="AH1" s="546"/>
      <c r="AI1" s="46"/>
      <c r="AJ1" s="114" t="s">
        <v>318</v>
      </c>
      <c r="AK1" s="56"/>
      <c r="AL1" s="56"/>
      <c r="AM1" s="56"/>
      <c r="AN1" s="56"/>
      <c r="AP1" s="69" t="s">
        <v>319</v>
      </c>
    </row>
    <row r="2" spans="1:50" ht="25.5" x14ac:dyDescent="0.25">
      <c r="A2" s="593" t="s">
        <v>320</v>
      </c>
      <c r="B2" s="570"/>
      <c r="C2" s="544">
        <f>'Cover Sheet'!B6</f>
        <v>0</v>
      </c>
      <c r="D2" s="336"/>
      <c r="E2" s="337"/>
      <c r="F2" s="338"/>
      <c r="G2" s="283" t="s">
        <v>1077</v>
      </c>
      <c r="H2" s="284" t="str">
        <f>I2</f>
        <v>Not Started</v>
      </c>
      <c r="I2" s="25" t="str">
        <f>IF(OR($C$3="Yes, section requirements are not applicable",$C$3="Yes, all requirements on the sheet are crosshatched",AND(E8="N/A",E18="N/A",E20="N/A",E31="N/A",E36="N/A",E46="N/A",E52="N/A",E54="N/A",E62="N/A",E67="N/A")),"Section Review N/A",IF((COUNTA(A8:A68)+COUNTBLANK(A8:A68)=COUNTBLANK(E8:E68)),"Not Started",IF((COUNTA(A8:A68)&gt;SUM(U8:U68)),"In Progress","Section Review Complete")))</f>
        <v>Not Started</v>
      </c>
      <c r="J2" s="25" t="s">
        <v>322</v>
      </c>
      <c r="K2" s="27" t="s">
        <v>323</v>
      </c>
      <c r="L2" s="27"/>
      <c r="M2" s="28"/>
      <c r="N2" s="53"/>
      <c r="O2" s="29"/>
      <c r="P2" s="53"/>
      <c r="Q2" s="53"/>
      <c r="R2" s="53"/>
      <c r="S2" s="53"/>
      <c r="T2" s="53"/>
      <c r="U2" s="38"/>
      <c r="V2" s="59"/>
      <c r="W2" s="59"/>
      <c r="X2" s="59"/>
      <c r="Y2" s="59"/>
      <c r="Z2" s="54" t="str">
        <f>IF('Cover Sheet'!$B$13="Yes","MCO","--")</f>
        <v>MCO</v>
      </c>
      <c r="AA2" s="54" t="str">
        <f>IF('Cover Sheet'!$B$14="Yes","HIO","--")</f>
        <v>--</v>
      </c>
      <c r="AB2" s="54" t="str">
        <f>IF('Cover Sheet'!$B$15="Yes","PIHP","--")</f>
        <v>--</v>
      </c>
      <c r="AC2" s="54" t="str">
        <f>IF('Cover Sheet'!$B$16="Yes","PAHP","--")</f>
        <v>--</v>
      </c>
      <c r="AD2" s="54" t="str">
        <f>IF('Cover Sheet'!$B$17="Yes","NEMT PAHP","--")</f>
        <v>--</v>
      </c>
      <c r="AE2" s="54" t="str">
        <f>IF('Cover Sheet'!$B$18="Yes","PCCME","--")</f>
        <v>--</v>
      </c>
      <c r="AF2" s="54"/>
      <c r="AG2" s="53"/>
      <c r="AH2" s="29"/>
      <c r="AI2" s="29"/>
      <c r="AJ2" s="61">
        <f>IF('Cover Sheet'!$B$4="BOTH",1,0)</f>
        <v>1</v>
      </c>
      <c r="AK2" s="56"/>
      <c r="AL2" s="56" t="s">
        <v>224</v>
      </c>
      <c r="AM2" s="56"/>
      <c r="AN2" s="56"/>
    </row>
    <row r="3" spans="1:50" ht="15.75" thickBot="1" x14ac:dyDescent="0.3">
      <c r="A3" s="305" t="s">
        <v>324</v>
      </c>
      <c r="B3" s="306"/>
      <c r="C3" s="307" t="s">
        <v>325</v>
      </c>
      <c r="D3" s="226"/>
      <c r="E3" s="285"/>
      <c r="F3" s="286"/>
      <c r="G3" s="326" t="s">
        <v>326</v>
      </c>
      <c r="H3" s="288" t="str">
        <f>I3</f>
        <v>Not Started</v>
      </c>
      <c r="I3" s="25" t="str">
        <f>IF(OR($C$3="Yes, section requirements are not applicable",$C$3="Yes, all requirements on the sheet are crosshatched",AND(E8="N/A",E18="N/A",E20="N/A",E31="N/A",E36="N/A",E46="N/A",E52="N/A",E54="N/A",E62="N/A",E67="N/A")),"Section Review N/A",IF((COUNTA(A8:A68)+COUNTBLANK(A8:A68))=COUNTBLANK(E8:E68),"Not Started",IF(OR(COUNTA(A8:A68)+COUNTBLANK(A8:A68)&lt;&gt;COUNTIF(E8:E68,"Yes")+COUNTIF(E8:E68,"Met")+COUNTIF(E8:E68,"N/A")+COUNTBLANK(E8:E68),COUNTA(A8:A68)&lt;&gt;SUM(U8:U68)),"Revisions Needed","Approved")))</f>
        <v>Not Started</v>
      </c>
      <c r="J3" s="25" t="s">
        <v>327</v>
      </c>
      <c r="K3" s="27" t="s">
        <v>325</v>
      </c>
      <c r="L3" s="27"/>
      <c r="M3" s="28"/>
      <c r="N3" s="53"/>
      <c r="O3" s="29"/>
      <c r="P3" s="53"/>
      <c r="Q3" s="53"/>
      <c r="R3" s="53"/>
      <c r="S3" s="53"/>
      <c r="T3" s="53"/>
      <c r="U3" s="38"/>
      <c r="V3" s="54"/>
      <c r="W3" s="54"/>
      <c r="X3" s="56"/>
      <c r="Y3" s="56"/>
      <c r="Z3" s="56"/>
      <c r="AA3" s="56"/>
      <c r="AB3" s="56"/>
      <c r="AC3" s="56"/>
      <c r="AD3" s="56"/>
      <c r="AE3" s="56"/>
      <c r="AF3" s="54"/>
      <c r="AG3" s="54"/>
      <c r="AH3" s="54"/>
      <c r="AI3" s="57"/>
      <c r="AJ3" s="54"/>
      <c r="AK3" s="56"/>
      <c r="AL3" s="56"/>
      <c r="AM3" s="56"/>
      <c r="AN3" s="56"/>
    </row>
    <row r="4" spans="1:50" ht="18" hidden="1" customHeight="1" x14ac:dyDescent="0.25">
      <c r="A4" s="231"/>
      <c r="B4" s="232"/>
      <c r="C4" s="289"/>
      <c r="D4" s="234"/>
      <c r="E4" s="231"/>
      <c r="F4" s="290"/>
      <c r="G4" s="328"/>
      <c r="H4" s="290"/>
      <c r="I4" s="25"/>
      <c r="J4" s="25" t="s">
        <v>319</v>
      </c>
      <c r="K4" s="27"/>
      <c r="L4" s="27"/>
      <c r="M4" s="28"/>
      <c r="N4" s="53"/>
      <c r="O4" s="29"/>
      <c r="P4" s="53"/>
      <c r="Q4" s="53"/>
      <c r="R4" s="53"/>
      <c r="S4" s="53"/>
      <c r="T4" s="53"/>
      <c r="U4" s="38"/>
      <c r="V4" s="54"/>
      <c r="W4" s="54"/>
      <c r="X4" s="56"/>
      <c r="Y4" s="56"/>
      <c r="Z4" s="56"/>
      <c r="AA4" s="56"/>
      <c r="AB4" s="56"/>
      <c r="AC4" s="56"/>
      <c r="AD4" s="56"/>
      <c r="AE4" s="56"/>
      <c r="AF4" s="54"/>
      <c r="AG4" s="54"/>
      <c r="AH4" s="54"/>
      <c r="AI4" s="57"/>
      <c r="AJ4" s="54"/>
      <c r="AK4" s="56"/>
      <c r="AL4" s="56"/>
      <c r="AM4" s="56"/>
      <c r="AN4" s="56"/>
    </row>
    <row r="5" spans="1:50" ht="18" hidden="1" customHeight="1" x14ac:dyDescent="0.25">
      <c r="A5" s="237"/>
      <c r="B5" s="238"/>
      <c r="C5" s="291"/>
      <c r="D5" s="239"/>
      <c r="E5" s="237"/>
      <c r="F5" s="292"/>
      <c r="G5" s="329"/>
      <c r="H5" s="292"/>
      <c r="I5" s="25"/>
      <c r="J5" s="25"/>
      <c r="K5" s="27"/>
      <c r="L5" s="27"/>
      <c r="M5" s="28"/>
      <c r="N5" s="53"/>
      <c r="O5" s="29"/>
      <c r="P5" s="53"/>
      <c r="Q5" s="53"/>
      <c r="R5" s="53" t="s">
        <v>330</v>
      </c>
      <c r="S5" s="53"/>
      <c r="T5" s="53"/>
      <c r="U5" s="38"/>
      <c r="V5" s="54"/>
      <c r="W5" s="54"/>
      <c r="X5" s="56"/>
      <c r="Y5" s="56"/>
      <c r="Z5" s="56"/>
      <c r="AA5" s="56"/>
      <c r="AB5" s="56"/>
      <c r="AC5" s="56"/>
      <c r="AD5" s="56"/>
      <c r="AE5" s="56"/>
      <c r="AF5" s="54"/>
      <c r="AG5" s="54"/>
      <c r="AH5" s="54"/>
      <c r="AI5" s="57"/>
      <c r="AJ5" s="54"/>
      <c r="AK5" s="56"/>
      <c r="AL5" s="56"/>
      <c r="AM5" s="56"/>
      <c r="AN5" s="56"/>
      <c r="AP5" s="69" t="s">
        <v>331</v>
      </c>
    </row>
    <row r="6" spans="1:50" ht="18" hidden="1" customHeight="1" thickBot="1" x14ac:dyDescent="0.3">
      <c r="A6" s="242"/>
      <c r="B6" s="243"/>
      <c r="C6" s="244"/>
      <c r="D6" s="245"/>
      <c r="E6" s="246"/>
      <c r="F6" s="247"/>
      <c r="G6" s="247"/>
      <c r="H6" s="247"/>
      <c r="I6" s="26" t="s">
        <v>466</v>
      </c>
      <c r="J6" s="25"/>
      <c r="K6" s="32"/>
      <c r="L6" s="25"/>
      <c r="M6" s="53"/>
      <c r="N6" s="53"/>
      <c r="O6" s="53"/>
      <c r="P6" s="33" t="s">
        <v>332</v>
      </c>
      <c r="Q6" s="33" t="s">
        <v>333</v>
      </c>
      <c r="R6" s="63"/>
      <c r="S6" s="63"/>
      <c r="T6" s="63"/>
      <c r="U6" s="38"/>
      <c r="V6" s="54"/>
      <c r="W6" s="54"/>
      <c r="X6" s="101" t="s">
        <v>351</v>
      </c>
      <c r="Y6" s="101" t="s">
        <v>352</v>
      </c>
      <c r="Z6" s="101"/>
      <c r="AA6" s="101"/>
      <c r="AB6" s="101"/>
      <c r="AC6" s="101"/>
      <c r="AD6" s="101"/>
      <c r="AE6" s="101"/>
      <c r="AF6" s="54"/>
      <c r="AG6" s="54"/>
      <c r="AH6" s="113"/>
      <c r="AI6" s="57"/>
      <c r="AJ6" s="54"/>
      <c r="AK6" s="56"/>
      <c r="AL6" s="56"/>
      <c r="AM6" s="56" t="s">
        <v>336</v>
      </c>
      <c r="AN6" s="56"/>
    </row>
    <row r="7" spans="1:50" ht="39.6" customHeight="1" thickBot="1" x14ac:dyDescent="0.3">
      <c r="A7" s="249" t="s">
        <v>337</v>
      </c>
      <c r="B7" s="250" t="s">
        <v>338</v>
      </c>
      <c r="C7" s="251" t="s">
        <v>339</v>
      </c>
      <c r="D7" s="251" t="s">
        <v>340</v>
      </c>
      <c r="E7" s="251" t="s">
        <v>341</v>
      </c>
      <c r="F7" s="251" t="s">
        <v>342</v>
      </c>
      <c r="G7" s="251" t="s">
        <v>343</v>
      </c>
      <c r="H7" s="293" t="s">
        <v>344</v>
      </c>
      <c r="I7" s="34" t="s">
        <v>168</v>
      </c>
      <c r="J7" s="34" t="s">
        <v>178</v>
      </c>
      <c r="K7" s="34" t="s">
        <v>185</v>
      </c>
      <c r="L7" s="35" t="s">
        <v>190</v>
      </c>
      <c r="M7" s="36" t="s">
        <v>195</v>
      </c>
      <c r="N7" s="37" t="s">
        <v>345</v>
      </c>
      <c r="O7" s="37" t="s">
        <v>200</v>
      </c>
      <c r="P7" s="38"/>
      <c r="Q7" s="38"/>
      <c r="R7" s="39" t="s">
        <v>346</v>
      </c>
      <c r="S7" s="39"/>
      <c r="T7" s="39"/>
      <c r="U7" s="50" t="s">
        <v>467</v>
      </c>
      <c r="V7" s="101" t="s">
        <v>353</v>
      </c>
      <c r="W7" s="546"/>
      <c r="X7" s="158"/>
      <c r="Y7" s="158"/>
      <c r="Z7" s="158" t="s">
        <v>168</v>
      </c>
      <c r="AA7" s="158" t="s">
        <v>178</v>
      </c>
      <c r="AB7" s="158" t="s">
        <v>185</v>
      </c>
      <c r="AC7" s="158" t="s">
        <v>190</v>
      </c>
      <c r="AD7" s="158" t="s">
        <v>195</v>
      </c>
      <c r="AE7" s="158" t="s">
        <v>200</v>
      </c>
      <c r="AF7" s="101" t="s">
        <v>354</v>
      </c>
      <c r="AG7" s="101" t="s">
        <v>355</v>
      </c>
      <c r="AH7" s="70" t="s">
        <v>361</v>
      </c>
      <c r="AI7" s="70" t="s">
        <v>362</v>
      </c>
      <c r="AJ7" s="104" t="s">
        <v>363</v>
      </c>
      <c r="AK7" s="70" t="s">
        <v>364</v>
      </c>
      <c r="AL7" s="70" t="s">
        <v>365</v>
      </c>
      <c r="AM7" s="56" t="s">
        <v>366</v>
      </c>
      <c r="AN7" s="56" t="s">
        <v>367</v>
      </c>
      <c r="AO7" s="69" t="s">
        <v>368</v>
      </c>
      <c r="AP7" s="69" t="s">
        <v>331</v>
      </c>
      <c r="AQ7" s="80" t="s">
        <v>369</v>
      </c>
      <c r="AR7" s="80" t="s">
        <v>370</v>
      </c>
      <c r="AS7" s="80" t="s">
        <v>371</v>
      </c>
      <c r="AT7" s="80" t="s">
        <v>372</v>
      </c>
      <c r="AU7" s="81" t="s">
        <v>373</v>
      </c>
      <c r="AV7" s="82" t="s">
        <v>374</v>
      </c>
      <c r="AW7" s="83" t="s">
        <v>375</v>
      </c>
      <c r="AX7" s="110" t="s">
        <v>376</v>
      </c>
    </row>
    <row r="8" spans="1:50" ht="16.5" customHeight="1" thickBot="1" x14ac:dyDescent="0.3">
      <c r="A8" s="450"/>
      <c r="B8" s="451"/>
      <c r="C8" s="452" t="s">
        <v>32</v>
      </c>
      <c r="D8" s="485"/>
      <c r="E8" s="443"/>
      <c r="F8" s="444"/>
      <c r="G8" s="444"/>
      <c r="H8" s="445"/>
      <c r="I8" s="74"/>
      <c r="J8" s="74"/>
      <c r="K8" s="74"/>
      <c r="L8" s="87"/>
      <c r="M8" s="87"/>
      <c r="R8" s="116"/>
      <c r="S8" s="116"/>
      <c r="T8" s="116"/>
      <c r="Z8" s="126"/>
      <c r="AA8" s="126"/>
      <c r="AB8" s="126"/>
      <c r="AC8" s="126"/>
      <c r="AD8" s="126"/>
      <c r="AE8" s="126"/>
      <c r="AF8" s="86"/>
      <c r="AI8" s="89"/>
      <c r="AJ8" s="89"/>
      <c r="AK8" s="89"/>
      <c r="AL8" s="89"/>
      <c r="AM8" s="68"/>
      <c r="AN8" s="68"/>
      <c r="AX8" s="110"/>
    </row>
    <row r="9" spans="1:50" ht="42.75" customHeight="1" x14ac:dyDescent="0.25">
      <c r="A9" s="294" t="s">
        <v>1078</v>
      </c>
      <c r="B9" s="295" t="s">
        <v>1079</v>
      </c>
      <c r="C9" s="295" t="s">
        <v>1080</v>
      </c>
      <c r="D9" s="446"/>
      <c r="E9" s="297"/>
      <c r="F9" s="297"/>
      <c r="G9" s="297"/>
      <c r="H9" s="214"/>
      <c r="I9" s="92"/>
      <c r="J9" s="92"/>
      <c r="K9" s="92"/>
      <c r="L9" s="71"/>
      <c r="M9" s="71"/>
      <c r="N9" s="71"/>
      <c r="O9" s="71" t="s">
        <v>200</v>
      </c>
      <c r="P9" s="71" t="s">
        <v>380</v>
      </c>
      <c r="Q9" s="71" t="b">
        <f>IF(OR(AND($C$2="Base contract",$C$3="No, section requirements must be reviewed", $AF9=FALSE,$AG9=FALSE),AND($C$2="Contract amendment",$C$3="No, section requirements must be reviewed",$AF9=FALSE,$AG9=FALSE)),"MUNN")</f>
        <v>0</v>
      </c>
      <c r="R9" s="64">
        <v>42917</v>
      </c>
      <c r="S9" s="64"/>
      <c r="T9" s="64"/>
      <c r="U9" s="97">
        <f>IF(OR($E$8="N/A",AND(AX9=0,'Cover Sheet'!$B$29="Streamlined Review"),AND(E9="Met",F9&lt;&gt;""),AND(E9="Not Met",G9&lt;&gt;""),AND(E9="Unsure",G9&lt;&gt;""),AND(E9="N/A",H9&lt;&gt;""),AND(Y9=TRUE)),1,0)</f>
        <v>1</v>
      </c>
      <c r="X9" s="126" t="b">
        <f>IF(OR(Y9=TRUE),TRUE,FALSE)</f>
        <v>1</v>
      </c>
      <c r="Y9" s="126" t="b">
        <f>IF(SUM(Z9:AE9)&lt;1,TRUE,FALSE)</f>
        <v>1</v>
      </c>
      <c r="Z9" s="126">
        <f>IF($Z$2=I9,1,0)</f>
        <v>0</v>
      </c>
      <c r="AA9" s="126">
        <f>IF($AA$2=J9,1,0)</f>
        <v>0</v>
      </c>
      <c r="AB9" s="126">
        <f>IF($AB$2=K9,1,0)</f>
        <v>0</v>
      </c>
      <c r="AC9" s="126">
        <f>IF($AC$2=L9,1,0)</f>
        <v>0</v>
      </c>
      <c r="AD9" s="126">
        <f>IF($AD$2=M9,1,0)</f>
        <v>0</v>
      </c>
      <c r="AE9" s="126">
        <f>IF($AE$2=O9,1,0)</f>
        <v>0</v>
      </c>
      <c r="AF9" s="53" t="b">
        <f t="shared" ref="AF9:AF17" si="0">IF($H$1&lt;&gt;0,IF($H$1&lt;&gt;I9,IF($H$1&lt;&gt;J9,IF($H$1&lt;&gt;K9,IF($H$1&lt;&gt;L9,IF($H$1&lt;&gt;M9,IF($H$1&lt;&gt;N9,IF($H$1&lt;&gt;O9,TRUE,FALSE))))))))</f>
        <v>0</v>
      </c>
      <c r="AG9" s="54" t="b">
        <f>IF(AH9=TRUE,TRUE,FALSE)</f>
        <v>0</v>
      </c>
      <c r="AH9" s="56" t="b">
        <f>IF(OR(AND($H$6="Medicaid",MID($A9,1,FIND(".",$A9,1)-1)="II"),AND($H$6="CHIP",MID($A9,1,FIND(".",$A9,1)-1)="I")),TRUE,FALSE)</f>
        <v>0</v>
      </c>
      <c r="AP9" s="69" t="str">
        <f>IF(AO9=1,1,"")</f>
        <v/>
      </c>
      <c r="AX9" s="110">
        <v>0</v>
      </c>
    </row>
    <row r="10" spans="1:50" ht="45" customHeight="1" x14ac:dyDescent="0.25">
      <c r="A10" s="294" t="s">
        <v>1081</v>
      </c>
      <c r="B10" s="295" t="s">
        <v>1082</v>
      </c>
      <c r="C10" s="295" t="s">
        <v>1083</v>
      </c>
      <c r="D10" s="446"/>
      <c r="E10" s="297"/>
      <c r="F10" s="297"/>
      <c r="G10" s="297"/>
      <c r="H10" s="214"/>
      <c r="I10" s="92"/>
      <c r="J10" s="92"/>
      <c r="K10" s="92"/>
      <c r="L10" s="71"/>
      <c r="M10" s="71"/>
      <c r="N10" s="71"/>
      <c r="O10" s="71" t="s">
        <v>200</v>
      </c>
      <c r="P10" s="71" t="s">
        <v>380</v>
      </c>
      <c r="Q10" s="71" t="b">
        <f t="shared" ref="Q10:Q17" si="1">IF(OR(AND($C$2="Base contract",$C$3="No, section requirements must be reviewed", $AF10=FALSE,$AG10=FALSE),AND($C$2="Contract amendment",$C$3="No, section requirements must be reviewed",$AF10=FALSE,$AG10=FALSE)),"MUNN")</f>
        <v>0</v>
      </c>
      <c r="R10" s="64">
        <v>42917</v>
      </c>
      <c r="S10" s="64"/>
      <c r="T10" s="64"/>
      <c r="U10" s="97">
        <f>IF(OR($E$8="N/A",AND(AX10=0,'Cover Sheet'!$B$29="Streamlined Review"),AND(E10="Met",F10&lt;&gt;""),AND(E10="Not Met",G10&lt;&gt;""),AND(E10="Unsure",G10&lt;&gt;""),AND(E10="N/A",H10&lt;&gt;""),AND(Y10=TRUE)),1,0)</f>
        <v>1</v>
      </c>
      <c r="X10" s="126" t="b">
        <f t="shared" ref="X10:X68" si="2">IF(OR(Y10=TRUE),TRUE,FALSE)</f>
        <v>1</v>
      </c>
      <c r="Y10" s="126" t="b">
        <f t="shared" ref="Y10:Y17" si="3">IF(SUM(Z10:AE10)&lt;1,TRUE,FALSE)</f>
        <v>1</v>
      </c>
      <c r="Z10" s="126">
        <f t="shared" ref="Z10:Z17" si="4">IF($Z$2=I10,1,0)</f>
        <v>0</v>
      </c>
      <c r="AA10" s="126">
        <f t="shared" ref="AA10:AA17" si="5">IF($AA$2=J10,1,0)</f>
        <v>0</v>
      </c>
      <c r="AB10" s="126">
        <f t="shared" ref="AB10:AB17" si="6">IF($AB$2=K10,1,0)</f>
        <v>0</v>
      </c>
      <c r="AC10" s="126">
        <f t="shared" ref="AC10:AC17" si="7">IF($AC$2=L10,1,0)</f>
        <v>0</v>
      </c>
      <c r="AD10" s="126">
        <f t="shared" ref="AD10:AD17" si="8">IF($AD$2=M10,1,0)</f>
        <v>0</v>
      </c>
      <c r="AE10" s="126">
        <f t="shared" ref="AE10:AE17" si="9">IF($AE$2=O10,1,0)</f>
        <v>0</v>
      </c>
      <c r="AF10" s="53" t="b">
        <f t="shared" si="0"/>
        <v>0</v>
      </c>
      <c r="AG10" s="54" t="b">
        <f t="shared" ref="AG10:AG17" si="10">IF(AH10=TRUE,TRUE,FALSE)</f>
        <v>0</v>
      </c>
      <c r="AH10" s="56" t="b">
        <f t="shared" ref="AH10:AH17" si="11">IF(OR(AND($H$6="Medicaid",MID($A10,1,FIND(".",$A10,1)-1)="II"),AND($H$6="CHIP",MID($A10,1,FIND(".",$A10,1)-1)="I")),TRUE,FALSE)</f>
        <v>0</v>
      </c>
      <c r="AP10" s="69" t="str">
        <f t="shared" ref="AP10:AP17" si="12">IF(AO10=1,1,"")</f>
        <v/>
      </c>
      <c r="AX10" s="110">
        <v>0</v>
      </c>
    </row>
    <row r="11" spans="1:50" ht="33" customHeight="1" x14ac:dyDescent="0.25">
      <c r="A11" s="294" t="s">
        <v>1084</v>
      </c>
      <c r="B11" s="295" t="s">
        <v>1085</v>
      </c>
      <c r="C11" s="295" t="s">
        <v>1086</v>
      </c>
      <c r="D11" s="446"/>
      <c r="E11" s="297"/>
      <c r="F11" s="297"/>
      <c r="G11" s="297"/>
      <c r="H11" s="214"/>
      <c r="I11" s="92" t="s">
        <v>168</v>
      </c>
      <c r="J11" s="92" t="s">
        <v>178</v>
      </c>
      <c r="K11" s="92" t="s">
        <v>185</v>
      </c>
      <c r="L11" s="71" t="s">
        <v>190</v>
      </c>
      <c r="M11" s="71" t="s">
        <v>195</v>
      </c>
      <c r="N11" s="71"/>
      <c r="O11" s="71"/>
      <c r="P11" s="71" t="s">
        <v>380</v>
      </c>
      <c r="Q11" s="71" t="b">
        <f t="shared" si="1"/>
        <v>0</v>
      </c>
      <c r="R11" s="72"/>
      <c r="S11" s="72"/>
      <c r="T11" s="72"/>
      <c r="U11" s="97">
        <f>IF(OR($E$8="N/A",AND(AX11=0,'Cover Sheet'!$B$29="Streamlined Review"),AND(E11="Met",F11&lt;&gt;""),AND(E11="Not Met",G11&lt;&gt;""),AND(E11="Unsure",G11&lt;&gt;""),AND(E11="N/A",H11&lt;&gt;""),AND(Y11=TRUE)),1,0)</f>
        <v>0</v>
      </c>
      <c r="X11" s="126" t="b">
        <f t="shared" si="2"/>
        <v>0</v>
      </c>
      <c r="Y11" s="126" t="b">
        <f t="shared" si="3"/>
        <v>0</v>
      </c>
      <c r="Z11" s="126">
        <f t="shared" si="4"/>
        <v>1</v>
      </c>
      <c r="AA11" s="126">
        <f t="shared" si="5"/>
        <v>0</v>
      </c>
      <c r="AB11" s="126">
        <f t="shared" si="6"/>
        <v>0</v>
      </c>
      <c r="AC11" s="126">
        <f t="shared" si="7"/>
        <v>0</v>
      </c>
      <c r="AD11" s="126">
        <f t="shared" si="8"/>
        <v>0</v>
      </c>
      <c r="AE11" s="126">
        <f t="shared" si="9"/>
        <v>0</v>
      </c>
      <c r="AF11" s="53" t="b">
        <f t="shared" si="0"/>
        <v>0</v>
      </c>
      <c r="AG11" s="54" t="b">
        <f t="shared" si="10"/>
        <v>0</v>
      </c>
      <c r="AH11" s="56" t="b">
        <f t="shared" si="11"/>
        <v>0</v>
      </c>
      <c r="AP11" s="69" t="str">
        <f t="shared" si="12"/>
        <v/>
      </c>
      <c r="AX11" s="110">
        <v>0</v>
      </c>
    </row>
    <row r="12" spans="1:50" ht="51" x14ac:dyDescent="0.25">
      <c r="A12" s="294" t="s">
        <v>1087</v>
      </c>
      <c r="B12" s="295" t="s">
        <v>1085</v>
      </c>
      <c r="C12" s="295" t="s">
        <v>1088</v>
      </c>
      <c r="D12" s="446"/>
      <c r="E12" s="297"/>
      <c r="F12" s="297"/>
      <c r="G12" s="297"/>
      <c r="H12" s="214"/>
      <c r="I12" s="92" t="s">
        <v>168</v>
      </c>
      <c r="J12" s="92" t="s">
        <v>178</v>
      </c>
      <c r="K12" s="92" t="s">
        <v>185</v>
      </c>
      <c r="L12" s="71" t="s">
        <v>190</v>
      </c>
      <c r="M12" s="71" t="s">
        <v>195</v>
      </c>
      <c r="N12" s="71"/>
      <c r="O12" s="71"/>
      <c r="P12" s="71" t="s">
        <v>380</v>
      </c>
      <c r="Q12" s="71" t="b">
        <f t="shared" si="1"/>
        <v>0</v>
      </c>
      <c r="R12" s="64">
        <v>43282</v>
      </c>
      <c r="S12" s="64"/>
      <c r="T12" s="64"/>
      <c r="U12" s="97">
        <f>IF(OR($E$8="N/A",AND(AX12=0,'Cover Sheet'!$B$29="Streamlined Review"),AND(E12="Met",F12&lt;&gt;""),AND(E12="Not Met",G12&lt;&gt;""),AND(E12="Unsure",G12&lt;&gt;""),AND(E12="N/A",H12&lt;&gt;""),AND(Y12=TRUE)),1,0)</f>
        <v>0</v>
      </c>
      <c r="X12" s="126" t="b">
        <f t="shared" si="2"/>
        <v>0</v>
      </c>
      <c r="Y12" s="126" t="b">
        <f t="shared" si="3"/>
        <v>0</v>
      </c>
      <c r="Z12" s="126">
        <f t="shared" si="4"/>
        <v>1</v>
      </c>
      <c r="AA12" s="126">
        <f t="shared" si="5"/>
        <v>0</v>
      </c>
      <c r="AB12" s="126">
        <f t="shared" si="6"/>
        <v>0</v>
      </c>
      <c r="AC12" s="126">
        <f t="shared" si="7"/>
        <v>0</v>
      </c>
      <c r="AD12" s="126">
        <f t="shared" si="8"/>
        <v>0</v>
      </c>
      <c r="AE12" s="126">
        <f t="shared" si="9"/>
        <v>0</v>
      </c>
      <c r="AF12" s="53" t="b">
        <f t="shared" si="0"/>
        <v>0</v>
      </c>
      <c r="AG12" s="54" t="b">
        <f t="shared" si="10"/>
        <v>0</v>
      </c>
      <c r="AH12" s="56" t="b">
        <f t="shared" si="11"/>
        <v>0</v>
      </c>
      <c r="AP12" s="69" t="str">
        <f t="shared" si="12"/>
        <v/>
      </c>
      <c r="AX12" s="110">
        <v>1</v>
      </c>
    </row>
    <row r="13" spans="1:50" ht="33" customHeight="1" x14ac:dyDescent="0.25">
      <c r="A13" s="294" t="s">
        <v>1089</v>
      </c>
      <c r="B13" s="295" t="s">
        <v>1090</v>
      </c>
      <c r="C13" s="295" t="s">
        <v>1091</v>
      </c>
      <c r="D13" s="446"/>
      <c r="E13" s="297"/>
      <c r="F13" s="297"/>
      <c r="G13" s="297"/>
      <c r="H13" s="214"/>
      <c r="I13" s="92" t="s">
        <v>168</v>
      </c>
      <c r="J13" s="92" t="s">
        <v>178</v>
      </c>
      <c r="K13" s="92" t="s">
        <v>185</v>
      </c>
      <c r="L13" s="71" t="s">
        <v>190</v>
      </c>
      <c r="M13" s="71"/>
      <c r="N13" s="71"/>
      <c r="O13" s="71"/>
      <c r="P13" s="71" t="s">
        <v>380</v>
      </c>
      <c r="Q13" s="71" t="b">
        <f t="shared" si="1"/>
        <v>0</v>
      </c>
      <c r="R13" s="64">
        <v>43282</v>
      </c>
      <c r="S13" s="64"/>
      <c r="T13" s="64"/>
      <c r="U13" s="97">
        <f>IF(OR($E$8="N/A",AND(AX13=0,'Cover Sheet'!$B$29="Streamlined Review"),AND(E13="Met",F13&lt;&gt;""),AND(E13="Not Met",G13&lt;&gt;""),AND(E13="Unsure",G13&lt;&gt;""),AND(E13="N/A",H13&lt;&gt;""),AND(Y13=TRUE)),1,0)</f>
        <v>0</v>
      </c>
      <c r="X13" s="126" t="b">
        <f t="shared" si="2"/>
        <v>0</v>
      </c>
      <c r="Y13" s="126" t="b">
        <f t="shared" si="3"/>
        <v>0</v>
      </c>
      <c r="Z13" s="126">
        <f t="shared" si="4"/>
        <v>1</v>
      </c>
      <c r="AA13" s="126">
        <f t="shared" si="5"/>
        <v>0</v>
      </c>
      <c r="AB13" s="126">
        <f t="shared" si="6"/>
        <v>0</v>
      </c>
      <c r="AC13" s="126">
        <f t="shared" si="7"/>
        <v>0</v>
      </c>
      <c r="AD13" s="126">
        <f t="shared" si="8"/>
        <v>0</v>
      </c>
      <c r="AE13" s="126">
        <f t="shared" si="9"/>
        <v>0</v>
      </c>
      <c r="AF13" s="53" t="b">
        <f t="shared" si="0"/>
        <v>0</v>
      </c>
      <c r="AG13" s="54" t="b">
        <f t="shared" si="10"/>
        <v>0</v>
      </c>
      <c r="AH13" s="56" t="b">
        <f t="shared" si="11"/>
        <v>0</v>
      </c>
      <c r="AP13" s="69" t="str">
        <f t="shared" si="12"/>
        <v/>
      </c>
      <c r="AX13" s="110">
        <v>0</v>
      </c>
    </row>
    <row r="14" spans="1:50" ht="59.25" customHeight="1" x14ac:dyDescent="0.25">
      <c r="A14" s="294" t="s">
        <v>1092</v>
      </c>
      <c r="B14" s="295" t="s">
        <v>1093</v>
      </c>
      <c r="C14" s="295" t="s">
        <v>1094</v>
      </c>
      <c r="D14" s="470">
        <v>1</v>
      </c>
      <c r="E14" s="297"/>
      <c r="F14" s="297"/>
      <c r="G14" s="297"/>
      <c r="H14" s="214"/>
      <c r="I14" s="92" t="s">
        <v>168</v>
      </c>
      <c r="J14" s="92" t="s">
        <v>178</v>
      </c>
      <c r="K14" s="92" t="s">
        <v>185</v>
      </c>
      <c r="L14" s="71" t="s">
        <v>190</v>
      </c>
      <c r="M14" s="71"/>
      <c r="N14" s="71"/>
      <c r="O14" s="71"/>
      <c r="P14" s="71" t="s">
        <v>380</v>
      </c>
      <c r="Q14" s="71" t="b">
        <f t="shared" si="1"/>
        <v>0</v>
      </c>
      <c r="R14" s="64"/>
      <c r="S14" s="64"/>
      <c r="T14" s="64"/>
      <c r="U14" s="97">
        <f>IF(OR($E$8="N/A",AND(AX14=0,'Cover Sheet'!$B$29="Streamlined Review"),AND(E14="Met",F14&lt;&gt;""),AND(E14="Not Met",G14&lt;&gt;""),AND(E14="Unsure",G14&lt;&gt;""),AND(E14="N/A",H14&lt;&gt;""),AND(Y14=TRUE)),1,0)</f>
        <v>0</v>
      </c>
      <c r="X14" s="126" t="b">
        <f t="shared" si="2"/>
        <v>0</v>
      </c>
      <c r="Y14" s="126" t="b">
        <f t="shared" si="3"/>
        <v>0</v>
      </c>
      <c r="Z14" s="126">
        <f t="shared" si="4"/>
        <v>1</v>
      </c>
      <c r="AA14" s="126">
        <f t="shared" si="5"/>
        <v>0</v>
      </c>
      <c r="AB14" s="126">
        <f t="shared" si="6"/>
        <v>0</v>
      </c>
      <c r="AC14" s="126">
        <f t="shared" si="7"/>
        <v>0</v>
      </c>
      <c r="AD14" s="126">
        <f t="shared" si="8"/>
        <v>0</v>
      </c>
      <c r="AE14" s="126">
        <f t="shared" si="9"/>
        <v>0</v>
      </c>
      <c r="AF14" s="53" t="b">
        <f t="shared" si="0"/>
        <v>0</v>
      </c>
      <c r="AG14" s="54" t="b">
        <f t="shared" si="10"/>
        <v>0</v>
      </c>
      <c r="AH14" s="56" t="b">
        <f t="shared" si="11"/>
        <v>0</v>
      </c>
      <c r="AP14" s="69" t="str">
        <f t="shared" si="12"/>
        <v/>
      </c>
      <c r="AX14" s="110">
        <v>1</v>
      </c>
    </row>
    <row r="15" spans="1:50" ht="63.95" customHeight="1" x14ac:dyDescent="0.25">
      <c r="A15" s="294" t="s">
        <v>1095</v>
      </c>
      <c r="B15" s="295" t="s">
        <v>1096</v>
      </c>
      <c r="C15" s="295" t="s">
        <v>1097</v>
      </c>
      <c r="D15" s="470">
        <v>2</v>
      </c>
      <c r="E15" s="297"/>
      <c r="F15" s="297"/>
      <c r="G15" s="297"/>
      <c r="H15" s="214"/>
      <c r="I15" s="92" t="s">
        <v>168</v>
      </c>
      <c r="J15" s="92" t="s">
        <v>178</v>
      </c>
      <c r="K15" s="92" t="s">
        <v>185</v>
      </c>
      <c r="L15" s="71" t="s">
        <v>190</v>
      </c>
      <c r="M15" s="71"/>
      <c r="N15" s="71"/>
      <c r="O15" s="71"/>
      <c r="P15" s="71" t="s">
        <v>380</v>
      </c>
      <c r="Q15" s="71" t="b">
        <f t="shared" si="1"/>
        <v>0</v>
      </c>
      <c r="R15" s="64"/>
      <c r="S15" s="64"/>
      <c r="T15" s="64"/>
      <c r="U15" s="97">
        <f>IF(OR($E$8="N/A",AND(AX15=0,'Cover Sheet'!$B$29="Streamlined Review"),AND(E15="Met",F15&lt;&gt;""),AND(E15="Not Met",G15&lt;&gt;""),AND(E15="Unsure",G15&lt;&gt;""),AND(E15="N/A",H15&lt;&gt;""),AND(Y15=TRUE)),1,0)</f>
        <v>0</v>
      </c>
      <c r="X15" s="126" t="b">
        <f t="shared" si="2"/>
        <v>0</v>
      </c>
      <c r="Y15" s="126" t="b">
        <f t="shared" si="3"/>
        <v>0</v>
      </c>
      <c r="Z15" s="126">
        <f t="shared" si="4"/>
        <v>1</v>
      </c>
      <c r="AA15" s="126">
        <f t="shared" si="5"/>
        <v>0</v>
      </c>
      <c r="AB15" s="126">
        <f t="shared" si="6"/>
        <v>0</v>
      </c>
      <c r="AC15" s="126">
        <f t="shared" si="7"/>
        <v>0</v>
      </c>
      <c r="AD15" s="126">
        <f t="shared" si="8"/>
        <v>0</v>
      </c>
      <c r="AE15" s="126">
        <f t="shared" si="9"/>
        <v>0</v>
      </c>
      <c r="AF15" s="53" t="b">
        <f t="shared" si="0"/>
        <v>0</v>
      </c>
      <c r="AG15" s="54" t="b">
        <f t="shared" si="10"/>
        <v>0</v>
      </c>
      <c r="AH15" s="56" t="b">
        <f t="shared" si="11"/>
        <v>0</v>
      </c>
      <c r="AP15" s="69" t="str">
        <f t="shared" si="12"/>
        <v/>
      </c>
      <c r="AX15" s="110">
        <v>1</v>
      </c>
    </row>
    <row r="16" spans="1:50" ht="107.25" customHeight="1" x14ac:dyDescent="0.25">
      <c r="A16" s="294" t="s">
        <v>1098</v>
      </c>
      <c r="B16" s="295" t="s">
        <v>1099</v>
      </c>
      <c r="C16" s="295" t="s">
        <v>1100</v>
      </c>
      <c r="D16" s="446"/>
      <c r="E16" s="297"/>
      <c r="F16" s="297"/>
      <c r="G16" s="297"/>
      <c r="H16" s="214"/>
      <c r="I16" s="92" t="s">
        <v>168</v>
      </c>
      <c r="J16" s="92" t="s">
        <v>178</v>
      </c>
      <c r="K16" s="92" t="s">
        <v>185</v>
      </c>
      <c r="L16" s="71" t="s">
        <v>190</v>
      </c>
      <c r="M16" s="71"/>
      <c r="N16" s="71"/>
      <c r="O16" s="71"/>
      <c r="P16" s="71" t="s">
        <v>380</v>
      </c>
      <c r="Q16" s="71" t="b">
        <f t="shared" si="1"/>
        <v>0</v>
      </c>
      <c r="R16" s="64">
        <v>43282</v>
      </c>
      <c r="S16" s="64"/>
      <c r="T16" s="64"/>
      <c r="U16" s="97">
        <f>IF(OR($E$8="N/A",AND(AX16=0,'Cover Sheet'!$B$29="Streamlined Review"),AND(E16="Met",F16&lt;&gt;""),AND(E16="Not Met",G16&lt;&gt;""),AND(E16="Unsure",G16&lt;&gt;""),AND(E16="N/A",H16&lt;&gt;""),AND(Y16=TRUE)),1,0)</f>
        <v>0</v>
      </c>
      <c r="X16" s="126" t="b">
        <f t="shared" si="2"/>
        <v>0</v>
      </c>
      <c r="Y16" s="126" t="b">
        <f t="shared" si="3"/>
        <v>0</v>
      </c>
      <c r="Z16" s="126">
        <f t="shared" si="4"/>
        <v>1</v>
      </c>
      <c r="AA16" s="126">
        <f t="shared" si="5"/>
        <v>0</v>
      </c>
      <c r="AB16" s="126">
        <f t="shared" si="6"/>
        <v>0</v>
      </c>
      <c r="AC16" s="126">
        <f t="shared" si="7"/>
        <v>0</v>
      </c>
      <c r="AD16" s="126">
        <f t="shared" si="8"/>
        <v>0</v>
      </c>
      <c r="AE16" s="126">
        <f t="shared" si="9"/>
        <v>0</v>
      </c>
      <c r="AF16" s="53" t="b">
        <f t="shared" si="0"/>
        <v>0</v>
      </c>
      <c r="AG16" s="54" t="b">
        <f t="shared" si="10"/>
        <v>0</v>
      </c>
      <c r="AH16" s="56" t="b">
        <f t="shared" si="11"/>
        <v>0</v>
      </c>
      <c r="AP16" s="69" t="str">
        <f t="shared" si="12"/>
        <v/>
      </c>
      <c r="AX16" s="110">
        <v>1</v>
      </c>
    </row>
    <row r="17" spans="1:50" ht="39.75" customHeight="1" x14ac:dyDescent="0.25">
      <c r="A17" s="294" t="s">
        <v>1101</v>
      </c>
      <c r="B17" s="295" t="s">
        <v>1102</v>
      </c>
      <c r="C17" s="295" t="s">
        <v>1103</v>
      </c>
      <c r="D17" s="446"/>
      <c r="E17" s="297"/>
      <c r="F17" s="297"/>
      <c r="G17" s="297"/>
      <c r="H17" s="214"/>
      <c r="I17" s="92"/>
      <c r="J17" s="92"/>
      <c r="K17" s="92"/>
      <c r="L17" s="71"/>
      <c r="M17" s="71"/>
      <c r="N17" s="71"/>
      <c r="O17" s="71" t="s">
        <v>200</v>
      </c>
      <c r="P17" s="71" t="s">
        <v>380</v>
      </c>
      <c r="Q17" s="71" t="b">
        <f t="shared" si="1"/>
        <v>0</v>
      </c>
      <c r="R17" s="64">
        <v>42917</v>
      </c>
      <c r="S17" s="64"/>
      <c r="T17" s="64"/>
      <c r="U17" s="97">
        <f>IF(OR($E$8="N/A",AND(AX17=0,'Cover Sheet'!$B$29="Streamlined Review"),AND(E17="Met",F17&lt;&gt;""),AND(E17="Not Met",G17&lt;&gt;""),AND(E17="Unsure",G17&lt;&gt;""),AND(E17="N/A",H17&lt;&gt;""),AND(Y17=TRUE)),1,0)</f>
        <v>1</v>
      </c>
      <c r="X17" s="126" t="b">
        <f t="shared" si="2"/>
        <v>1</v>
      </c>
      <c r="Y17" s="126" t="b">
        <f t="shared" si="3"/>
        <v>1</v>
      </c>
      <c r="Z17" s="126">
        <f t="shared" si="4"/>
        <v>0</v>
      </c>
      <c r="AA17" s="126">
        <f t="shared" si="5"/>
        <v>0</v>
      </c>
      <c r="AB17" s="126">
        <f t="shared" si="6"/>
        <v>0</v>
      </c>
      <c r="AC17" s="126">
        <f t="shared" si="7"/>
        <v>0</v>
      </c>
      <c r="AD17" s="126">
        <f t="shared" si="8"/>
        <v>0</v>
      </c>
      <c r="AE17" s="126">
        <f t="shared" si="9"/>
        <v>0</v>
      </c>
      <c r="AF17" s="53" t="b">
        <f t="shared" si="0"/>
        <v>0</v>
      </c>
      <c r="AG17" s="54" t="b">
        <f t="shared" si="10"/>
        <v>0</v>
      </c>
      <c r="AH17" s="56" t="b">
        <f t="shared" si="11"/>
        <v>0</v>
      </c>
      <c r="AP17" s="69" t="str">
        <f t="shared" si="12"/>
        <v/>
      </c>
      <c r="AX17" s="110">
        <v>0</v>
      </c>
    </row>
    <row r="18" spans="1:50" ht="15.75" thickBot="1" x14ac:dyDescent="0.3">
      <c r="A18" s="450"/>
      <c r="B18" s="451"/>
      <c r="C18" s="452" t="s">
        <v>33</v>
      </c>
      <c r="D18" s="486"/>
      <c r="E18" s="443"/>
      <c r="F18" s="444"/>
      <c r="G18" s="444"/>
      <c r="H18" s="445"/>
      <c r="I18" s="74"/>
      <c r="J18" s="74"/>
      <c r="K18" s="74"/>
      <c r="L18" s="87"/>
      <c r="M18" s="87"/>
      <c r="R18" s="116"/>
      <c r="S18" s="116"/>
      <c r="T18" s="116"/>
      <c r="U18" s="126"/>
      <c r="Z18" s="126"/>
      <c r="AA18" s="126"/>
      <c r="AB18" s="126"/>
      <c r="AC18" s="126"/>
      <c r="AD18" s="126"/>
      <c r="AE18" s="126"/>
      <c r="AH18" s="68"/>
      <c r="AX18" s="110"/>
    </row>
    <row r="19" spans="1:50" ht="52.5" customHeight="1" thickBot="1" x14ac:dyDescent="0.3">
      <c r="A19" s="294" t="s">
        <v>1104</v>
      </c>
      <c r="B19" s="295" t="s">
        <v>1105</v>
      </c>
      <c r="C19" s="295" t="s">
        <v>1106</v>
      </c>
      <c r="D19" s="446"/>
      <c r="E19" s="297"/>
      <c r="F19" s="297"/>
      <c r="G19" s="297"/>
      <c r="H19" s="214"/>
      <c r="I19" s="92" t="s">
        <v>168</v>
      </c>
      <c r="J19" s="92" t="s">
        <v>178</v>
      </c>
      <c r="K19" s="92" t="s">
        <v>185</v>
      </c>
      <c r="L19" s="71" t="s">
        <v>190</v>
      </c>
      <c r="M19" s="71" t="s">
        <v>195</v>
      </c>
      <c r="N19" s="71"/>
      <c r="O19" s="71"/>
      <c r="P19" s="71" t="s">
        <v>380</v>
      </c>
      <c r="Q19" s="71" t="b">
        <f>IF(OR(AND($C$2="Base contract",$C$3="No, section requirements must be reviewed", $AF19=FALSE,$AG19=FALSE),AND($C$2="Contract amendment",$C$3="No, section requirements must be reviewed",$AF19=FALSE,$AG19=FALSE)),"MUNN")</f>
        <v>0</v>
      </c>
      <c r="R19" s="64"/>
      <c r="S19" s="64"/>
      <c r="T19" s="64"/>
      <c r="U19" s="97">
        <f>IF(OR($E$18="N/A",AND(AX19=0,'Cover Sheet'!$B$29="Streamlined Review"),AND(E19="Met",F19&lt;&gt;""),AND(E19="Not Met",G19&lt;&gt;""),AND(E19="Unsure",G19&lt;&gt;""),AND(E19="N/A",H19&lt;&gt;""),AND(Y19=TRUE)),1,0)</f>
        <v>0</v>
      </c>
      <c r="X19" s="126" t="b">
        <f t="shared" si="2"/>
        <v>0</v>
      </c>
      <c r="Y19" s="126" t="b">
        <f>IF(SUM(Z19:AE19)&lt;1,TRUE,FALSE)</f>
        <v>0</v>
      </c>
      <c r="Z19" s="126">
        <f>IF($Z$2=I19,1,0)</f>
        <v>1</v>
      </c>
      <c r="AA19" s="126">
        <f>IF($AA$2=J19,1,0)</f>
        <v>0</v>
      </c>
      <c r="AB19" s="126">
        <f>IF($AB$2=K19,1,0)</f>
        <v>0</v>
      </c>
      <c r="AC19" s="126">
        <f>IF($AC$2=L19,1,0)</f>
        <v>0</v>
      </c>
      <c r="AD19" s="126">
        <f>IF($AD$2=M19,1,0)</f>
        <v>0</v>
      </c>
      <c r="AE19" s="126">
        <f>IF($AE$2=O19,1,0)</f>
        <v>0</v>
      </c>
      <c r="AF19" s="53" t="b">
        <f>IF($H$1&lt;&gt;0,IF($H$1&lt;&gt;I19,IF($H$1&lt;&gt;J19,IF($H$1&lt;&gt;K19,IF($H$1&lt;&gt;L19,IF($H$1&lt;&gt;M19,IF($H$1&lt;&gt;N19,IF($H$1&lt;&gt;O19,TRUE,FALSE))))))))</f>
        <v>0</v>
      </c>
      <c r="AG19" s="54" t="b">
        <f>IF(AH19=TRUE,TRUE,FALSE)</f>
        <v>0</v>
      </c>
      <c r="AH19" s="56" t="b">
        <f>IF(OR(AND($H$6="Medicaid",MID($A19,1,FIND(".",$A19,1)-1)="II"),AND($H$6="CHIP",MID($A19,1,FIND(".",$A19,1)-1)="I")),TRUE,FALSE)</f>
        <v>0</v>
      </c>
      <c r="AP19" s="69" t="str">
        <f>IF(AO19=1,1,"")</f>
        <v/>
      </c>
      <c r="AX19" s="110">
        <v>0</v>
      </c>
    </row>
    <row r="20" spans="1:50" ht="15.75" thickBot="1" x14ac:dyDescent="0.3">
      <c r="A20" s="450"/>
      <c r="B20" s="451"/>
      <c r="C20" s="452" t="s">
        <v>34</v>
      </c>
      <c r="D20" s="486"/>
      <c r="E20" s="443"/>
      <c r="F20" s="444"/>
      <c r="G20" s="444"/>
      <c r="H20" s="445"/>
      <c r="I20" s="74"/>
      <c r="J20" s="74"/>
      <c r="K20" s="74"/>
      <c r="L20" s="87"/>
      <c r="M20" s="87"/>
      <c r="R20" s="116"/>
      <c r="S20" s="116"/>
      <c r="T20" s="116"/>
      <c r="U20" s="126"/>
      <c r="Z20" s="126"/>
      <c r="AA20" s="126"/>
      <c r="AB20" s="126"/>
      <c r="AC20" s="126"/>
      <c r="AD20" s="126"/>
      <c r="AE20" s="126"/>
      <c r="AH20" s="68"/>
      <c r="AX20" s="110"/>
    </row>
    <row r="21" spans="1:50" ht="27.75" customHeight="1" x14ac:dyDescent="0.25">
      <c r="A21" s="294" t="s">
        <v>1107</v>
      </c>
      <c r="B21" s="295" t="s">
        <v>1105</v>
      </c>
      <c r="C21" s="295" t="s">
        <v>1108</v>
      </c>
      <c r="D21" s="446"/>
      <c r="E21" s="297"/>
      <c r="F21" s="297"/>
      <c r="G21" s="297"/>
      <c r="H21" s="214"/>
      <c r="I21" s="92" t="s">
        <v>168</v>
      </c>
      <c r="J21" s="92" t="s">
        <v>178</v>
      </c>
      <c r="K21" s="92" t="s">
        <v>185</v>
      </c>
      <c r="L21" s="71" t="s">
        <v>190</v>
      </c>
      <c r="M21" s="71" t="s">
        <v>195</v>
      </c>
      <c r="N21" s="71"/>
      <c r="O21" s="71"/>
      <c r="P21" s="71" t="s">
        <v>380</v>
      </c>
      <c r="Q21" s="71" t="b">
        <f t="shared" ref="Q21:Q30" si="13">IF(OR(AND($C$2="Base contract",$C$3="No, section requirements must be reviewed", $AF21=FALSE,$AG21=FALSE),AND($C$2="Contract amendment",$C$3="No, section requirements must be reviewed",$AF21=FALSE,$AG21=FALSE)),"MUNN")</f>
        <v>0</v>
      </c>
      <c r="R21" s="64"/>
      <c r="S21" s="64"/>
      <c r="T21" s="64"/>
      <c r="U21" s="97">
        <f>IF(OR($E$20="N/A",AND(AX21=0,'Cover Sheet'!$B$29="Streamlined Review"),AND(E21="Met",F21&lt;&gt;""),AND(E21="Not Met",G21&lt;&gt;""),AND(E21="Unsure",G21&lt;&gt;""),AND(E21="N/A",H21&lt;&gt;""),AND(Y21=TRUE)),1,0)</f>
        <v>0</v>
      </c>
      <c r="X21" s="126" t="b">
        <f t="shared" si="2"/>
        <v>0</v>
      </c>
      <c r="Y21" s="126" t="b">
        <f>IF(SUM(Z21:AE21)&lt;1,TRUE,FALSE)</f>
        <v>0</v>
      </c>
      <c r="Z21" s="126">
        <f>IF($Z$2=I21,1,0)</f>
        <v>1</v>
      </c>
      <c r="AA21" s="126">
        <f>IF($AA$2=J21,1,0)</f>
        <v>0</v>
      </c>
      <c r="AB21" s="126">
        <f>IF($AB$2=K21,1,0)</f>
        <v>0</v>
      </c>
      <c r="AC21" s="126">
        <f>IF($AC$2=L21,1,0)</f>
        <v>0</v>
      </c>
      <c r="AD21" s="126">
        <f>IF($AD$2=M21,1,0)</f>
        <v>0</v>
      </c>
      <c r="AE21" s="126">
        <f>IF($AE$2=O21,1,0)</f>
        <v>0</v>
      </c>
      <c r="AF21" s="53" t="b">
        <f t="shared" ref="AF21:AF30" si="14">IF($H$1&lt;&gt;0,IF($H$1&lt;&gt;I21,IF($H$1&lt;&gt;J21,IF($H$1&lt;&gt;K21,IF($H$1&lt;&gt;L21,IF($H$1&lt;&gt;M21,IF($H$1&lt;&gt;N21,IF($H$1&lt;&gt;O21,TRUE,FALSE))))))))</f>
        <v>0</v>
      </c>
      <c r="AG21" s="54" t="b">
        <f t="shared" ref="AG21:AG30" si="15">IF(AH21=TRUE,TRUE,FALSE)</f>
        <v>0</v>
      </c>
      <c r="AH21" s="56" t="b">
        <f t="shared" ref="AH21:AH30" si="16">IF(OR(AND($H$6="Medicaid",MID($A21,1,FIND(".",$A21,1)-1)="II"),AND($H$6="CHIP",MID($A21,1,FIND(".",$A21,1)-1)="I")),TRUE,FALSE)</f>
        <v>0</v>
      </c>
      <c r="AP21" s="69" t="str">
        <f t="shared" ref="AP21:AP30" si="17">IF(AO21=1,1,"")</f>
        <v/>
      </c>
      <c r="AX21" s="110">
        <v>0</v>
      </c>
    </row>
    <row r="22" spans="1:50" ht="28.5" customHeight="1" x14ac:dyDescent="0.25">
      <c r="A22" s="294" t="s">
        <v>1109</v>
      </c>
      <c r="B22" s="295" t="s">
        <v>1110</v>
      </c>
      <c r="C22" s="295" t="s">
        <v>1111</v>
      </c>
      <c r="D22" s="446"/>
      <c r="E22" s="297"/>
      <c r="F22" s="297"/>
      <c r="G22" s="297"/>
      <c r="H22" s="214"/>
      <c r="I22" s="92" t="s">
        <v>168</v>
      </c>
      <c r="J22" s="92" t="s">
        <v>178</v>
      </c>
      <c r="K22" s="92" t="s">
        <v>185</v>
      </c>
      <c r="L22" s="71" t="s">
        <v>190</v>
      </c>
      <c r="M22" s="71" t="s">
        <v>195</v>
      </c>
      <c r="N22" s="71"/>
      <c r="O22" s="71"/>
      <c r="P22" s="71" t="s">
        <v>380</v>
      </c>
      <c r="Q22" s="71" t="b">
        <f t="shared" si="13"/>
        <v>0</v>
      </c>
      <c r="R22" s="64"/>
      <c r="S22" s="64"/>
      <c r="T22" s="64"/>
      <c r="U22" s="97">
        <f>IF(OR($E$20="N/A",AND(AX22=0,'Cover Sheet'!$B$29="Streamlined Review"),AND(E22="Met",F22&lt;&gt;""),AND(E22="Not Met",G22&lt;&gt;""),AND(E22="Unsure",G22&lt;&gt;""),AND(E22="N/A",H22&lt;&gt;""),AND(Y22=TRUE)),1,0)</f>
        <v>0</v>
      </c>
      <c r="X22" s="126" t="b">
        <f t="shared" si="2"/>
        <v>0</v>
      </c>
      <c r="Y22" s="126" t="b">
        <f t="shared" ref="Y22:Y30" si="18">IF(SUM(Z22:AE22)&lt;1,TRUE,FALSE)</f>
        <v>0</v>
      </c>
      <c r="Z22" s="126">
        <f t="shared" ref="Z22:Z30" si="19">IF($Z$2=I22,1,0)</f>
        <v>1</v>
      </c>
      <c r="AA22" s="126">
        <f t="shared" ref="AA22:AA30" si="20">IF($AA$2=J22,1,0)</f>
        <v>0</v>
      </c>
      <c r="AB22" s="126">
        <f t="shared" ref="AB22:AB30" si="21">IF($AB$2=K22,1,0)</f>
        <v>0</v>
      </c>
      <c r="AC22" s="126">
        <f t="shared" ref="AC22:AC30" si="22">IF($AC$2=L22,1,0)</f>
        <v>0</v>
      </c>
      <c r="AD22" s="126">
        <f t="shared" ref="AD22:AD30" si="23">IF($AD$2=M22,1,0)</f>
        <v>0</v>
      </c>
      <c r="AE22" s="126">
        <f t="shared" ref="AE22:AE30" si="24">IF($AE$2=O22,1,0)</f>
        <v>0</v>
      </c>
      <c r="AF22" s="53" t="b">
        <f t="shared" si="14"/>
        <v>0</v>
      </c>
      <c r="AG22" s="54" t="b">
        <f t="shared" si="15"/>
        <v>0</v>
      </c>
      <c r="AH22" s="56" t="b">
        <f t="shared" si="16"/>
        <v>0</v>
      </c>
      <c r="AP22" s="69" t="str">
        <f t="shared" si="17"/>
        <v/>
      </c>
      <c r="AX22" s="110">
        <v>0</v>
      </c>
    </row>
    <row r="23" spans="1:50" ht="42" customHeight="1" x14ac:dyDescent="0.25">
      <c r="A23" s="294" t="s">
        <v>1112</v>
      </c>
      <c r="B23" s="295" t="s">
        <v>1113</v>
      </c>
      <c r="C23" s="295" t="s">
        <v>1114</v>
      </c>
      <c r="D23" s="446"/>
      <c r="E23" s="297"/>
      <c r="F23" s="297"/>
      <c r="G23" s="297"/>
      <c r="H23" s="214"/>
      <c r="I23" s="92" t="s">
        <v>168</v>
      </c>
      <c r="J23" s="92" t="s">
        <v>178</v>
      </c>
      <c r="K23" s="92" t="s">
        <v>185</v>
      </c>
      <c r="L23" s="71" t="s">
        <v>190</v>
      </c>
      <c r="M23" s="71" t="s">
        <v>195</v>
      </c>
      <c r="N23" s="71"/>
      <c r="O23" s="71"/>
      <c r="P23" s="71" t="s">
        <v>380</v>
      </c>
      <c r="Q23" s="71" t="b">
        <f t="shared" si="13"/>
        <v>0</v>
      </c>
      <c r="R23" s="64">
        <v>42556</v>
      </c>
      <c r="S23" s="64"/>
      <c r="T23" s="64"/>
      <c r="U23" s="97">
        <f>IF(OR($E$20="N/A",AND(AX23=0,'Cover Sheet'!$B$29="Streamlined Review"),AND(E23="Met",F23&lt;&gt;""),AND(E23="Not Met",G23&lt;&gt;""),AND(E23="Unsure",G23&lt;&gt;""),AND(E23="N/A",H23&lt;&gt;""),AND(Y23=TRUE)),1,0)</f>
        <v>0</v>
      </c>
      <c r="X23" s="126" t="b">
        <f t="shared" si="2"/>
        <v>0</v>
      </c>
      <c r="Y23" s="126" t="b">
        <f t="shared" si="18"/>
        <v>0</v>
      </c>
      <c r="Z23" s="126">
        <f t="shared" si="19"/>
        <v>1</v>
      </c>
      <c r="AA23" s="126">
        <f t="shared" si="20"/>
        <v>0</v>
      </c>
      <c r="AB23" s="126">
        <f t="shared" si="21"/>
        <v>0</v>
      </c>
      <c r="AC23" s="126">
        <f t="shared" si="22"/>
        <v>0</v>
      </c>
      <c r="AD23" s="126">
        <f t="shared" si="23"/>
        <v>0</v>
      </c>
      <c r="AE23" s="126">
        <f t="shared" si="24"/>
        <v>0</v>
      </c>
      <c r="AF23" s="53" t="b">
        <f t="shared" si="14"/>
        <v>0</v>
      </c>
      <c r="AG23" s="54" t="b">
        <f t="shared" si="15"/>
        <v>0</v>
      </c>
      <c r="AH23" s="56" t="b">
        <f t="shared" si="16"/>
        <v>0</v>
      </c>
      <c r="AP23" s="69" t="str">
        <f t="shared" si="17"/>
        <v/>
      </c>
      <c r="AX23" s="110">
        <v>0</v>
      </c>
    </row>
    <row r="24" spans="1:50" ht="31.5" customHeight="1" x14ac:dyDescent="0.25">
      <c r="A24" s="294" t="s">
        <v>1115</v>
      </c>
      <c r="B24" s="295" t="s">
        <v>1116</v>
      </c>
      <c r="C24" s="295" t="s">
        <v>1117</v>
      </c>
      <c r="D24" s="446"/>
      <c r="E24" s="297"/>
      <c r="F24" s="297"/>
      <c r="G24" s="297"/>
      <c r="H24" s="214"/>
      <c r="I24" s="92" t="s">
        <v>168</v>
      </c>
      <c r="J24" s="92" t="s">
        <v>178</v>
      </c>
      <c r="K24" s="92" t="s">
        <v>185</v>
      </c>
      <c r="L24" s="71" t="s">
        <v>190</v>
      </c>
      <c r="M24" s="71" t="s">
        <v>195</v>
      </c>
      <c r="N24" s="71"/>
      <c r="O24" s="71"/>
      <c r="P24" s="71" t="s">
        <v>380</v>
      </c>
      <c r="Q24" s="71" t="b">
        <f t="shared" si="13"/>
        <v>0</v>
      </c>
      <c r="R24" s="64"/>
      <c r="S24" s="64"/>
      <c r="T24" s="64"/>
      <c r="U24" s="97">
        <f>IF(OR($E$20="N/A",AND(AX24=0,'Cover Sheet'!$B$29="Streamlined Review"),AND(E24="Met",F24&lt;&gt;""),AND(E24="Not Met",G24&lt;&gt;""),AND(E24="Unsure",G24&lt;&gt;""),AND(E24="N/A",H24&lt;&gt;""),AND(Y24=TRUE)),1,0)</f>
        <v>0</v>
      </c>
      <c r="X24" s="126" t="b">
        <f t="shared" si="2"/>
        <v>0</v>
      </c>
      <c r="Y24" s="126" t="b">
        <f t="shared" si="18"/>
        <v>0</v>
      </c>
      <c r="Z24" s="126">
        <f t="shared" si="19"/>
        <v>1</v>
      </c>
      <c r="AA24" s="126">
        <f t="shared" si="20"/>
        <v>0</v>
      </c>
      <c r="AB24" s="126">
        <f t="shared" si="21"/>
        <v>0</v>
      </c>
      <c r="AC24" s="126">
        <f t="shared" si="22"/>
        <v>0</v>
      </c>
      <c r="AD24" s="126">
        <f t="shared" si="23"/>
        <v>0</v>
      </c>
      <c r="AE24" s="126">
        <f t="shared" si="24"/>
        <v>0</v>
      </c>
      <c r="AF24" s="53" t="b">
        <f t="shared" si="14"/>
        <v>0</v>
      </c>
      <c r="AG24" s="54" t="b">
        <f t="shared" si="15"/>
        <v>0</v>
      </c>
      <c r="AH24" s="56" t="b">
        <f t="shared" si="16"/>
        <v>0</v>
      </c>
      <c r="AP24" s="69" t="str">
        <f t="shared" si="17"/>
        <v/>
      </c>
      <c r="AX24" s="110">
        <v>1</v>
      </c>
    </row>
    <row r="25" spans="1:50" ht="42.75" customHeight="1" x14ac:dyDescent="0.25">
      <c r="A25" s="294" t="s">
        <v>1118</v>
      </c>
      <c r="B25" s="295" t="s">
        <v>1119</v>
      </c>
      <c r="C25" s="295" t="s">
        <v>1120</v>
      </c>
      <c r="D25" s="446"/>
      <c r="E25" s="297"/>
      <c r="F25" s="297"/>
      <c r="G25" s="297"/>
      <c r="H25" s="214"/>
      <c r="I25" s="92" t="s">
        <v>168</v>
      </c>
      <c r="J25" s="92" t="s">
        <v>178</v>
      </c>
      <c r="K25" s="92" t="s">
        <v>185</v>
      </c>
      <c r="L25" s="71" t="s">
        <v>190</v>
      </c>
      <c r="M25" s="71" t="s">
        <v>195</v>
      </c>
      <c r="N25" s="71"/>
      <c r="O25" s="71"/>
      <c r="P25" s="71" t="s">
        <v>380</v>
      </c>
      <c r="Q25" s="71" t="b">
        <f t="shared" si="13"/>
        <v>0</v>
      </c>
      <c r="R25" s="64"/>
      <c r="S25" s="64"/>
      <c r="T25" s="64"/>
      <c r="U25" s="97">
        <f>IF(OR($E$20="N/A",AND(AX25=0,'Cover Sheet'!$B$29="Streamlined Review"),AND(E25="Met",F25&lt;&gt;""),AND(E25="Not Met",G25&lt;&gt;""),AND(E25="Unsure",G25&lt;&gt;""),AND(E25="N/A",H25&lt;&gt;""),AND(Y25=TRUE)),1,0)</f>
        <v>0</v>
      </c>
      <c r="X25" s="126" t="b">
        <f t="shared" si="2"/>
        <v>0</v>
      </c>
      <c r="Y25" s="126" t="b">
        <f t="shared" si="18"/>
        <v>0</v>
      </c>
      <c r="Z25" s="126">
        <f t="shared" si="19"/>
        <v>1</v>
      </c>
      <c r="AA25" s="126">
        <f t="shared" si="20"/>
        <v>0</v>
      </c>
      <c r="AB25" s="126">
        <f t="shared" si="21"/>
        <v>0</v>
      </c>
      <c r="AC25" s="126">
        <f t="shared" si="22"/>
        <v>0</v>
      </c>
      <c r="AD25" s="126">
        <f t="shared" si="23"/>
        <v>0</v>
      </c>
      <c r="AE25" s="126">
        <f t="shared" si="24"/>
        <v>0</v>
      </c>
      <c r="AF25" s="53" t="b">
        <f t="shared" si="14"/>
        <v>0</v>
      </c>
      <c r="AG25" s="54" t="b">
        <f t="shared" si="15"/>
        <v>0</v>
      </c>
      <c r="AH25" s="56" t="b">
        <f t="shared" si="16"/>
        <v>0</v>
      </c>
      <c r="AP25" s="69" t="str">
        <f t="shared" si="17"/>
        <v/>
      </c>
      <c r="AX25" s="110">
        <v>0</v>
      </c>
    </row>
    <row r="26" spans="1:50" ht="27" customHeight="1" x14ac:dyDescent="0.25">
      <c r="A26" s="294" t="s">
        <v>1121</v>
      </c>
      <c r="B26" s="295" t="s">
        <v>1122</v>
      </c>
      <c r="C26" s="295" t="s">
        <v>1123</v>
      </c>
      <c r="D26" s="446"/>
      <c r="E26" s="297"/>
      <c r="F26" s="297"/>
      <c r="G26" s="297"/>
      <c r="H26" s="214"/>
      <c r="I26" s="92" t="s">
        <v>168</v>
      </c>
      <c r="J26" s="92" t="s">
        <v>178</v>
      </c>
      <c r="K26" s="92" t="s">
        <v>185</v>
      </c>
      <c r="L26" s="71" t="s">
        <v>190</v>
      </c>
      <c r="M26" s="71" t="s">
        <v>195</v>
      </c>
      <c r="N26" s="71"/>
      <c r="O26" s="71"/>
      <c r="P26" s="71" t="s">
        <v>380</v>
      </c>
      <c r="Q26" s="71" t="b">
        <f t="shared" si="13"/>
        <v>0</v>
      </c>
      <c r="R26" s="64"/>
      <c r="S26" s="64"/>
      <c r="T26" s="64"/>
      <c r="U26" s="97">
        <f>IF(OR($E$20="N/A",AND(AX26=0,'Cover Sheet'!$B$29="Streamlined Review"),AND(E26="Met",F26&lt;&gt;""),AND(E26="Not Met",G26&lt;&gt;""),AND(E26="Unsure",G26&lt;&gt;""),AND(E26="N/A",H26&lt;&gt;""),AND(Y26=TRUE)),1,0)</f>
        <v>0</v>
      </c>
      <c r="X26" s="126" t="b">
        <f t="shared" si="2"/>
        <v>0</v>
      </c>
      <c r="Y26" s="126" t="b">
        <f t="shared" si="18"/>
        <v>0</v>
      </c>
      <c r="Z26" s="126">
        <f t="shared" si="19"/>
        <v>1</v>
      </c>
      <c r="AA26" s="126">
        <f t="shared" si="20"/>
        <v>0</v>
      </c>
      <c r="AB26" s="126">
        <f t="shared" si="21"/>
        <v>0</v>
      </c>
      <c r="AC26" s="126">
        <f t="shared" si="22"/>
        <v>0</v>
      </c>
      <c r="AD26" s="126">
        <f t="shared" si="23"/>
        <v>0</v>
      </c>
      <c r="AE26" s="126">
        <f t="shared" si="24"/>
        <v>0</v>
      </c>
      <c r="AF26" s="53" t="b">
        <f t="shared" si="14"/>
        <v>0</v>
      </c>
      <c r="AG26" s="54" t="b">
        <f t="shared" si="15"/>
        <v>0</v>
      </c>
      <c r="AH26" s="56" t="b">
        <f t="shared" si="16"/>
        <v>0</v>
      </c>
      <c r="AP26" s="69" t="str">
        <f t="shared" si="17"/>
        <v/>
      </c>
      <c r="AX26" s="110">
        <v>0</v>
      </c>
    </row>
    <row r="27" spans="1:50" ht="29.25" customHeight="1" x14ac:dyDescent="0.25">
      <c r="A27" s="294" t="s">
        <v>1124</v>
      </c>
      <c r="B27" s="295" t="s">
        <v>1125</v>
      </c>
      <c r="C27" s="295" t="s">
        <v>1126</v>
      </c>
      <c r="D27" s="446"/>
      <c r="E27" s="297"/>
      <c r="F27" s="297"/>
      <c r="G27" s="297"/>
      <c r="H27" s="214"/>
      <c r="I27" s="92" t="s">
        <v>168</v>
      </c>
      <c r="J27" s="92" t="s">
        <v>178</v>
      </c>
      <c r="K27" s="92" t="s">
        <v>185</v>
      </c>
      <c r="L27" s="71" t="s">
        <v>190</v>
      </c>
      <c r="M27" s="71" t="s">
        <v>195</v>
      </c>
      <c r="N27" s="71"/>
      <c r="O27" s="71"/>
      <c r="P27" s="71" t="s">
        <v>380</v>
      </c>
      <c r="Q27" s="71" t="b">
        <f t="shared" si="13"/>
        <v>0</v>
      </c>
      <c r="R27" s="64"/>
      <c r="S27" s="64"/>
      <c r="T27" s="64"/>
      <c r="U27" s="97">
        <f>IF(OR($E$20="N/A",AND(AX27=0,'Cover Sheet'!$B$29="Streamlined Review"),AND(E27="Met",F27&lt;&gt;""),AND(E27="Not Met",G27&lt;&gt;""),AND(E27="Unsure",G27&lt;&gt;""),AND(E27="N/A",H27&lt;&gt;""),AND(Y27=TRUE)),1,0)</f>
        <v>0</v>
      </c>
      <c r="X27" s="126" t="b">
        <f t="shared" si="2"/>
        <v>0</v>
      </c>
      <c r="Y27" s="126" t="b">
        <f t="shared" si="18"/>
        <v>0</v>
      </c>
      <c r="Z27" s="126">
        <f t="shared" si="19"/>
        <v>1</v>
      </c>
      <c r="AA27" s="126">
        <f t="shared" si="20"/>
        <v>0</v>
      </c>
      <c r="AB27" s="126">
        <f t="shared" si="21"/>
        <v>0</v>
      </c>
      <c r="AC27" s="126">
        <f t="shared" si="22"/>
        <v>0</v>
      </c>
      <c r="AD27" s="126">
        <f t="shared" si="23"/>
        <v>0</v>
      </c>
      <c r="AE27" s="126">
        <f t="shared" si="24"/>
        <v>0</v>
      </c>
      <c r="AF27" s="53" t="b">
        <f t="shared" si="14"/>
        <v>0</v>
      </c>
      <c r="AG27" s="54" t="b">
        <f t="shared" si="15"/>
        <v>0</v>
      </c>
      <c r="AH27" s="56" t="b">
        <f t="shared" si="16"/>
        <v>0</v>
      </c>
      <c r="AP27" s="69" t="str">
        <f t="shared" si="17"/>
        <v/>
      </c>
      <c r="AX27" s="110">
        <v>0</v>
      </c>
    </row>
    <row r="28" spans="1:50" ht="28.5" customHeight="1" x14ac:dyDescent="0.25">
      <c r="A28" s="294" t="s">
        <v>1127</v>
      </c>
      <c r="B28" s="295" t="s">
        <v>1128</v>
      </c>
      <c r="C28" s="295" t="s">
        <v>1129</v>
      </c>
      <c r="D28" s="446"/>
      <c r="E28" s="297"/>
      <c r="F28" s="297"/>
      <c r="G28" s="297"/>
      <c r="H28" s="214"/>
      <c r="I28" s="92" t="s">
        <v>168</v>
      </c>
      <c r="J28" s="92" t="s">
        <v>178</v>
      </c>
      <c r="K28" s="92" t="s">
        <v>185</v>
      </c>
      <c r="L28" s="71" t="s">
        <v>190</v>
      </c>
      <c r="M28" s="71" t="s">
        <v>195</v>
      </c>
      <c r="N28" s="71"/>
      <c r="O28" s="71"/>
      <c r="P28" s="71" t="s">
        <v>380</v>
      </c>
      <c r="Q28" s="71" t="b">
        <f t="shared" si="13"/>
        <v>0</v>
      </c>
      <c r="R28" s="64"/>
      <c r="S28" s="64"/>
      <c r="T28" s="64"/>
      <c r="U28" s="97">
        <f>IF(OR($E$20="N/A",AND(AX28=0,'Cover Sheet'!$B$29="Streamlined Review"),AND(E28="Met",F28&lt;&gt;""),AND(E28="Not Met",G28&lt;&gt;""),AND(E28="Unsure",G28&lt;&gt;""),AND(E28="N/A",H28&lt;&gt;""),AND(Y28=TRUE)),1,0)</f>
        <v>0</v>
      </c>
      <c r="X28" s="126" t="b">
        <f t="shared" si="2"/>
        <v>0</v>
      </c>
      <c r="Y28" s="126" t="b">
        <f t="shared" si="18"/>
        <v>0</v>
      </c>
      <c r="Z28" s="126">
        <f t="shared" si="19"/>
        <v>1</v>
      </c>
      <c r="AA28" s="126">
        <f t="shared" si="20"/>
        <v>0</v>
      </c>
      <c r="AB28" s="126">
        <f t="shared" si="21"/>
        <v>0</v>
      </c>
      <c r="AC28" s="126">
        <f t="shared" si="22"/>
        <v>0</v>
      </c>
      <c r="AD28" s="126">
        <f t="shared" si="23"/>
        <v>0</v>
      </c>
      <c r="AE28" s="126">
        <f t="shared" si="24"/>
        <v>0</v>
      </c>
      <c r="AF28" s="53" t="b">
        <f t="shared" si="14"/>
        <v>0</v>
      </c>
      <c r="AG28" s="54" t="b">
        <f t="shared" si="15"/>
        <v>0</v>
      </c>
      <c r="AH28" s="56" t="b">
        <f t="shared" si="16"/>
        <v>0</v>
      </c>
      <c r="AP28" s="69" t="str">
        <f t="shared" si="17"/>
        <v/>
      </c>
      <c r="AX28" s="110">
        <v>0</v>
      </c>
    </row>
    <row r="29" spans="1:50" ht="42.75" customHeight="1" x14ac:dyDescent="0.25">
      <c r="A29" s="294" t="s">
        <v>1130</v>
      </c>
      <c r="B29" s="295" t="s">
        <v>1131</v>
      </c>
      <c r="C29" s="295" t="s">
        <v>1132</v>
      </c>
      <c r="D29" s="446"/>
      <c r="E29" s="297"/>
      <c r="F29" s="297"/>
      <c r="G29" s="297"/>
      <c r="H29" s="214"/>
      <c r="I29" s="92" t="s">
        <v>168</v>
      </c>
      <c r="J29" s="92" t="s">
        <v>178</v>
      </c>
      <c r="K29" s="92" t="s">
        <v>185</v>
      </c>
      <c r="L29" s="71" t="s">
        <v>190</v>
      </c>
      <c r="M29" s="71" t="s">
        <v>195</v>
      </c>
      <c r="N29" s="71"/>
      <c r="O29" s="71"/>
      <c r="P29" s="71" t="s">
        <v>380</v>
      </c>
      <c r="Q29" s="71" t="b">
        <f t="shared" si="13"/>
        <v>0</v>
      </c>
      <c r="R29" s="64"/>
      <c r="S29" s="64"/>
      <c r="T29" s="64"/>
      <c r="U29" s="97">
        <f>IF(OR($E$20="N/A",AND(AX29=0,'Cover Sheet'!$B$29="Streamlined Review"),AND(E29="Met",F29&lt;&gt;""),AND(E29="Not Met",G29&lt;&gt;""),AND(E29="Unsure",G29&lt;&gt;""),AND(E29="N/A",H29&lt;&gt;""),AND(Y29=TRUE)),1,0)</f>
        <v>0</v>
      </c>
      <c r="X29" s="126" t="b">
        <f t="shared" si="2"/>
        <v>0</v>
      </c>
      <c r="Y29" s="126" t="b">
        <f t="shared" si="18"/>
        <v>0</v>
      </c>
      <c r="Z29" s="126">
        <f t="shared" si="19"/>
        <v>1</v>
      </c>
      <c r="AA29" s="126">
        <f t="shared" si="20"/>
        <v>0</v>
      </c>
      <c r="AB29" s="126">
        <f t="shared" si="21"/>
        <v>0</v>
      </c>
      <c r="AC29" s="126">
        <f t="shared" si="22"/>
        <v>0</v>
      </c>
      <c r="AD29" s="126">
        <f t="shared" si="23"/>
        <v>0</v>
      </c>
      <c r="AE29" s="126">
        <f t="shared" si="24"/>
        <v>0</v>
      </c>
      <c r="AF29" s="53" t="b">
        <f t="shared" si="14"/>
        <v>0</v>
      </c>
      <c r="AG29" s="54" t="b">
        <f t="shared" si="15"/>
        <v>0</v>
      </c>
      <c r="AH29" s="56" t="b">
        <f t="shared" si="16"/>
        <v>0</v>
      </c>
      <c r="AP29" s="69" t="str">
        <f t="shared" si="17"/>
        <v/>
      </c>
      <c r="AX29" s="110">
        <v>0</v>
      </c>
    </row>
    <row r="30" spans="1:50" ht="29.25" customHeight="1" thickBot="1" x14ac:dyDescent="0.3">
      <c r="A30" s="294" t="s">
        <v>1133</v>
      </c>
      <c r="B30" s="295" t="s">
        <v>1134</v>
      </c>
      <c r="C30" s="295" t="s">
        <v>1135</v>
      </c>
      <c r="D30" s="446"/>
      <c r="E30" s="297"/>
      <c r="F30" s="297"/>
      <c r="G30" s="297"/>
      <c r="H30" s="214"/>
      <c r="I30" s="92" t="s">
        <v>168</v>
      </c>
      <c r="J30" s="92" t="s">
        <v>178</v>
      </c>
      <c r="K30" s="92" t="s">
        <v>185</v>
      </c>
      <c r="L30" s="71" t="s">
        <v>190</v>
      </c>
      <c r="M30" s="71" t="s">
        <v>195</v>
      </c>
      <c r="N30" s="71"/>
      <c r="O30" s="71"/>
      <c r="P30" s="71" t="s">
        <v>380</v>
      </c>
      <c r="Q30" s="71" t="b">
        <f t="shared" si="13"/>
        <v>0</v>
      </c>
      <c r="R30" s="64"/>
      <c r="S30" s="64"/>
      <c r="T30" s="64"/>
      <c r="U30" s="97">
        <f>IF(OR($E$20="N/A",AND(AX30=0,'Cover Sheet'!$B$29="Streamlined Review"),AND(E30="Met",F30&lt;&gt;""),AND(E30="Not Met",G30&lt;&gt;""),AND(E30="Unsure",G30&lt;&gt;""),AND(E30="N/A",H30&lt;&gt;""),AND(Y30=TRUE)),1,0)</f>
        <v>0</v>
      </c>
      <c r="X30" s="126" t="b">
        <f t="shared" si="2"/>
        <v>0</v>
      </c>
      <c r="Y30" s="126" t="b">
        <f t="shared" si="18"/>
        <v>0</v>
      </c>
      <c r="Z30" s="126">
        <f t="shared" si="19"/>
        <v>1</v>
      </c>
      <c r="AA30" s="126">
        <f t="shared" si="20"/>
        <v>0</v>
      </c>
      <c r="AB30" s="126">
        <f t="shared" si="21"/>
        <v>0</v>
      </c>
      <c r="AC30" s="126">
        <f t="shared" si="22"/>
        <v>0</v>
      </c>
      <c r="AD30" s="126">
        <f t="shared" si="23"/>
        <v>0</v>
      </c>
      <c r="AE30" s="126">
        <f t="shared" si="24"/>
        <v>0</v>
      </c>
      <c r="AF30" s="53" t="b">
        <f t="shared" si="14"/>
        <v>0</v>
      </c>
      <c r="AG30" s="54" t="b">
        <f t="shared" si="15"/>
        <v>0</v>
      </c>
      <c r="AH30" s="56" t="b">
        <f t="shared" si="16"/>
        <v>0</v>
      </c>
      <c r="AP30" s="69" t="str">
        <f t="shared" si="17"/>
        <v/>
      </c>
      <c r="AX30" s="110">
        <v>0</v>
      </c>
    </row>
    <row r="31" spans="1:50" ht="15.75" thickBot="1" x14ac:dyDescent="0.3">
      <c r="A31" s="450"/>
      <c r="B31" s="451"/>
      <c r="C31" s="452" t="s">
        <v>35</v>
      </c>
      <c r="D31" s="486"/>
      <c r="E31" s="443"/>
      <c r="F31" s="444"/>
      <c r="G31" s="444"/>
      <c r="H31" s="445"/>
      <c r="I31" s="74"/>
      <c r="J31" s="74"/>
      <c r="K31" s="74"/>
      <c r="L31" s="87"/>
      <c r="M31" s="87"/>
      <c r="R31" s="116"/>
      <c r="S31" s="116"/>
      <c r="T31" s="116"/>
      <c r="U31" s="126"/>
      <c r="Z31" s="126"/>
      <c r="AA31" s="126"/>
      <c r="AB31" s="126"/>
      <c r="AC31" s="126"/>
      <c r="AD31" s="126"/>
      <c r="AE31" s="126"/>
      <c r="AH31" s="68"/>
      <c r="AX31" s="110"/>
    </row>
    <row r="32" spans="1:50" ht="56.25" customHeight="1" x14ac:dyDescent="0.25">
      <c r="A32" s="294" t="s">
        <v>1136</v>
      </c>
      <c r="B32" s="295" t="s">
        <v>1137</v>
      </c>
      <c r="C32" s="295" t="s">
        <v>1138</v>
      </c>
      <c r="D32" s="446"/>
      <c r="E32" s="297"/>
      <c r="F32" s="297"/>
      <c r="G32" s="297"/>
      <c r="H32" s="214"/>
      <c r="I32" s="92" t="s">
        <v>168</v>
      </c>
      <c r="J32" s="92" t="s">
        <v>178</v>
      </c>
      <c r="K32" s="92" t="s">
        <v>185</v>
      </c>
      <c r="L32" s="71" t="s">
        <v>190</v>
      </c>
      <c r="M32" s="71"/>
      <c r="N32" s="71"/>
      <c r="O32" s="71"/>
      <c r="P32" s="71" t="s">
        <v>380</v>
      </c>
      <c r="Q32" s="71" t="b">
        <f>IF(OR(AND($C$2="Base contract",$C$3="No, section requirements must be reviewed", $AF32=FALSE,$AG32=FALSE),AND($C$2="Contract amendment",$C$3="No, section requirements must be reviewed",$AF32=FALSE,$AG32=FALSE)),"MUNN")</f>
        <v>0</v>
      </c>
      <c r="R32" s="64"/>
      <c r="S32" s="64"/>
      <c r="T32" s="64"/>
      <c r="U32" s="97">
        <f>IF(OR($E$31="N/A",AND(AX32=0,'Cover Sheet'!$B$29="Streamlined Review"),AND(E32="Met",F32&lt;&gt;""),AND(E32="Not Met",G32&lt;&gt;""),AND(E32="Unsure",G32&lt;&gt;""),AND(E32="N/A",H32&lt;&gt;""),AND(Y32=TRUE)),1,0)</f>
        <v>0</v>
      </c>
      <c r="X32" s="126" t="b">
        <f t="shared" si="2"/>
        <v>0</v>
      </c>
      <c r="Y32" s="126" t="b">
        <f>IF(SUM(Z32:AE32)&lt;1,TRUE,FALSE)</f>
        <v>0</v>
      </c>
      <c r="Z32" s="126">
        <f>IF($Z$2=I32,1,0)</f>
        <v>1</v>
      </c>
      <c r="AA32" s="126">
        <f>IF($AA$2=J32,1,0)</f>
        <v>0</v>
      </c>
      <c r="AB32" s="126">
        <f>IF($AB$2=K32,1,0)</f>
        <v>0</v>
      </c>
      <c r="AC32" s="126">
        <f>IF($AC$2=L32,1,0)</f>
        <v>0</v>
      </c>
      <c r="AD32" s="126">
        <f>IF($AD$2=M32,1,0)</f>
        <v>0</v>
      </c>
      <c r="AE32" s="126">
        <f>IF($AE$2=O32,1,0)</f>
        <v>0</v>
      </c>
      <c r="AF32" s="53" t="b">
        <f>IF($H$1&lt;&gt;0,IF($H$1&lt;&gt;I32,IF($H$1&lt;&gt;J32,IF($H$1&lt;&gt;K32,IF($H$1&lt;&gt;L32,IF($H$1&lt;&gt;M32,IF($H$1&lt;&gt;N32,IF($H$1&lt;&gt;O32,TRUE,FALSE))))))))</f>
        <v>0</v>
      </c>
      <c r="AG32" s="54" t="b">
        <f>IF(AH32=TRUE,TRUE,FALSE)</f>
        <v>0</v>
      </c>
      <c r="AH32" s="56" t="b">
        <f>IF(OR(AND($H$6="Medicaid",MID($A32,1,FIND(".",$A32,1)-1)="II"),AND($H$6="CHIP",MID($A32,1,FIND(".",$A32,1)-1)="I")),TRUE,FALSE)</f>
        <v>0</v>
      </c>
      <c r="AP32" s="69" t="str">
        <f>IF(AO32=1,1,"")</f>
        <v/>
      </c>
      <c r="AX32" s="110">
        <v>0</v>
      </c>
    </row>
    <row r="33" spans="1:50" ht="66.95" customHeight="1" x14ac:dyDescent="0.25">
      <c r="A33" s="294" t="s">
        <v>1139</v>
      </c>
      <c r="B33" s="295" t="s">
        <v>1140</v>
      </c>
      <c r="C33" s="295" t="s">
        <v>1141</v>
      </c>
      <c r="D33" s="446"/>
      <c r="E33" s="297"/>
      <c r="F33" s="297"/>
      <c r="G33" s="297"/>
      <c r="H33" s="214"/>
      <c r="I33" s="92" t="s">
        <v>168</v>
      </c>
      <c r="J33" s="92" t="s">
        <v>178</v>
      </c>
      <c r="K33" s="92" t="s">
        <v>185</v>
      </c>
      <c r="L33" s="71" t="s">
        <v>190</v>
      </c>
      <c r="M33" s="71"/>
      <c r="N33" s="71"/>
      <c r="O33" s="71"/>
      <c r="P33" s="71" t="s">
        <v>380</v>
      </c>
      <c r="Q33" s="71" t="b">
        <f>IF(OR(AND($C$2="Base contract",$C$3="No, section requirements must be reviewed", $AF33=FALSE,$AG33=FALSE),AND($C$2="Contract amendment",$C$3="No, section requirements must be reviewed",$AF33=FALSE,$AG33=FALSE)),"MUNN")</f>
        <v>0</v>
      </c>
      <c r="R33" s="64"/>
      <c r="S33" s="64"/>
      <c r="T33" s="64"/>
      <c r="U33" s="97">
        <f>IF(OR($E$31="N/A",AND(AX33=0,'Cover Sheet'!$B$29="Streamlined Review"),AND(E33="Met",F33&lt;&gt;""),AND(E33="Not Met",G33&lt;&gt;""),AND(E33="Unsure",G33&lt;&gt;""),AND(E33="N/A",H33&lt;&gt;""),AND(Y33=TRUE)),1,0)</f>
        <v>0</v>
      </c>
      <c r="X33" s="126" t="b">
        <f t="shared" si="2"/>
        <v>0</v>
      </c>
      <c r="Y33" s="126" t="b">
        <f>IF(SUM(Z33:AE33)&lt;1,TRUE,FALSE)</f>
        <v>0</v>
      </c>
      <c r="Z33" s="126">
        <f>IF($Z$2=I33,1,0)</f>
        <v>1</v>
      </c>
      <c r="AA33" s="126">
        <f>IF($AA$2=J33,1,0)</f>
        <v>0</v>
      </c>
      <c r="AB33" s="126">
        <f>IF($AB$2=K33,1,0)</f>
        <v>0</v>
      </c>
      <c r="AC33" s="126">
        <f>IF($AC$2=L33,1,0)</f>
        <v>0</v>
      </c>
      <c r="AD33" s="126">
        <f>IF($AD$2=M33,1,0)</f>
        <v>0</v>
      </c>
      <c r="AE33" s="126">
        <f>IF($AE$2=O33,1,0)</f>
        <v>0</v>
      </c>
      <c r="AF33" s="53" t="b">
        <f>IF($H$1&lt;&gt;0,IF($H$1&lt;&gt;I33,IF($H$1&lt;&gt;J33,IF($H$1&lt;&gt;K33,IF($H$1&lt;&gt;L33,IF($H$1&lt;&gt;M33,IF($H$1&lt;&gt;N33,IF($H$1&lt;&gt;O33,TRUE,FALSE))))))))</f>
        <v>0</v>
      </c>
      <c r="AG33" s="54" t="b">
        <f>IF(AH33=TRUE,TRUE,FALSE)</f>
        <v>0</v>
      </c>
      <c r="AH33" s="56" t="b">
        <f>IF(OR(AND($H$6="Medicaid",MID($A33,1,FIND(".",$A33,1)-1)="II"),AND($H$6="CHIP",MID($A33,1,FIND(".",$A33,1)-1)="I")),TRUE,FALSE)</f>
        <v>0</v>
      </c>
      <c r="AP33" s="69" t="str">
        <f>IF(AO33=1,1,"")</f>
        <v/>
      </c>
      <c r="AX33" s="110">
        <v>1</v>
      </c>
    </row>
    <row r="34" spans="1:50" ht="69" customHeight="1" x14ac:dyDescent="0.25">
      <c r="A34" s="294" t="s">
        <v>1142</v>
      </c>
      <c r="B34" s="295" t="s">
        <v>1143</v>
      </c>
      <c r="C34" s="295" t="s">
        <v>1144</v>
      </c>
      <c r="D34" s="446"/>
      <c r="E34" s="297"/>
      <c r="F34" s="297"/>
      <c r="G34" s="297"/>
      <c r="H34" s="214"/>
      <c r="I34" s="92" t="s">
        <v>168</v>
      </c>
      <c r="J34" s="92" t="s">
        <v>178</v>
      </c>
      <c r="K34" s="92" t="s">
        <v>185</v>
      </c>
      <c r="L34" s="71" t="s">
        <v>190</v>
      </c>
      <c r="M34" s="71"/>
      <c r="N34" s="71"/>
      <c r="O34" s="71"/>
      <c r="P34" s="71" t="s">
        <v>380</v>
      </c>
      <c r="Q34" s="71" t="b">
        <f>IF(OR(AND($C$2="Base contract",$C$3="No, section requirements must be reviewed", $AF34=FALSE,$AG34=FALSE),AND($C$2="Contract amendment",$C$3="No, section requirements must be reviewed",$AF34=FALSE,$AG34=FALSE)),"MUNN")</f>
        <v>0</v>
      </c>
      <c r="R34" s="64"/>
      <c r="S34" s="64"/>
      <c r="T34" s="64"/>
      <c r="U34" s="97">
        <f>IF(OR($E$31="N/A",AND(AX34=0,'Cover Sheet'!$B$29="Streamlined Review"),AND(E34="Met",F34&lt;&gt;""),AND(E34="Not Met",G34&lt;&gt;""),AND(E34="Unsure",G34&lt;&gt;""),AND(E34="N/A",H34&lt;&gt;""),AND(Y34=TRUE)),1,0)</f>
        <v>0</v>
      </c>
      <c r="X34" s="126" t="b">
        <f t="shared" si="2"/>
        <v>0</v>
      </c>
      <c r="Y34" s="126" t="b">
        <f>IF(SUM(Z34:AE34)&lt;1,TRUE,FALSE)</f>
        <v>0</v>
      </c>
      <c r="Z34" s="126">
        <f>IF($Z$2=I34,1,0)</f>
        <v>1</v>
      </c>
      <c r="AA34" s="126">
        <f>IF($AA$2=J34,1,0)</f>
        <v>0</v>
      </c>
      <c r="AB34" s="126">
        <f>IF($AB$2=K34,1,0)</f>
        <v>0</v>
      </c>
      <c r="AC34" s="126">
        <f>IF($AC$2=L34,1,0)</f>
        <v>0</v>
      </c>
      <c r="AD34" s="126">
        <f>IF($AD$2=M34,1,0)</f>
        <v>0</v>
      </c>
      <c r="AE34" s="126">
        <f>IF($AE$2=O34,1,0)</f>
        <v>0</v>
      </c>
      <c r="AF34" s="53" t="b">
        <f>IF($H$1&lt;&gt;0,IF($H$1&lt;&gt;I34,IF($H$1&lt;&gt;J34,IF($H$1&lt;&gt;K34,IF($H$1&lt;&gt;L34,IF($H$1&lt;&gt;M34,IF($H$1&lt;&gt;N34,IF($H$1&lt;&gt;O34,TRUE,FALSE))))))))</f>
        <v>0</v>
      </c>
      <c r="AG34" s="54" t="b">
        <f>IF(AH34=TRUE,TRUE,FALSE)</f>
        <v>0</v>
      </c>
      <c r="AH34" s="56" t="b">
        <f>IF(OR(AND($H$6="Medicaid",MID($A34,1,FIND(".",$A34,1)-1)="II"),AND($H$6="CHIP",MID($A34,1,FIND(".",$A34,1)-1)="I")),TRUE,FALSE)</f>
        <v>0</v>
      </c>
      <c r="AP34" s="69" t="str">
        <f>IF(AO34=1,1,"")</f>
        <v/>
      </c>
      <c r="AX34" s="110">
        <v>0</v>
      </c>
    </row>
    <row r="35" spans="1:50" ht="32.25" customHeight="1" thickBot="1" x14ac:dyDescent="0.3">
      <c r="A35" s="294" t="s">
        <v>1145</v>
      </c>
      <c r="B35" s="295" t="s">
        <v>1146</v>
      </c>
      <c r="C35" s="295" t="s">
        <v>1147</v>
      </c>
      <c r="D35" s="446"/>
      <c r="E35" s="297"/>
      <c r="F35" s="297"/>
      <c r="G35" s="297"/>
      <c r="H35" s="214"/>
      <c r="I35" s="92" t="s">
        <v>168</v>
      </c>
      <c r="J35" s="92" t="s">
        <v>178</v>
      </c>
      <c r="K35" s="92" t="s">
        <v>185</v>
      </c>
      <c r="L35" s="166" t="s">
        <v>190</v>
      </c>
      <c r="M35" s="71"/>
      <c r="N35" s="71"/>
      <c r="O35" s="71"/>
      <c r="P35" s="71" t="s">
        <v>380</v>
      </c>
      <c r="Q35" s="71" t="b">
        <f>IF(OR(AND($C$2="Base contract",$C$3="No, section requirements must be reviewed", $AF35=FALSE,$AG35=FALSE),AND($C$2="Contract amendment",$C$3="No, section requirements must be reviewed",$AF35=FALSE,$AG35=FALSE)),"MUNN")</f>
        <v>0</v>
      </c>
      <c r="R35" s="64"/>
      <c r="S35" s="64"/>
      <c r="T35" s="64"/>
      <c r="U35" s="97">
        <f>IF(OR($E$31="N/A",AND(AX35=0,'Cover Sheet'!$B$29="Streamlined Review"),AND(E35="Met",F35&lt;&gt;""),AND(E35="Not Met",G35&lt;&gt;""),AND(E35="Unsure",G35&lt;&gt;""),AND(E35="N/A",H35&lt;&gt;""),AND(Y35=TRUE)),1,0)</f>
        <v>0</v>
      </c>
      <c r="X35" s="126" t="b">
        <f t="shared" si="2"/>
        <v>0</v>
      </c>
      <c r="Y35" s="126" t="b">
        <f>IF(SUM(Z35:AE35)&lt;1,TRUE,FALSE)</f>
        <v>0</v>
      </c>
      <c r="Z35" s="126">
        <f>IF($Z$2=I35,1,0)</f>
        <v>1</v>
      </c>
      <c r="AA35" s="126">
        <f>IF($AA$2=J35,1,0)</f>
        <v>0</v>
      </c>
      <c r="AB35" s="126">
        <f>IF($AB$2=K35,1,0)</f>
        <v>0</v>
      </c>
      <c r="AC35" s="126">
        <f>IF($AC$2=L35,1,0)</f>
        <v>0</v>
      </c>
      <c r="AD35" s="126">
        <f>IF($AD$2=M35,1,0)</f>
        <v>0</v>
      </c>
      <c r="AE35" s="126">
        <f>IF($AE$2=O35,1,0)</f>
        <v>0</v>
      </c>
      <c r="AF35" s="53" t="b">
        <f>IF($H$1&lt;&gt;0,IF($H$1&lt;&gt;I35,IF($H$1&lt;&gt;J35,IF($H$1&lt;&gt;K35,IF($H$1&lt;&gt;L35,IF($H$1&lt;&gt;M35,IF($H$1&lt;&gt;N35,IF($H$1&lt;&gt;O35,TRUE,FALSE))))))))</f>
        <v>0</v>
      </c>
      <c r="AG35" s="54" t="b">
        <f>IF(AH35=TRUE,TRUE,FALSE)</f>
        <v>0</v>
      </c>
      <c r="AH35" s="56" t="b">
        <f>IF(OR(AND($H$6="Medicaid",MID($A35,1,FIND(".",$A35,1)-1)="II"),AND($H$6="CHIP",MID($A35,1,FIND(".",$A35,1)-1)="I")),TRUE,FALSE)</f>
        <v>0</v>
      </c>
      <c r="AP35" s="69" t="str">
        <f>IF(AO35=1,1,"")</f>
        <v/>
      </c>
      <c r="AX35" s="110">
        <v>0</v>
      </c>
    </row>
    <row r="36" spans="1:50" ht="15.75" thickBot="1" x14ac:dyDescent="0.3">
      <c r="A36" s="450"/>
      <c r="B36" s="451"/>
      <c r="C36" s="452" t="s">
        <v>36</v>
      </c>
      <c r="D36" s="486"/>
      <c r="E36" s="443"/>
      <c r="F36" s="444"/>
      <c r="G36" s="444"/>
      <c r="H36" s="445"/>
      <c r="I36" s="74"/>
      <c r="J36" s="74"/>
      <c r="K36" s="74"/>
      <c r="L36" s="87"/>
      <c r="M36" s="87"/>
      <c r="R36" s="116"/>
      <c r="S36" s="116"/>
      <c r="T36" s="116"/>
      <c r="U36" s="126"/>
      <c r="Z36" s="126"/>
      <c r="AA36" s="126"/>
      <c r="AB36" s="126"/>
      <c r="AC36" s="126"/>
      <c r="AD36" s="126"/>
      <c r="AE36" s="126"/>
      <c r="AH36" s="68"/>
      <c r="AX36" s="110"/>
    </row>
    <row r="37" spans="1:50" ht="38.25" x14ac:dyDescent="0.25">
      <c r="A37" s="294" t="s">
        <v>1148</v>
      </c>
      <c r="B37" s="295" t="s">
        <v>1149</v>
      </c>
      <c r="C37" s="295" t="s">
        <v>1150</v>
      </c>
      <c r="D37" s="446"/>
      <c r="E37" s="297"/>
      <c r="F37" s="297"/>
      <c r="G37" s="297"/>
      <c r="H37" s="214"/>
      <c r="I37" s="92" t="s">
        <v>168</v>
      </c>
      <c r="J37" s="92" t="s">
        <v>178</v>
      </c>
      <c r="K37" s="92" t="s">
        <v>185</v>
      </c>
      <c r="L37" s="71" t="s">
        <v>190</v>
      </c>
      <c r="M37" s="71"/>
      <c r="N37" s="71"/>
      <c r="O37" s="71"/>
      <c r="P37" s="71" t="s">
        <v>380</v>
      </c>
      <c r="Q37" s="71" t="b">
        <f t="shared" ref="Q37:Q45" si="25">IF(OR(AND($C$2="Base contract",$C$3="No, section requirements must be reviewed", $AF37=FALSE,$AG37=FALSE),AND($C$2="Contract amendment",$C$3="No, section requirements must be reviewed",$AF37=FALSE,$AG37=FALSE)),"MUNN")</f>
        <v>0</v>
      </c>
      <c r="R37" s="64"/>
      <c r="S37" s="64"/>
      <c r="T37" s="64"/>
      <c r="U37" s="97">
        <f>IF(OR($E$36="N/A",AND(AX37=0,'Cover Sheet'!$B$29="Streamlined Review"),AND(E37="Met",F37&lt;&gt;""),AND(E37="Not Met",G37&lt;&gt;""),AND(E37="Unsure",G37&lt;&gt;""),AND(E37="N/A",H37&lt;&gt;""),AND(Y37=TRUE)),1,0)</f>
        <v>0</v>
      </c>
      <c r="X37" s="126" t="b">
        <f t="shared" si="2"/>
        <v>0</v>
      </c>
      <c r="Y37" s="126" t="b">
        <f>IF(SUM(Z37:AE37)&lt;1,TRUE,FALSE)</f>
        <v>0</v>
      </c>
      <c r="Z37" s="126">
        <f>IF($Z$2=I37,1,0)</f>
        <v>1</v>
      </c>
      <c r="AA37" s="126">
        <f>IF($AA$2=J37,1,0)</f>
        <v>0</v>
      </c>
      <c r="AB37" s="126">
        <f>IF($AB$2=K37,1,0)</f>
        <v>0</v>
      </c>
      <c r="AC37" s="126">
        <f>IF($AC$2=L37,1,0)</f>
        <v>0</v>
      </c>
      <c r="AD37" s="126">
        <f>IF($AD$2=M37,1,0)</f>
        <v>0</v>
      </c>
      <c r="AE37" s="126">
        <f>IF($AE$2=O37,1,0)</f>
        <v>0</v>
      </c>
      <c r="AF37" s="53" t="b">
        <f t="shared" ref="AF37:AF45" si="26">IF($H$1&lt;&gt;0,IF($H$1&lt;&gt;I37,IF($H$1&lt;&gt;J37,IF($H$1&lt;&gt;K37,IF($H$1&lt;&gt;L37,IF($H$1&lt;&gt;M37,IF($H$1&lt;&gt;N37,IF($H$1&lt;&gt;O37,TRUE,FALSE))))))))</f>
        <v>0</v>
      </c>
      <c r="AG37" s="54" t="b">
        <f t="shared" ref="AG37:AG45" si="27">IF(AH37=TRUE,TRUE,FALSE)</f>
        <v>0</v>
      </c>
      <c r="AH37" s="56" t="b">
        <f t="shared" ref="AH37:AH45" si="28">IF(OR(AND($H$6="Medicaid",MID($A37,1,FIND(".",$A37,1)-1)="II"),AND($H$6="CHIP",MID($A37,1,FIND(".",$A37,1)-1)="I")),TRUE,FALSE)</f>
        <v>0</v>
      </c>
      <c r="AP37" s="69" t="str">
        <f t="shared" ref="AP37:AP45" si="29">IF(AO37=1,1,"")</f>
        <v/>
      </c>
      <c r="AX37" s="110">
        <v>1</v>
      </c>
    </row>
    <row r="38" spans="1:50" ht="43.5" customHeight="1" x14ac:dyDescent="0.25">
      <c r="A38" s="294" t="s">
        <v>1151</v>
      </c>
      <c r="B38" s="295" t="s">
        <v>1152</v>
      </c>
      <c r="C38" s="295" t="s">
        <v>1153</v>
      </c>
      <c r="D38" s="446"/>
      <c r="E38" s="297"/>
      <c r="F38" s="297"/>
      <c r="G38" s="297"/>
      <c r="H38" s="214"/>
      <c r="I38" s="92" t="s">
        <v>168</v>
      </c>
      <c r="J38" s="92" t="s">
        <v>178</v>
      </c>
      <c r="K38" s="92" t="s">
        <v>185</v>
      </c>
      <c r="L38" s="71" t="s">
        <v>190</v>
      </c>
      <c r="M38" s="71"/>
      <c r="N38" s="71"/>
      <c r="O38" s="71"/>
      <c r="P38" s="71" t="s">
        <v>380</v>
      </c>
      <c r="Q38" s="71" t="b">
        <f t="shared" si="25"/>
        <v>0</v>
      </c>
      <c r="R38" s="64"/>
      <c r="S38" s="64"/>
      <c r="T38" s="64"/>
      <c r="U38" s="97">
        <f>IF(OR($E$36="N/A",AND(AX38=0,'Cover Sheet'!$B$29="Streamlined Review"),AND(E38="Met",F38&lt;&gt;""),AND(E38="Not Met",G38&lt;&gt;""),AND(E38="Unsure",G38&lt;&gt;""),AND(E38="N/A",H38&lt;&gt;""),AND(Y38=TRUE)),1,0)</f>
        <v>0</v>
      </c>
      <c r="X38" s="126" t="b">
        <f t="shared" si="2"/>
        <v>0</v>
      </c>
      <c r="Y38" s="126" t="b">
        <f t="shared" ref="Y38:Y45" si="30">IF(SUM(Z38:AE38)&lt;1,TRUE,FALSE)</f>
        <v>0</v>
      </c>
      <c r="Z38" s="126">
        <f t="shared" ref="Z38:Z45" si="31">IF($Z$2=I38,1,0)</f>
        <v>1</v>
      </c>
      <c r="AA38" s="126">
        <f t="shared" ref="AA38:AA45" si="32">IF($AA$2=J38,1,0)</f>
        <v>0</v>
      </c>
      <c r="AB38" s="126">
        <f t="shared" ref="AB38:AB45" si="33">IF($AB$2=K38,1,0)</f>
        <v>0</v>
      </c>
      <c r="AC38" s="126">
        <f t="shared" ref="AC38:AC45" si="34">IF($AC$2=L38,1,0)</f>
        <v>0</v>
      </c>
      <c r="AD38" s="126">
        <f t="shared" ref="AD38:AD45" si="35">IF($AD$2=M38,1,0)</f>
        <v>0</v>
      </c>
      <c r="AE38" s="126">
        <f t="shared" ref="AE38:AE45" si="36">IF($AE$2=O38,1,0)</f>
        <v>0</v>
      </c>
      <c r="AF38" s="53" t="b">
        <f t="shared" si="26"/>
        <v>0</v>
      </c>
      <c r="AG38" s="54" t="b">
        <f t="shared" si="27"/>
        <v>0</v>
      </c>
      <c r="AH38" s="56" t="b">
        <f t="shared" si="28"/>
        <v>0</v>
      </c>
      <c r="AP38" s="69" t="str">
        <f t="shared" si="29"/>
        <v/>
      </c>
      <c r="AX38" s="110">
        <v>0</v>
      </c>
    </row>
    <row r="39" spans="1:50" ht="31.5" customHeight="1" x14ac:dyDescent="0.25">
      <c r="A39" s="294" t="s">
        <v>1154</v>
      </c>
      <c r="B39" s="295" t="s">
        <v>1155</v>
      </c>
      <c r="C39" s="295" t="s">
        <v>1156</v>
      </c>
      <c r="D39" s="446"/>
      <c r="E39" s="297"/>
      <c r="F39" s="297"/>
      <c r="G39" s="297"/>
      <c r="H39" s="214"/>
      <c r="I39" s="92" t="s">
        <v>168</v>
      </c>
      <c r="J39" s="92" t="s">
        <v>178</v>
      </c>
      <c r="K39" s="92" t="s">
        <v>185</v>
      </c>
      <c r="L39" s="71" t="s">
        <v>190</v>
      </c>
      <c r="M39" s="71"/>
      <c r="N39" s="71"/>
      <c r="O39" s="71"/>
      <c r="P39" s="71" t="s">
        <v>380</v>
      </c>
      <c r="Q39" s="71" t="b">
        <f t="shared" si="25"/>
        <v>0</v>
      </c>
      <c r="R39" s="64"/>
      <c r="S39" s="64"/>
      <c r="T39" s="64"/>
      <c r="U39" s="97">
        <f>IF(OR($E$36="N/A",AND(AX39=0,'Cover Sheet'!$B$29="Streamlined Review"),AND(E39="Met",F39&lt;&gt;""),AND(E39="Not Met",G39&lt;&gt;""),AND(E39="Unsure",G39&lt;&gt;""),AND(E39="N/A",H39&lt;&gt;""),AND(Y39=TRUE)),1,0)</f>
        <v>0</v>
      </c>
      <c r="X39" s="126" t="b">
        <f t="shared" si="2"/>
        <v>0</v>
      </c>
      <c r="Y39" s="126" t="b">
        <f t="shared" si="30"/>
        <v>0</v>
      </c>
      <c r="Z39" s="126">
        <f t="shared" si="31"/>
        <v>1</v>
      </c>
      <c r="AA39" s="126">
        <f t="shared" si="32"/>
        <v>0</v>
      </c>
      <c r="AB39" s="126">
        <f t="shared" si="33"/>
        <v>0</v>
      </c>
      <c r="AC39" s="126">
        <f t="shared" si="34"/>
        <v>0</v>
      </c>
      <c r="AD39" s="126">
        <f t="shared" si="35"/>
        <v>0</v>
      </c>
      <c r="AE39" s="126">
        <f t="shared" si="36"/>
        <v>0</v>
      </c>
      <c r="AF39" s="53" t="b">
        <f t="shared" si="26"/>
        <v>0</v>
      </c>
      <c r="AG39" s="54" t="b">
        <f t="shared" si="27"/>
        <v>0</v>
      </c>
      <c r="AH39" s="56" t="b">
        <f t="shared" si="28"/>
        <v>0</v>
      </c>
      <c r="AP39" s="69" t="str">
        <f t="shared" si="29"/>
        <v/>
      </c>
      <c r="AX39" s="110">
        <v>0</v>
      </c>
    </row>
    <row r="40" spans="1:50" ht="54" customHeight="1" x14ac:dyDescent="0.25">
      <c r="A40" s="294" t="s">
        <v>1157</v>
      </c>
      <c r="B40" s="295" t="s">
        <v>1158</v>
      </c>
      <c r="C40" s="295" t="s">
        <v>1159</v>
      </c>
      <c r="D40" s="446"/>
      <c r="E40" s="297"/>
      <c r="F40" s="297"/>
      <c r="G40" s="297"/>
      <c r="H40" s="214"/>
      <c r="I40" s="92" t="s">
        <v>168</v>
      </c>
      <c r="J40" s="92" t="s">
        <v>178</v>
      </c>
      <c r="K40" s="92" t="s">
        <v>185</v>
      </c>
      <c r="L40" s="71" t="s">
        <v>190</v>
      </c>
      <c r="M40" s="71"/>
      <c r="N40" s="71"/>
      <c r="O40" s="71"/>
      <c r="P40" s="71" t="s">
        <v>380</v>
      </c>
      <c r="Q40" s="71" t="b">
        <f t="shared" si="25"/>
        <v>0</v>
      </c>
      <c r="R40" s="64"/>
      <c r="S40" s="64"/>
      <c r="T40" s="64"/>
      <c r="U40" s="97">
        <f>IF(OR($E$36="N/A",AND(AX40=0,'Cover Sheet'!$B$29="Streamlined Review"),AND(E40="Met",F40&lt;&gt;""),AND(E40="Not Met",G40&lt;&gt;""),AND(E40="Unsure",G40&lt;&gt;""),AND(E40="N/A",H40&lt;&gt;""),AND(Y40=TRUE)),1,0)</f>
        <v>0</v>
      </c>
      <c r="X40" s="126" t="b">
        <f t="shared" si="2"/>
        <v>0</v>
      </c>
      <c r="Y40" s="126" t="b">
        <f t="shared" si="30"/>
        <v>0</v>
      </c>
      <c r="Z40" s="126">
        <f t="shared" si="31"/>
        <v>1</v>
      </c>
      <c r="AA40" s="126">
        <f t="shared" si="32"/>
        <v>0</v>
      </c>
      <c r="AB40" s="126">
        <f t="shared" si="33"/>
        <v>0</v>
      </c>
      <c r="AC40" s="126">
        <f t="shared" si="34"/>
        <v>0</v>
      </c>
      <c r="AD40" s="126">
        <f t="shared" si="35"/>
        <v>0</v>
      </c>
      <c r="AE40" s="126">
        <f t="shared" si="36"/>
        <v>0</v>
      </c>
      <c r="AF40" s="53" t="b">
        <f t="shared" si="26"/>
        <v>0</v>
      </c>
      <c r="AG40" s="54" t="b">
        <f t="shared" si="27"/>
        <v>0</v>
      </c>
      <c r="AH40" s="56" t="b">
        <f t="shared" si="28"/>
        <v>0</v>
      </c>
      <c r="AP40" s="69" t="str">
        <f t="shared" si="29"/>
        <v/>
      </c>
      <c r="AX40" s="110">
        <v>1</v>
      </c>
    </row>
    <row r="41" spans="1:50" ht="41.25" customHeight="1" x14ac:dyDescent="0.25">
      <c r="A41" s="294" t="s">
        <v>1160</v>
      </c>
      <c r="B41" s="295" t="s">
        <v>1161</v>
      </c>
      <c r="C41" s="295" t="s">
        <v>1162</v>
      </c>
      <c r="D41" s="446"/>
      <c r="E41" s="297"/>
      <c r="F41" s="297"/>
      <c r="G41" s="297"/>
      <c r="H41" s="214"/>
      <c r="I41" s="92" t="s">
        <v>168</v>
      </c>
      <c r="J41" s="92" t="s">
        <v>178</v>
      </c>
      <c r="K41" s="92" t="s">
        <v>185</v>
      </c>
      <c r="L41" s="71" t="s">
        <v>190</v>
      </c>
      <c r="M41" s="71"/>
      <c r="N41" s="71"/>
      <c r="O41" s="71"/>
      <c r="P41" s="71" t="s">
        <v>380</v>
      </c>
      <c r="Q41" s="71" t="b">
        <f t="shared" si="25"/>
        <v>0</v>
      </c>
      <c r="R41" s="64">
        <v>43282</v>
      </c>
      <c r="S41" s="64"/>
      <c r="T41" s="64"/>
      <c r="U41" s="97">
        <f>IF(OR($E$36="N/A",AND(AX41=0,'Cover Sheet'!$B$29="Streamlined Review"),AND(E41="Met",F41&lt;&gt;""),AND(E41="Not Met",G41&lt;&gt;""),AND(E41="Unsure",G41&lt;&gt;""),AND(E41="N/A",H41&lt;&gt;""),AND(Y41=TRUE)),1,0)</f>
        <v>0</v>
      </c>
      <c r="X41" s="126" t="b">
        <f t="shared" si="2"/>
        <v>0</v>
      </c>
      <c r="Y41" s="126" t="b">
        <f t="shared" si="30"/>
        <v>0</v>
      </c>
      <c r="Z41" s="126">
        <f t="shared" si="31"/>
        <v>1</v>
      </c>
      <c r="AA41" s="126">
        <f t="shared" si="32"/>
        <v>0</v>
      </c>
      <c r="AB41" s="126">
        <f t="shared" si="33"/>
        <v>0</v>
      </c>
      <c r="AC41" s="126">
        <f t="shared" si="34"/>
        <v>0</v>
      </c>
      <c r="AD41" s="126">
        <f t="shared" si="35"/>
        <v>0</v>
      </c>
      <c r="AE41" s="126">
        <f t="shared" si="36"/>
        <v>0</v>
      </c>
      <c r="AF41" s="53" t="b">
        <f t="shared" si="26"/>
        <v>0</v>
      </c>
      <c r="AG41" s="54" t="b">
        <f t="shared" si="27"/>
        <v>0</v>
      </c>
      <c r="AH41" s="56" t="b">
        <f t="shared" si="28"/>
        <v>0</v>
      </c>
      <c r="AP41" s="69" t="str">
        <f t="shared" si="29"/>
        <v/>
      </c>
      <c r="AX41" s="110">
        <v>1</v>
      </c>
    </row>
    <row r="42" spans="1:50" ht="42.75" customHeight="1" x14ac:dyDescent="0.25">
      <c r="A42" s="294" t="s">
        <v>1163</v>
      </c>
      <c r="B42" s="295" t="s">
        <v>1164</v>
      </c>
      <c r="C42" s="263" t="s">
        <v>1165</v>
      </c>
      <c r="D42" s="470">
        <v>3</v>
      </c>
      <c r="E42" s="297"/>
      <c r="F42" s="297"/>
      <c r="G42" s="297"/>
      <c r="H42" s="214"/>
      <c r="I42" s="92" t="s">
        <v>168</v>
      </c>
      <c r="J42" s="92" t="s">
        <v>178</v>
      </c>
      <c r="K42" s="92" t="s">
        <v>185</v>
      </c>
      <c r="L42" s="71" t="s">
        <v>190</v>
      </c>
      <c r="M42" s="71"/>
      <c r="N42" s="71"/>
      <c r="O42" s="71"/>
      <c r="P42" s="71" t="s">
        <v>380</v>
      </c>
      <c r="Q42" s="71" t="b">
        <f t="shared" si="25"/>
        <v>0</v>
      </c>
      <c r="R42" s="64">
        <v>44179</v>
      </c>
      <c r="S42" s="64"/>
      <c r="T42" s="64"/>
      <c r="U42" s="97">
        <f>IF(OR($E$36="N/A",AND(AX42=0,'Cover Sheet'!$B$29="Streamlined Review"),AND(E42="Met",F42&lt;&gt;""),AND(E42="Not Met",G42&lt;&gt;""),AND(E42="Unsure",G42&lt;&gt;""),AND(E42="N/A",H42&lt;&gt;""),AND(Y42=TRUE)),1,0)</f>
        <v>0</v>
      </c>
      <c r="X42" s="126" t="b">
        <f t="shared" si="2"/>
        <v>0</v>
      </c>
      <c r="Y42" s="126" t="b">
        <f t="shared" si="30"/>
        <v>0</v>
      </c>
      <c r="Z42" s="126">
        <f t="shared" si="31"/>
        <v>1</v>
      </c>
      <c r="AA42" s="126">
        <f t="shared" si="32"/>
        <v>0</v>
      </c>
      <c r="AB42" s="126">
        <f t="shared" si="33"/>
        <v>0</v>
      </c>
      <c r="AC42" s="126">
        <f t="shared" si="34"/>
        <v>0</v>
      </c>
      <c r="AD42" s="126">
        <f t="shared" si="35"/>
        <v>0</v>
      </c>
      <c r="AE42" s="126">
        <f t="shared" si="36"/>
        <v>0</v>
      </c>
      <c r="AF42" s="53" t="b">
        <f t="shared" si="26"/>
        <v>0</v>
      </c>
      <c r="AG42" s="54" t="b">
        <f t="shared" si="27"/>
        <v>0</v>
      </c>
      <c r="AH42" s="56" t="b">
        <f t="shared" si="28"/>
        <v>0</v>
      </c>
      <c r="AP42" s="69" t="str">
        <f t="shared" si="29"/>
        <v/>
      </c>
      <c r="AX42" s="110">
        <v>1</v>
      </c>
    </row>
    <row r="43" spans="1:50" ht="51.75" customHeight="1" x14ac:dyDescent="0.25">
      <c r="A43" s="294" t="s">
        <v>1166</v>
      </c>
      <c r="B43" s="295" t="s">
        <v>1167</v>
      </c>
      <c r="C43" s="263" t="s">
        <v>1168</v>
      </c>
      <c r="D43" s="470" t="s">
        <v>1169</v>
      </c>
      <c r="E43" s="297"/>
      <c r="F43" s="297"/>
      <c r="G43" s="297"/>
      <c r="H43" s="214"/>
      <c r="I43" s="92" t="s">
        <v>168</v>
      </c>
      <c r="J43" s="92" t="s">
        <v>178</v>
      </c>
      <c r="K43" s="92" t="s">
        <v>185</v>
      </c>
      <c r="L43" s="71" t="s">
        <v>190</v>
      </c>
      <c r="M43" s="71"/>
      <c r="N43" s="71"/>
      <c r="O43" s="71"/>
      <c r="P43" s="71" t="s">
        <v>380</v>
      </c>
      <c r="Q43" s="71" t="b">
        <f t="shared" si="25"/>
        <v>0</v>
      </c>
      <c r="R43" s="64">
        <v>44179</v>
      </c>
      <c r="S43" s="64"/>
      <c r="T43" s="64"/>
      <c r="U43" s="97">
        <f>IF(OR($E$36="N/A",AND(AX43=0,'Cover Sheet'!$B$29="Streamlined Review"),AND(E43="Met",F43&lt;&gt;""),AND(E43="Not Met",G43&lt;&gt;""),AND(E43="Unsure",G43&lt;&gt;""),AND(E43="N/A",H43&lt;&gt;""),AND(Y43=TRUE)),1,0)</f>
        <v>0</v>
      </c>
      <c r="X43" s="126" t="b">
        <f t="shared" si="2"/>
        <v>0</v>
      </c>
      <c r="Y43" s="126" t="b">
        <f t="shared" si="30"/>
        <v>0</v>
      </c>
      <c r="Z43" s="126">
        <f t="shared" si="31"/>
        <v>1</v>
      </c>
      <c r="AA43" s="126">
        <f t="shared" si="32"/>
        <v>0</v>
      </c>
      <c r="AB43" s="126">
        <f t="shared" si="33"/>
        <v>0</v>
      </c>
      <c r="AC43" s="126">
        <f t="shared" si="34"/>
        <v>0</v>
      </c>
      <c r="AD43" s="126">
        <f t="shared" si="35"/>
        <v>0</v>
      </c>
      <c r="AE43" s="126">
        <f t="shared" si="36"/>
        <v>0</v>
      </c>
      <c r="AF43" s="53" t="b">
        <f t="shared" si="26"/>
        <v>0</v>
      </c>
      <c r="AG43" s="54" t="b">
        <f t="shared" si="27"/>
        <v>0</v>
      </c>
      <c r="AH43" s="56" t="b">
        <f t="shared" si="28"/>
        <v>0</v>
      </c>
      <c r="AP43" s="69" t="str">
        <f t="shared" si="29"/>
        <v/>
      </c>
      <c r="AX43" s="110">
        <v>1</v>
      </c>
    </row>
    <row r="44" spans="1:50" ht="56.25" customHeight="1" x14ac:dyDescent="0.25">
      <c r="A44" s="294" t="s">
        <v>1170</v>
      </c>
      <c r="B44" s="295" t="s">
        <v>1171</v>
      </c>
      <c r="C44" s="295" t="s">
        <v>1172</v>
      </c>
      <c r="D44" s="447">
        <v>3</v>
      </c>
      <c r="E44" s="297"/>
      <c r="F44" s="297"/>
      <c r="G44" s="297"/>
      <c r="H44" s="214"/>
      <c r="I44" s="92" t="s">
        <v>168</v>
      </c>
      <c r="J44" s="92" t="s">
        <v>178</v>
      </c>
      <c r="K44" s="92" t="s">
        <v>185</v>
      </c>
      <c r="L44" s="71" t="s">
        <v>190</v>
      </c>
      <c r="M44" s="71"/>
      <c r="N44" s="71"/>
      <c r="O44" s="71"/>
      <c r="P44" s="71" t="s">
        <v>380</v>
      </c>
      <c r="Q44" s="71" t="b">
        <f t="shared" si="25"/>
        <v>0</v>
      </c>
      <c r="R44" s="64">
        <v>43282</v>
      </c>
      <c r="S44" s="64"/>
      <c r="T44" s="64"/>
      <c r="U44" s="97">
        <f>IF(OR($E$36="N/A",AND(AX44=0,'Cover Sheet'!$B$29="Streamlined Review"),AND(E44="Met",F44&lt;&gt;""),AND(E44="Not Met",G44&lt;&gt;""),AND(E44="Unsure",G44&lt;&gt;""),AND(E44="N/A",H44&lt;&gt;""),AND(Y44=TRUE)),1,0)</f>
        <v>0</v>
      </c>
      <c r="X44" s="126" t="b">
        <f t="shared" si="2"/>
        <v>0</v>
      </c>
      <c r="Y44" s="126" t="b">
        <f t="shared" si="30"/>
        <v>0</v>
      </c>
      <c r="Z44" s="126">
        <f t="shared" si="31"/>
        <v>1</v>
      </c>
      <c r="AA44" s="126">
        <f t="shared" si="32"/>
        <v>0</v>
      </c>
      <c r="AB44" s="126">
        <f t="shared" si="33"/>
        <v>0</v>
      </c>
      <c r="AC44" s="126">
        <f t="shared" si="34"/>
        <v>0</v>
      </c>
      <c r="AD44" s="126">
        <f t="shared" si="35"/>
        <v>0</v>
      </c>
      <c r="AE44" s="126">
        <f t="shared" si="36"/>
        <v>0</v>
      </c>
      <c r="AF44" s="53" t="b">
        <f t="shared" si="26"/>
        <v>0</v>
      </c>
      <c r="AG44" s="54" t="b">
        <f t="shared" si="27"/>
        <v>0</v>
      </c>
      <c r="AH44" s="56" t="b">
        <f t="shared" si="28"/>
        <v>0</v>
      </c>
      <c r="AP44" s="69" t="str">
        <f t="shared" si="29"/>
        <v/>
      </c>
      <c r="AX44" s="110">
        <v>0</v>
      </c>
    </row>
    <row r="45" spans="1:50" ht="39" thickBot="1" x14ac:dyDescent="0.3">
      <c r="A45" s="294" t="s">
        <v>1173</v>
      </c>
      <c r="B45" s="295" t="s">
        <v>1174</v>
      </c>
      <c r="C45" s="263" t="s">
        <v>1175</v>
      </c>
      <c r="D45" s="447">
        <v>3</v>
      </c>
      <c r="E45" s="297"/>
      <c r="F45" s="297"/>
      <c r="G45" s="297"/>
      <c r="H45" s="214"/>
      <c r="I45" s="92" t="s">
        <v>168</v>
      </c>
      <c r="J45" s="92" t="s">
        <v>178</v>
      </c>
      <c r="K45" s="92" t="s">
        <v>185</v>
      </c>
      <c r="L45" s="71" t="s">
        <v>190</v>
      </c>
      <c r="M45" s="71"/>
      <c r="N45" s="71"/>
      <c r="O45" s="71"/>
      <c r="P45" s="71" t="s">
        <v>380</v>
      </c>
      <c r="Q45" s="71" t="b">
        <f t="shared" si="25"/>
        <v>0</v>
      </c>
      <c r="R45" s="64">
        <v>43282</v>
      </c>
      <c r="S45" s="64"/>
      <c r="T45" s="64"/>
      <c r="U45" s="97">
        <f>IF(OR($E$36="N/A",AND(AX45=0,'Cover Sheet'!$B$29="Streamlined Review"),AND(E45="Met",F45&lt;&gt;""),AND(E45="Not Met",G45&lt;&gt;""),AND(E45="Unsure",G45&lt;&gt;""),AND(E45="N/A",H45&lt;&gt;""),AND(Y45=TRUE)),1,0)</f>
        <v>0</v>
      </c>
      <c r="X45" s="126" t="b">
        <f t="shared" si="2"/>
        <v>0</v>
      </c>
      <c r="Y45" s="126" t="b">
        <f t="shared" si="30"/>
        <v>0</v>
      </c>
      <c r="Z45" s="126">
        <f t="shared" si="31"/>
        <v>1</v>
      </c>
      <c r="AA45" s="126">
        <f t="shared" si="32"/>
        <v>0</v>
      </c>
      <c r="AB45" s="126">
        <f t="shared" si="33"/>
        <v>0</v>
      </c>
      <c r="AC45" s="126">
        <f t="shared" si="34"/>
        <v>0</v>
      </c>
      <c r="AD45" s="126">
        <f t="shared" si="35"/>
        <v>0</v>
      </c>
      <c r="AE45" s="126">
        <f t="shared" si="36"/>
        <v>0</v>
      </c>
      <c r="AF45" s="53" t="b">
        <f t="shared" si="26"/>
        <v>0</v>
      </c>
      <c r="AG45" s="54" t="b">
        <f t="shared" si="27"/>
        <v>0</v>
      </c>
      <c r="AH45" s="56" t="b">
        <f t="shared" si="28"/>
        <v>0</v>
      </c>
      <c r="AP45" s="69" t="str">
        <f t="shared" si="29"/>
        <v/>
      </c>
      <c r="AX45" s="110">
        <v>0</v>
      </c>
    </row>
    <row r="46" spans="1:50" ht="15.75" thickBot="1" x14ac:dyDescent="0.3">
      <c r="A46" s="450"/>
      <c r="B46" s="451"/>
      <c r="C46" s="452" t="s">
        <v>1176</v>
      </c>
      <c r="D46" s="486"/>
      <c r="E46" s="443"/>
      <c r="F46" s="444"/>
      <c r="G46" s="444"/>
      <c r="H46" s="445"/>
      <c r="I46" s="74"/>
      <c r="J46" s="74"/>
      <c r="K46" s="74"/>
      <c r="L46" s="87"/>
      <c r="M46" s="87"/>
      <c r="R46" s="116"/>
      <c r="S46" s="116"/>
      <c r="T46" s="116"/>
      <c r="U46" s="126"/>
      <c r="Z46" s="126"/>
      <c r="AA46" s="126"/>
      <c r="AB46" s="126"/>
      <c r="AC46" s="126"/>
      <c r="AD46" s="126"/>
      <c r="AE46" s="126"/>
      <c r="AH46" s="68"/>
      <c r="AX46" s="110"/>
    </row>
    <row r="47" spans="1:50" ht="57.75" customHeight="1" x14ac:dyDescent="0.25">
      <c r="A47" s="294" t="s">
        <v>1177</v>
      </c>
      <c r="B47" s="295" t="s">
        <v>1178</v>
      </c>
      <c r="C47" s="295" t="s">
        <v>1179</v>
      </c>
      <c r="D47" s="446"/>
      <c r="E47" s="297"/>
      <c r="F47" s="297"/>
      <c r="G47" s="297"/>
      <c r="H47" s="214"/>
      <c r="I47" s="92" t="s">
        <v>168</v>
      </c>
      <c r="J47" s="92" t="s">
        <v>178</v>
      </c>
      <c r="K47" s="92" t="s">
        <v>185</v>
      </c>
      <c r="L47" s="166" t="s">
        <v>190</v>
      </c>
      <c r="M47" s="71"/>
      <c r="N47" s="71"/>
      <c r="O47" s="71"/>
      <c r="P47" s="71" t="s">
        <v>380</v>
      </c>
      <c r="Q47" s="71" t="b">
        <f>IF(OR(AND($C$2="Base contract",$C$3="No, section requirements must be reviewed", $AF47=FALSE,$AG47=FALSE),AND($C$2="Contract amendment",$C$3="No, section requirements must be reviewed",$AF47=FALSE,$AG47=FALSE)),"MUNN")</f>
        <v>0</v>
      </c>
      <c r="R47" s="64"/>
      <c r="S47" s="64"/>
      <c r="T47" s="64"/>
      <c r="U47" s="97">
        <f>IF(OR($E$46="N/A",AND(AX47=0,'Cover Sheet'!$B$29="Streamlined Review"),AND(E47="Met",F47&lt;&gt;""),AND(E47="Not Met",G47&lt;&gt;""),AND(E47="Unsure",G47&lt;&gt;""),AND(E47="N/A",H47&lt;&gt;""),AND(Y47=TRUE)),1,0)</f>
        <v>0</v>
      </c>
      <c r="X47" s="126" t="b">
        <f t="shared" si="2"/>
        <v>0</v>
      </c>
      <c r="Y47" s="126" t="b">
        <f>IF(SUM(Z47:AE47)&lt;1,TRUE,FALSE)</f>
        <v>0</v>
      </c>
      <c r="Z47" s="126">
        <f>IF($Z$2=I47,1,0)</f>
        <v>1</v>
      </c>
      <c r="AA47" s="126">
        <f>IF($AA$2=J47,1,0)</f>
        <v>0</v>
      </c>
      <c r="AB47" s="126">
        <f>IF($AB$2=K47,1,0)</f>
        <v>0</v>
      </c>
      <c r="AC47" s="126">
        <f>IF($AC$2=L47,1,0)</f>
        <v>0</v>
      </c>
      <c r="AD47" s="126">
        <f>IF($AD$2=M47,1,0)</f>
        <v>0</v>
      </c>
      <c r="AE47" s="126">
        <f>IF($AE$2=O47,1,0)</f>
        <v>0</v>
      </c>
      <c r="AF47" s="53" t="b">
        <f>IF($H$1&lt;&gt;0,IF($H$1&lt;&gt;I47,IF($H$1&lt;&gt;J47,IF($H$1&lt;&gt;K47,IF($H$1&lt;&gt;L47,IF($H$1&lt;&gt;M47,IF($H$1&lt;&gt;N47,IF($H$1&lt;&gt;O47,TRUE,FALSE))))))))</f>
        <v>0</v>
      </c>
      <c r="AG47" s="54" t="b">
        <f>IF(AH47=TRUE,TRUE,FALSE)</f>
        <v>0</v>
      </c>
      <c r="AH47" s="56" t="b">
        <f>IF(OR(AND($H$6="Medicaid",MID($A47,1,FIND(".",$A47,1)-1)="II"),AND($H$6="CHIP",MID($A47,1,FIND(".",$A47,1)-1)="I")),TRUE,FALSE)</f>
        <v>0</v>
      </c>
      <c r="AP47" s="69" t="str">
        <f>IF(AO47=1,1,"")</f>
        <v/>
      </c>
      <c r="AX47" s="110">
        <v>1</v>
      </c>
    </row>
    <row r="48" spans="1:50" ht="39" x14ac:dyDescent="0.25">
      <c r="A48" s="294" t="s">
        <v>1180</v>
      </c>
      <c r="B48" s="295" t="s">
        <v>1181</v>
      </c>
      <c r="C48" s="295" t="s">
        <v>1182</v>
      </c>
      <c r="D48" s="446"/>
      <c r="E48" s="297"/>
      <c r="F48" s="297"/>
      <c r="G48" s="297"/>
      <c r="H48" s="214"/>
      <c r="I48" s="167" t="s">
        <v>168</v>
      </c>
      <c r="J48" s="167" t="s">
        <v>178</v>
      </c>
      <c r="K48" s="167" t="s">
        <v>185</v>
      </c>
      <c r="L48" s="71" t="s">
        <v>190</v>
      </c>
      <c r="M48" s="71"/>
      <c r="N48" s="71"/>
      <c r="O48" s="71"/>
      <c r="P48" s="71" t="s">
        <v>380</v>
      </c>
      <c r="Q48" s="71" t="b">
        <f>IF(OR(AND($C$2="Base contract",$C$3="No, section requirements must be reviewed", $AF48=FALSE,$AG48=FALSE),AND($C$2="Contract amendment",$C$3="No, section requirements must be reviewed",$AF48=FALSE,$AG48=FALSE)),"MUNN")</f>
        <v>0</v>
      </c>
      <c r="R48" s="64">
        <v>42917</v>
      </c>
      <c r="S48" s="64"/>
      <c r="T48" s="64"/>
      <c r="U48" s="97">
        <f>IF(OR($E$46="N/A",AND(AX48=0,'Cover Sheet'!$B$29="Streamlined Review"),AND(E48="Met",F48&lt;&gt;""),AND(E48="Not Met",G48&lt;&gt;""),AND(E48="Unsure",G48&lt;&gt;""),AND(E48="N/A",H48&lt;&gt;""),AND(Y48=TRUE)),1,0)</f>
        <v>0</v>
      </c>
      <c r="X48" s="126" t="b">
        <f t="shared" si="2"/>
        <v>0</v>
      </c>
      <c r="Y48" s="126" t="b">
        <f>IF(SUM(Z48:AE48)&lt;1,TRUE,FALSE)</f>
        <v>0</v>
      </c>
      <c r="Z48" s="126">
        <f>IF($Z$2=I48,1,0)</f>
        <v>1</v>
      </c>
      <c r="AA48" s="126">
        <f>IF($AA$2=J48,1,0)</f>
        <v>0</v>
      </c>
      <c r="AB48" s="126">
        <f>IF($AB$2=K48,1,0)</f>
        <v>0</v>
      </c>
      <c r="AC48" s="126">
        <f>IF($AC$2=L48,1,0)</f>
        <v>0</v>
      </c>
      <c r="AD48" s="126">
        <f>IF($AD$2=M48,1,0)</f>
        <v>0</v>
      </c>
      <c r="AE48" s="126">
        <f>IF($AE$2=O48,1,0)</f>
        <v>0</v>
      </c>
      <c r="AF48" s="53" t="b">
        <f>IF($H$1&lt;&gt;0,IF($H$1&lt;&gt;I48,IF($H$1&lt;&gt;J48,IF($H$1&lt;&gt;K48,IF($H$1&lt;&gt;L48,IF($H$1&lt;&gt;M48,IF($H$1&lt;&gt;N48,IF($H$1&lt;&gt;O48,TRUE,FALSE))))))))</f>
        <v>0</v>
      </c>
      <c r="AG48" s="54" t="b">
        <f>IF(AH48=TRUE,TRUE,FALSE)</f>
        <v>0</v>
      </c>
      <c r="AH48" s="56" t="b">
        <f>IF(OR(AND($H$6="Medicaid",MID($A48,1,FIND(".",$A48,1)-1)="II"),AND($H$6="CHIP",MID($A48,1,FIND(".",$A48,1)-1)="I")),TRUE,FALSE)</f>
        <v>0</v>
      </c>
      <c r="AP48" s="69" t="str">
        <f>IF(AO48=1,1,"")</f>
        <v/>
      </c>
      <c r="AX48" s="110">
        <v>0</v>
      </c>
    </row>
    <row r="49" spans="1:51" ht="45" customHeight="1" x14ac:dyDescent="0.25">
      <c r="A49" s="294" t="s">
        <v>1183</v>
      </c>
      <c r="B49" s="295" t="s">
        <v>1184</v>
      </c>
      <c r="C49" s="295" t="s">
        <v>1185</v>
      </c>
      <c r="D49" s="446"/>
      <c r="E49" s="297"/>
      <c r="F49" s="297"/>
      <c r="G49" s="297"/>
      <c r="H49" s="214"/>
      <c r="I49" s="92" t="s">
        <v>168</v>
      </c>
      <c r="J49" s="92" t="s">
        <v>178</v>
      </c>
      <c r="K49" s="92" t="s">
        <v>185</v>
      </c>
      <c r="L49" s="166" t="s">
        <v>190</v>
      </c>
      <c r="M49" s="71"/>
      <c r="N49" s="71"/>
      <c r="O49" s="71"/>
      <c r="P49" s="71" t="s">
        <v>380</v>
      </c>
      <c r="Q49" s="71" t="b">
        <f>IF(OR(AND($C$2="Base contract",$C$3="No, section requirements must be reviewed", $AF49=FALSE,$AG49=FALSE),AND($C$2="Contract amendment",$C$3="No, section requirements must be reviewed",$AF49=FALSE,$AG49=FALSE)),"MUNN")</f>
        <v>0</v>
      </c>
      <c r="R49" s="64"/>
      <c r="S49" s="64"/>
      <c r="T49" s="64"/>
      <c r="U49" s="97">
        <f>IF(OR($E$46="N/A",AND(AX49=0,'Cover Sheet'!$B$29="Streamlined Review"),AND(E49="Met",F49&lt;&gt;""),AND(E49="Not Met",G49&lt;&gt;""),AND(E49="Unsure",G49&lt;&gt;""),AND(E49="N/A",H49&lt;&gt;""),AND(Y49=TRUE)),1,0)</f>
        <v>0</v>
      </c>
      <c r="X49" s="126" t="b">
        <f t="shared" si="2"/>
        <v>0</v>
      </c>
      <c r="Y49" s="126" t="b">
        <f>IF(SUM(Z49:AE49)&lt;1,TRUE,FALSE)</f>
        <v>0</v>
      </c>
      <c r="Z49" s="126">
        <f>IF($Z$2=I49,1,0)</f>
        <v>1</v>
      </c>
      <c r="AA49" s="126">
        <f>IF($AA$2=J49,1,0)</f>
        <v>0</v>
      </c>
      <c r="AB49" s="126">
        <f>IF($AB$2=K49,1,0)</f>
        <v>0</v>
      </c>
      <c r="AC49" s="126">
        <f>IF($AC$2=L49,1,0)</f>
        <v>0</v>
      </c>
      <c r="AD49" s="126">
        <f>IF($AD$2=M49,1,0)</f>
        <v>0</v>
      </c>
      <c r="AE49" s="126">
        <f>IF($AE$2=O49,1,0)</f>
        <v>0</v>
      </c>
      <c r="AF49" s="53" t="b">
        <f>IF($H$1&lt;&gt;0,IF($H$1&lt;&gt;I49,IF($H$1&lt;&gt;J49,IF($H$1&lt;&gt;K49,IF($H$1&lt;&gt;L49,IF($H$1&lt;&gt;M49,IF($H$1&lt;&gt;N49,IF($H$1&lt;&gt;O49,TRUE,FALSE))))))))</f>
        <v>0</v>
      </c>
      <c r="AG49" s="54" t="b">
        <f>IF(AH49=TRUE,TRUE,FALSE)</f>
        <v>0</v>
      </c>
      <c r="AH49" s="56" t="b">
        <f>IF(OR(AND($H$6="Medicaid",MID($A49,1,FIND(".",$A49,1)-1)="II"),AND($H$6="CHIP",MID($A49,1,FIND(".",$A49,1)-1)="I")),TRUE,FALSE)</f>
        <v>0</v>
      </c>
      <c r="AP49" s="69" t="str">
        <f>IF(AO49=1,1,"")</f>
        <v/>
      </c>
      <c r="AX49" s="110">
        <v>0</v>
      </c>
    </row>
    <row r="50" spans="1:51" ht="43.5" customHeight="1" x14ac:dyDescent="0.25">
      <c r="A50" s="294" t="s">
        <v>1186</v>
      </c>
      <c r="B50" s="295" t="s">
        <v>1187</v>
      </c>
      <c r="C50" s="295" t="s">
        <v>1188</v>
      </c>
      <c r="D50" s="446"/>
      <c r="E50" s="297"/>
      <c r="F50" s="297"/>
      <c r="G50" s="297"/>
      <c r="H50" s="214"/>
      <c r="I50" s="92" t="s">
        <v>168</v>
      </c>
      <c r="J50" s="92" t="s">
        <v>178</v>
      </c>
      <c r="K50" s="92" t="s">
        <v>185</v>
      </c>
      <c r="L50" s="71" t="s">
        <v>190</v>
      </c>
      <c r="M50" s="71"/>
      <c r="N50" s="71"/>
      <c r="O50" s="71"/>
      <c r="P50" s="71" t="s">
        <v>380</v>
      </c>
      <c r="Q50" s="71" t="b">
        <f>IF(OR(AND($C$2="Base contract",$C$3="No, section requirements must be reviewed", $AF50=FALSE,$AG50=FALSE),AND($C$2="Contract amendment",$C$3="No, section requirements must be reviewed",$AF50=FALSE,$AG50=FALSE)),"MUNN")</f>
        <v>0</v>
      </c>
      <c r="R50" s="64">
        <v>42917</v>
      </c>
      <c r="S50" s="64"/>
      <c r="T50" s="64"/>
      <c r="U50" s="97">
        <f>IF(OR($E$46="N/A",AND(AX50=0,'Cover Sheet'!$B$29="Streamlined Review"),AND(E50="Met",F50&lt;&gt;""),AND(E50="Not Met",G50&lt;&gt;""),AND(E50="Unsure",G50&lt;&gt;""),AND(E50="N/A",H50&lt;&gt;""),AND(Y50=TRUE)),1,0)</f>
        <v>0</v>
      </c>
      <c r="X50" s="126" t="b">
        <f t="shared" si="2"/>
        <v>0</v>
      </c>
      <c r="Y50" s="126" t="b">
        <f>IF(SUM(Z50:AE50)&lt;1,TRUE,FALSE)</f>
        <v>0</v>
      </c>
      <c r="Z50" s="126">
        <f>IF($Z$2=I50,1,0)</f>
        <v>1</v>
      </c>
      <c r="AA50" s="126">
        <f>IF($AA$2=J50,1,0)</f>
        <v>0</v>
      </c>
      <c r="AB50" s="126">
        <f>IF($AB$2=K50,1,0)</f>
        <v>0</v>
      </c>
      <c r="AC50" s="126">
        <f>IF($AC$2=L50,1,0)</f>
        <v>0</v>
      </c>
      <c r="AD50" s="126">
        <f>IF($AD$2=M50,1,0)</f>
        <v>0</v>
      </c>
      <c r="AE50" s="126">
        <f>IF($AE$2=O50,1,0)</f>
        <v>0</v>
      </c>
      <c r="AF50" s="53" t="b">
        <f>IF($H$1&lt;&gt;0,IF($H$1&lt;&gt;I50,IF($H$1&lt;&gt;J50,IF($H$1&lt;&gt;K50,IF($H$1&lt;&gt;L50,IF($H$1&lt;&gt;M50,IF($H$1&lt;&gt;N50,IF($H$1&lt;&gt;O50,TRUE,FALSE))))))))</f>
        <v>0</v>
      </c>
      <c r="AG50" s="54" t="b">
        <f>IF(AH50=TRUE,TRUE,FALSE)</f>
        <v>0</v>
      </c>
      <c r="AH50" s="56" t="b">
        <f>IF(OR(AND($H$6="Medicaid",MID($A50,1,FIND(".",$A50,1)-1)="II"),AND($H$6="CHIP",MID($A50,1,FIND(".",$A50,1)-1)="I")),TRUE,FALSE)</f>
        <v>0</v>
      </c>
      <c r="AP50" s="69" t="str">
        <f>IF(AO50=1,1,"")</f>
        <v/>
      </c>
      <c r="AX50" s="110">
        <v>0</v>
      </c>
    </row>
    <row r="51" spans="1:51" ht="84" customHeight="1" thickBot="1" x14ac:dyDescent="0.3">
      <c r="A51" s="294" t="s">
        <v>1189</v>
      </c>
      <c r="B51" s="295" t="s">
        <v>1190</v>
      </c>
      <c r="C51" s="295" t="s">
        <v>1191</v>
      </c>
      <c r="D51" s="446"/>
      <c r="E51" s="297"/>
      <c r="F51" s="297"/>
      <c r="G51" s="297"/>
      <c r="H51" s="214"/>
      <c r="I51" s="92" t="s">
        <v>168</v>
      </c>
      <c r="J51" s="92" t="s">
        <v>178</v>
      </c>
      <c r="K51" s="92" t="s">
        <v>185</v>
      </c>
      <c r="L51" s="166" t="s">
        <v>190</v>
      </c>
      <c r="M51" s="71"/>
      <c r="N51" s="71"/>
      <c r="O51" s="71"/>
      <c r="P51" s="71" t="s">
        <v>380</v>
      </c>
      <c r="Q51" s="71" t="b">
        <f>IF(OR(AND($C$2="Base contract",$C$3="No, section requirements must be reviewed", $AF51=FALSE,$AG51=FALSE),AND($C$2="Contract amendment",$C$3="No, section requirements must be reviewed",$AF51=FALSE,$AG51=FALSE)),"MUNN")</f>
        <v>0</v>
      </c>
      <c r="R51" s="64"/>
      <c r="S51" s="64"/>
      <c r="T51" s="64"/>
      <c r="U51" s="97">
        <f>IF(OR($E$46="N/A",AND(AX51=0,'Cover Sheet'!$B$29="Streamlined Review"),AND(E51="Met",F51&lt;&gt;""),AND(E51="Not Met",G51&lt;&gt;""),AND(E51="Unsure",G51&lt;&gt;""),AND(E51="N/A",H51&lt;&gt;""),AND(Y51=TRUE)),1,0)</f>
        <v>0</v>
      </c>
      <c r="X51" s="126" t="b">
        <f t="shared" si="2"/>
        <v>0</v>
      </c>
      <c r="Y51" s="126" t="b">
        <f>IF(SUM(Z51:AE51)&lt;1,TRUE,FALSE)</f>
        <v>0</v>
      </c>
      <c r="Z51" s="126">
        <f>IF($Z$2=I51,1,0)</f>
        <v>1</v>
      </c>
      <c r="AA51" s="126">
        <f>IF($AA$2=J51,1,0)</f>
        <v>0</v>
      </c>
      <c r="AB51" s="126">
        <f>IF($AB$2=K51,1,0)</f>
        <v>0</v>
      </c>
      <c r="AC51" s="126">
        <f>IF($AC$2=L51,1,0)</f>
        <v>0</v>
      </c>
      <c r="AD51" s="126">
        <f>IF($AD$2=M51,1,0)</f>
        <v>0</v>
      </c>
      <c r="AE51" s="126">
        <f>IF($AE$2=O51,1,0)</f>
        <v>0</v>
      </c>
      <c r="AF51" s="53" t="b">
        <f>IF($H$1&lt;&gt;0,IF($H$1&lt;&gt;I51,IF($H$1&lt;&gt;J51,IF($H$1&lt;&gt;K51,IF($H$1&lt;&gt;L51,IF($H$1&lt;&gt;M51,IF($H$1&lt;&gt;N51,IF($H$1&lt;&gt;O51,TRUE,FALSE))))))))</f>
        <v>0</v>
      </c>
      <c r="AG51" s="54" t="b">
        <f>IF(AH51=TRUE,TRUE,FALSE)</f>
        <v>0</v>
      </c>
      <c r="AH51" s="56" t="b">
        <f>IF(OR(AND($H$6="Medicaid",MID($A51,1,FIND(".",$A51,1)-1)="II"),AND($H$6="CHIP",MID($A51,1,FIND(".",$A51,1)-1)="I")),TRUE,FALSE)</f>
        <v>0</v>
      </c>
      <c r="AP51" s="69" t="str">
        <f>IF(AO51=1,1,"")</f>
        <v/>
      </c>
      <c r="AX51" s="110">
        <v>0</v>
      </c>
    </row>
    <row r="52" spans="1:51" ht="15.75" thickBot="1" x14ac:dyDescent="0.3">
      <c r="A52" s="450"/>
      <c r="B52" s="451"/>
      <c r="C52" s="452" t="s">
        <v>38</v>
      </c>
      <c r="D52" s="486"/>
      <c r="E52" s="443"/>
      <c r="F52" s="444"/>
      <c r="G52" s="444"/>
      <c r="H52" s="445"/>
      <c r="I52" s="74"/>
      <c r="J52" s="74"/>
      <c r="K52" s="74"/>
      <c r="L52" s="87"/>
      <c r="M52" s="87"/>
      <c r="R52" s="116"/>
      <c r="S52" s="116"/>
      <c r="T52" s="116"/>
      <c r="U52" s="126"/>
      <c r="Z52" s="126"/>
      <c r="AA52" s="126"/>
      <c r="AB52" s="126"/>
      <c r="AC52" s="126"/>
      <c r="AD52" s="126"/>
      <c r="AE52" s="126"/>
      <c r="AH52" s="68"/>
      <c r="AX52" s="110"/>
    </row>
    <row r="53" spans="1:51" ht="39.75" thickBot="1" x14ac:dyDescent="0.3">
      <c r="A53" s="294" t="s">
        <v>1192</v>
      </c>
      <c r="B53" s="295" t="s">
        <v>1193</v>
      </c>
      <c r="C53" s="295" t="s">
        <v>1194</v>
      </c>
      <c r="D53" s="446"/>
      <c r="E53" s="297"/>
      <c r="F53" s="297"/>
      <c r="G53" s="297"/>
      <c r="H53" s="214"/>
      <c r="I53" s="92" t="s">
        <v>168</v>
      </c>
      <c r="J53" s="92" t="s">
        <v>178</v>
      </c>
      <c r="K53" s="92" t="s">
        <v>185</v>
      </c>
      <c r="L53" s="71" t="s">
        <v>190</v>
      </c>
      <c r="M53" s="71" t="s">
        <v>195</v>
      </c>
      <c r="N53" s="71"/>
      <c r="O53" s="71"/>
      <c r="P53" s="71" t="s">
        <v>380</v>
      </c>
      <c r="Q53" s="71" t="b">
        <f>IF(OR(AND($C$2="Base contract",$C$3="No, section requirements must be reviewed", $AF53=FALSE,$AG53=FALSE),AND($C$2="Contract amendment",$C$3="No, section requirements must be reviewed",$AF53=FALSE,$AG53=FALSE)),"MUNN")</f>
        <v>0</v>
      </c>
      <c r="R53" s="64"/>
      <c r="S53" s="64"/>
      <c r="T53" s="64"/>
      <c r="U53" s="97">
        <f>IF(OR($E$52="N/A",AND(AX53=0,'Cover Sheet'!$B$29="Streamlined Review"),AND(E53="Met",F53&lt;&gt;""),AND(E53="Not Met",G53&lt;&gt;""),AND(E53="Unsure",G53&lt;&gt;""),AND(E53="N/A",H53&lt;&gt;""),AND(Y53=TRUE)),1,0)</f>
        <v>0</v>
      </c>
      <c r="X53" s="126" t="b">
        <f t="shared" si="2"/>
        <v>0</v>
      </c>
      <c r="Y53" s="126" t="b">
        <f>IF(SUM(Z53:AE53)&lt;1,TRUE,FALSE)</f>
        <v>0</v>
      </c>
      <c r="Z53" s="126">
        <f>IF($Z$2=I53,1,0)</f>
        <v>1</v>
      </c>
      <c r="AA53" s="126">
        <f>IF($AA$2=J53,1,0)</f>
        <v>0</v>
      </c>
      <c r="AB53" s="126">
        <f>IF($AB$2=K53,1,0)</f>
        <v>0</v>
      </c>
      <c r="AC53" s="126">
        <f>IF($AC$2=L53,1,0)</f>
        <v>0</v>
      </c>
      <c r="AD53" s="126">
        <f>IF($AD$2=M53,1,0)</f>
        <v>0</v>
      </c>
      <c r="AE53" s="126">
        <f>IF($AE$2=O53,1,0)</f>
        <v>0</v>
      </c>
      <c r="AF53" s="53" t="b">
        <f>IF($H$1&lt;&gt;0,IF($H$1&lt;&gt;I53,IF($H$1&lt;&gt;J53,IF($H$1&lt;&gt;K53,IF($H$1&lt;&gt;L53,IF($H$1&lt;&gt;M53,IF($H$1&lt;&gt;N53,IF($H$1&lt;&gt;O53,TRUE,FALSE))))))))</f>
        <v>0</v>
      </c>
      <c r="AG53" s="54" t="b">
        <f>IF(AH53=TRUE,TRUE,FALSE)</f>
        <v>0</v>
      </c>
      <c r="AH53" s="56" t="b">
        <f>IF(OR(AND($H$6="Medicaid",MID($A53,1,FIND(".",$A53,1)-1)="II"),AND($H$6="CHIP",MID($A53,1,FIND(".",$A53,1)-1)="I")),TRUE,FALSE)</f>
        <v>0</v>
      </c>
      <c r="AP53" s="69" t="str">
        <f>IF(AO53=1,1,"")</f>
        <v/>
      </c>
      <c r="AX53" s="110">
        <v>0</v>
      </c>
    </row>
    <row r="54" spans="1:51" ht="15.75" thickBot="1" x14ac:dyDescent="0.3">
      <c r="A54" s="450"/>
      <c r="B54" s="451"/>
      <c r="C54" s="452" t="s">
        <v>1195</v>
      </c>
      <c r="D54" s="486"/>
      <c r="E54" s="443"/>
      <c r="F54" s="444"/>
      <c r="G54" s="444"/>
      <c r="H54" s="445"/>
      <c r="I54" s="74"/>
      <c r="J54" s="74"/>
      <c r="K54" s="74"/>
      <c r="L54" s="87"/>
      <c r="M54" s="87"/>
      <c r="R54" s="116"/>
      <c r="S54" s="116"/>
      <c r="T54" s="116"/>
      <c r="U54" s="126"/>
      <c r="Z54" s="126"/>
      <c r="AA54" s="126"/>
      <c r="AB54" s="126"/>
      <c r="AC54" s="126"/>
      <c r="AD54" s="126"/>
      <c r="AE54" s="126"/>
      <c r="AH54" s="68"/>
      <c r="AX54" s="110"/>
    </row>
    <row r="55" spans="1:51" ht="51" x14ac:dyDescent="0.25">
      <c r="A55" s="294" t="s">
        <v>1196</v>
      </c>
      <c r="B55" s="295" t="s">
        <v>1197</v>
      </c>
      <c r="C55" s="295" t="s">
        <v>1198</v>
      </c>
      <c r="D55" s="446"/>
      <c r="E55" s="297"/>
      <c r="F55" s="297"/>
      <c r="G55" s="297"/>
      <c r="H55" s="214"/>
      <c r="I55" s="92" t="s">
        <v>168</v>
      </c>
      <c r="J55" s="92" t="s">
        <v>178</v>
      </c>
      <c r="K55" s="92" t="s">
        <v>185</v>
      </c>
      <c r="L55" s="71" t="s">
        <v>190</v>
      </c>
      <c r="M55" s="71"/>
      <c r="N55" s="71"/>
      <c r="O55" s="71"/>
      <c r="P55" s="71" t="s">
        <v>380</v>
      </c>
      <c r="Q55" s="71" t="b">
        <f t="shared" ref="Q55:Q60" si="37">IF(OR(AND($C$2="Base contract",$C$3="No, section requirements must be reviewed", $AF55=FALSE,$AG55=FALSE),AND($C$2="Contract amendment",$C$3="No, section requirements must be reviewed",$AF55=FALSE,$AG55=FALSE)),"MUNN")</f>
        <v>0</v>
      </c>
      <c r="R55" s="64"/>
      <c r="S55" s="64"/>
      <c r="T55" s="64"/>
      <c r="U55" s="97">
        <f>IF(OR($E$54="N/A",AND(AX55=0,'Cover Sheet'!$B$29="Streamlined Review"),AND(E55="Met",F55&lt;&gt;""),AND(E55="Not Met",G55&lt;&gt;""),AND(E55="Unsure",G55&lt;&gt;""),AND(E55="N/A",H55&lt;&gt;""),AND(Y55=TRUE)),1,0)</f>
        <v>0</v>
      </c>
      <c r="X55" s="126" t="b">
        <f t="shared" si="2"/>
        <v>0</v>
      </c>
      <c r="Y55" s="126" t="b">
        <f t="shared" ref="Y55:Y60" si="38">IF(SUM(Z55:AE55)&lt;1,TRUE,FALSE)</f>
        <v>0</v>
      </c>
      <c r="Z55" s="126">
        <f t="shared" ref="Z55:Z60" si="39">IF($Z$2=I55,1,0)</f>
        <v>1</v>
      </c>
      <c r="AA55" s="126">
        <f t="shared" ref="AA55:AA60" si="40">IF($AA$2=J55,1,0)</f>
        <v>0</v>
      </c>
      <c r="AB55" s="126">
        <f t="shared" ref="AB55:AB60" si="41">IF($AB$2=K55,1,0)</f>
        <v>0</v>
      </c>
      <c r="AC55" s="126">
        <f t="shared" ref="AC55:AC60" si="42">IF($AC$2=L55,1,0)</f>
        <v>0</v>
      </c>
      <c r="AD55" s="126">
        <f t="shared" ref="AD55:AD60" si="43">IF($AD$2=M55,1,0)</f>
        <v>0</v>
      </c>
      <c r="AE55" s="126">
        <f t="shared" ref="AE55:AE60" si="44">IF($AE$2=O55,1,0)</f>
        <v>0</v>
      </c>
      <c r="AF55" s="53" t="b">
        <f t="shared" ref="AF55:AF60" si="45">IF($H$1&lt;&gt;0,IF($H$1&lt;&gt;I55,IF($H$1&lt;&gt;J55,IF($H$1&lt;&gt;K55,IF($H$1&lt;&gt;L55,IF($H$1&lt;&gt;M55,IF($H$1&lt;&gt;N55,IF($H$1&lt;&gt;O55,TRUE,FALSE))))))))</f>
        <v>0</v>
      </c>
      <c r="AG55" s="54" t="b">
        <f t="shared" ref="AG55:AG60" si="46">IF(AH55=TRUE,TRUE,FALSE)</f>
        <v>0</v>
      </c>
      <c r="AH55" s="56" t="b">
        <f t="shared" ref="AH55:AH60" si="47">IF(OR(AND($H$6="Medicaid",MID($A55,1,FIND(".",$A55,1)-1)="II"),AND($H$6="CHIP",MID($A55,1,FIND(".",$A55,1)-1)="I")),TRUE,FALSE)</f>
        <v>0</v>
      </c>
      <c r="AP55" s="69" t="str">
        <f t="shared" ref="AP55:AP60" si="48">IF(AO55=1,1,"")</f>
        <v/>
      </c>
      <c r="AX55" s="110">
        <v>0</v>
      </c>
    </row>
    <row r="56" spans="1:51" ht="51" x14ac:dyDescent="0.25">
      <c r="A56" s="294" t="s">
        <v>1199</v>
      </c>
      <c r="B56" s="295" t="s">
        <v>1200</v>
      </c>
      <c r="C56" s="295" t="s">
        <v>1201</v>
      </c>
      <c r="D56" s="447">
        <v>5</v>
      </c>
      <c r="E56" s="297"/>
      <c r="F56" s="297"/>
      <c r="G56" s="297"/>
      <c r="H56" s="214"/>
      <c r="I56" s="92" t="s">
        <v>168</v>
      </c>
      <c r="J56" s="92" t="s">
        <v>178</v>
      </c>
      <c r="K56" s="92" t="s">
        <v>185</v>
      </c>
      <c r="L56" s="71" t="s">
        <v>190</v>
      </c>
      <c r="M56" s="71"/>
      <c r="N56" s="71"/>
      <c r="O56" s="71"/>
      <c r="P56" s="71" t="s">
        <v>380</v>
      </c>
      <c r="Q56" s="71" t="b">
        <f t="shared" si="37"/>
        <v>0</v>
      </c>
      <c r="R56" s="64"/>
      <c r="S56" s="64"/>
      <c r="T56" s="64"/>
      <c r="U56" s="97">
        <f>IF(OR($E$54="N/A",AND(AX56=0,'Cover Sheet'!$B$29="Streamlined Review"),AND(E56="Met",F56&lt;&gt;""),AND(E56="Not Met",G56&lt;&gt;""),AND(E56="Unsure",G56&lt;&gt;""),AND(E56="N/A",H56&lt;&gt;""),AND(Y56=TRUE)),1,0)</f>
        <v>0</v>
      </c>
      <c r="X56" s="126" t="b">
        <f t="shared" si="2"/>
        <v>0</v>
      </c>
      <c r="Y56" s="126" t="b">
        <f t="shared" si="38"/>
        <v>0</v>
      </c>
      <c r="Z56" s="126">
        <f t="shared" si="39"/>
        <v>1</v>
      </c>
      <c r="AA56" s="126">
        <f t="shared" si="40"/>
        <v>0</v>
      </c>
      <c r="AB56" s="126">
        <f t="shared" si="41"/>
        <v>0</v>
      </c>
      <c r="AC56" s="126">
        <f t="shared" si="42"/>
        <v>0</v>
      </c>
      <c r="AD56" s="126">
        <f t="shared" si="43"/>
        <v>0</v>
      </c>
      <c r="AE56" s="126">
        <f t="shared" si="44"/>
        <v>0</v>
      </c>
      <c r="AF56" s="53" t="b">
        <f t="shared" si="45"/>
        <v>0</v>
      </c>
      <c r="AG56" s="54" t="b">
        <f t="shared" si="46"/>
        <v>0</v>
      </c>
      <c r="AH56" s="56" t="b">
        <f t="shared" si="47"/>
        <v>0</v>
      </c>
      <c r="AP56" s="69" t="str">
        <f t="shared" si="48"/>
        <v/>
      </c>
      <c r="AX56" s="110">
        <v>0</v>
      </c>
    </row>
    <row r="57" spans="1:51" ht="141.75" customHeight="1" x14ac:dyDescent="0.25">
      <c r="A57" s="294" t="s">
        <v>1202</v>
      </c>
      <c r="B57" s="295" t="s">
        <v>1203</v>
      </c>
      <c r="C57" s="295" t="s">
        <v>1204</v>
      </c>
      <c r="D57" s="470"/>
      <c r="E57" s="297"/>
      <c r="F57" s="297"/>
      <c r="G57" s="297"/>
      <c r="H57" s="214"/>
      <c r="I57" s="92" t="s">
        <v>168</v>
      </c>
      <c r="J57" s="92" t="s">
        <v>178</v>
      </c>
      <c r="K57" s="92" t="s">
        <v>185</v>
      </c>
      <c r="L57" s="71" t="s">
        <v>190</v>
      </c>
      <c r="M57" s="71"/>
      <c r="N57" s="71"/>
      <c r="O57" s="71"/>
      <c r="P57" s="71" t="s">
        <v>380</v>
      </c>
      <c r="Q57" s="71" t="b">
        <f t="shared" si="37"/>
        <v>0</v>
      </c>
      <c r="R57" s="64">
        <v>45847</v>
      </c>
      <c r="S57" s="64"/>
      <c r="T57" s="64"/>
      <c r="U57" s="97">
        <f>IF(OR($E$54="N/A",AND(AX57=0,'Cover Sheet'!$B$29="Streamlined Review"),AND(E57="Met",F57&lt;&gt;""),AND(E57="Not Met",G57&lt;&gt;""),AND(E57="Unsure",G57&lt;&gt;""),AND(E57="N/A",H57&lt;&gt;""),AND(Y57=TRUE),X57=TRUE),1,0)</f>
        <v>1</v>
      </c>
      <c r="X57" s="126" t="b">
        <f>IF(OR(Y57=TRUE,AY57=0),TRUE,FALSE)</f>
        <v>1</v>
      </c>
      <c r="Y57" s="126" t="b">
        <f t="shared" si="38"/>
        <v>0</v>
      </c>
      <c r="Z57" s="126">
        <f t="shared" si="39"/>
        <v>1</v>
      </c>
      <c r="AA57" s="126">
        <f t="shared" si="40"/>
        <v>0</v>
      </c>
      <c r="AB57" s="126">
        <f t="shared" si="41"/>
        <v>0</v>
      </c>
      <c r="AC57" s="126">
        <f t="shared" si="42"/>
        <v>0</v>
      </c>
      <c r="AD57" s="126">
        <f t="shared" si="43"/>
        <v>0</v>
      </c>
      <c r="AE57" s="126">
        <f t="shared" si="44"/>
        <v>0</v>
      </c>
      <c r="AF57" s="53" t="b">
        <f t="shared" si="45"/>
        <v>0</v>
      </c>
      <c r="AG57" s="54" t="b">
        <f t="shared" si="46"/>
        <v>0</v>
      </c>
      <c r="AH57" s="56" t="b">
        <f t="shared" si="47"/>
        <v>0</v>
      </c>
      <c r="AP57" s="69" t="str">
        <f t="shared" si="48"/>
        <v/>
      </c>
      <c r="AX57" s="110">
        <v>1</v>
      </c>
      <c r="AY57">
        <f>IF('Cover Sheet'!$B$25&gt;=R57,1,0)</f>
        <v>0</v>
      </c>
    </row>
    <row r="58" spans="1:51" ht="27.6" customHeight="1" x14ac:dyDescent="0.25">
      <c r="A58" s="294" t="s">
        <v>1205</v>
      </c>
      <c r="B58" s="295" t="s">
        <v>1206</v>
      </c>
      <c r="C58" s="295" t="s">
        <v>1207</v>
      </c>
      <c r="D58" s="470"/>
      <c r="E58" s="297"/>
      <c r="F58" s="297"/>
      <c r="G58" s="297"/>
      <c r="H58" s="214"/>
      <c r="I58" s="92" t="s">
        <v>168</v>
      </c>
      <c r="J58" s="92" t="s">
        <v>178</v>
      </c>
      <c r="K58" s="92" t="s">
        <v>185</v>
      </c>
      <c r="L58" s="71" t="s">
        <v>190</v>
      </c>
      <c r="M58" s="71"/>
      <c r="N58" s="71"/>
      <c r="O58" s="71"/>
      <c r="P58" s="71" t="s">
        <v>380</v>
      </c>
      <c r="Q58" s="71" t="b">
        <f t="shared" si="37"/>
        <v>0</v>
      </c>
      <c r="R58" s="64">
        <v>45847</v>
      </c>
      <c r="S58" s="64"/>
      <c r="T58" s="64"/>
      <c r="U58" s="97">
        <f>IF(OR($E$54="N/A",AND(AX58=0,'Cover Sheet'!$B$29="Streamlined Review"),AND(E58="Met",F58&lt;&gt;""),AND(E58="Not Met",G58&lt;&gt;""),AND(E58="Unsure",G58&lt;&gt;""),AND(E58="N/A",H58&lt;&gt;""),AND(Y58=TRUE),X58=TRUE),1,0)</f>
        <v>1</v>
      </c>
      <c r="X58" s="126" t="b">
        <f>IF(OR(Y58=TRUE,AY58=0),TRUE,FALSE)</f>
        <v>1</v>
      </c>
      <c r="Y58" s="126" t="b">
        <f t="shared" si="38"/>
        <v>0</v>
      </c>
      <c r="Z58" s="126">
        <f t="shared" si="39"/>
        <v>1</v>
      </c>
      <c r="AA58" s="126">
        <f t="shared" si="40"/>
        <v>0</v>
      </c>
      <c r="AB58" s="126">
        <f t="shared" si="41"/>
        <v>0</v>
      </c>
      <c r="AC58" s="126">
        <f t="shared" si="42"/>
        <v>0</v>
      </c>
      <c r="AD58" s="126">
        <f t="shared" si="43"/>
        <v>0</v>
      </c>
      <c r="AE58" s="126">
        <f t="shared" si="44"/>
        <v>0</v>
      </c>
      <c r="AF58" s="53" t="b">
        <f t="shared" si="45"/>
        <v>0</v>
      </c>
      <c r="AG58" s="54" t="b">
        <f t="shared" si="46"/>
        <v>0</v>
      </c>
      <c r="AH58" s="56" t="b">
        <f t="shared" si="47"/>
        <v>0</v>
      </c>
      <c r="AP58" s="69" t="str">
        <f t="shared" si="48"/>
        <v/>
      </c>
      <c r="AX58" s="110">
        <v>1</v>
      </c>
      <c r="AY58">
        <f>IF('Cover Sheet'!$B$25&gt;=R58,1,0)</f>
        <v>0</v>
      </c>
    </row>
    <row r="59" spans="1:51" ht="25.5" x14ac:dyDescent="0.25">
      <c r="A59" s="294" t="s">
        <v>1208</v>
      </c>
      <c r="B59" s="295" t="s">
        <v>1209</v>
      </c>
      <c r="C59" s="295" t="s">
        <v>1210</v>
      </c>
      <c r="D59" s="470"/>
      <c r="E59" s="297"/>
      <c r="F59" s="297"/>
      <c r="G59" s="297"/>
      <c r="H59" s="214"/>
      <c r="I59" s="92" t="s">
        <v>168</v>
      </c>
      <c r="J59" s="92" t="s">
        <v>178</v>
      </c>
      <c r="K59" s="92" t="s">
        <v>185</v>
      </c>
      <c r="L59" s="71" t="s">
        <v>190</v>
      </c>
      <c r="M59" s="71"/>
      <c r="N59" s="71"/>
      <c r="O59" s="71"/>
      <c r="P59" s="71" t="s">
        <v>380</v>
      </c>
      <c r="Q59" s="71" t="b">
        <f t="shared" si="37"/>
        <v>0</v>
      </c>
      <c r="R59" s="64">
        <v>45847</v>
      </c>
      <c r="S59" s="64"/>
      <c r="T59" s="64"/>
      <c r="U59" s="97">
        <f>IF(OR($E$54="N/A",AND(AX59=0,'Cover Sheet'!$B$29="Streamlined Review"),AND(E59="Met",F59&lt;&gt;""),AND(E59="Not Met",G59&lt;&gt;""),AND(E59="Unsure",G59&lt;&gt;""),AND(E59="N/A",H59&lt;&gt;""),AND(Y59=TRUE),X59=TRUE),1,0)</f>
        <v>1</v>
      </c>
      <c r="X59" s="126" t="b">
        <f>IF(OR(Y59=TRUE,AY59=0),TRUE,FALSE)</f>
        <v>1</v>
      </c>
      <c r="Y59" s="126" t="b">
        <f t="shared" si="38"/>
        <v>0</v>
      </c>
      <c r="Z59" s="126">
        <f t="shared" si="39"/>
        <v>1</v>
      </c>
      <c r="AA59" s="126">
        <f t="shared" si="40"/>
        <v>0</v>
      </c>
      <c r="AB59" s="126">
        <f t="shared" si="41"/>
        <v>0</v>
      </c>
      <c r="AC59" s="126">
        <f t="shared" si="42"/>
        <v>0</v>
      </c>
      <c r="AD59" s="126">
        <f t="shared" si="43"/>
        <v>0</v>
      </c>
      <c r="AE59" s="126">
        <f t="shared" si="44"/>
        <v>0</v>
      </c>
      <c r="AF59" s="53" t="b">
        <f t="shared" si="45"/>
        <v>0</v>
      </c>
      <c r="AG59" s="54" t="b">
        <f t="shared" si="46"/>
        <v>0</v>
      </c>
      <c r="AH59" s="56" t="b">
        <f t="shared" si="47"/>
        <v>0</v>
      </c>
      <c r="AP59" s="69" t="str">
        <f t="shared" si="48"/>
        <v/>
      </c>
      <c r="AX59" s="110">
        <v>1</v>
      </c>
      <c r="AY59">
        <f>IF('Cover Sheet'!$B$25&gt;=R59,1,0)</f>
        <v>0</v>
      </c>
    </row>
    <row r="60" spans="1:51" ht="51" x14ac:dyDescent="0.25">
      <c r="A60" s="294" t="s">
        <v>1211</v>
      </c>
      <c r="B60" s="295" t="s">
        <v>1212</v>
      </c>
      <c r="C60" s="295" t="s">
        <v>1213</v>
      </c>
      <c r="D60" s="470"/>
      <c r="E60" s="297"/>
      <c r="F60" s="297"/>
      <c r="G60" s="297"/>
      <c r="H60" s="214"/>
      <c r="I60" s="92" t="s">
        <v>168</v>
      </c>
      <c r="J60" s="92" t="s">
        <v>178</v>
      </c>
      <c r="K60" s="92" t="s">
        <v>185</v>
      </c>
      <c r="L60" s="71" t="s">
        <v>190</v>
      </c>
      <c r="M60" s="71"/>
      <c r="N60" s="71"/>
      <c r="O60" s="71"/>
      <c r="P60" s="71" t="s">
        <v>380</v>
      </c>
      <c r="Q60" s="71" t="b">
        <f t="shared" si="37"/>
        <v>0</v>
      </c>
      <c r="R60" s="64">
        <v>45847</v>
      </c>
      <c r="S60" s="64"/>
      <c r="T60" s="64"/>
      <c r="U60" s="97">
        <f>IF(OR($E$54="N/A",AND(AX60=0,'Cover Sheet'!$B$29="Streamlined Review"),AND(E60="Met",F60&lt;&gt;""),AND(E60="Not Met",G60&lt;&gt;""),AND(E60="Unsure",G60&lt;&gt;""),AND(E60="N/A",H60&lt;&gt;""),AND(Y60=TRUE),X60=TRUE),1,0)</f>
        <v>1</v>
      </c>
      <c r="X60" s="126" t="b">
        <f>IF(OR(Y60=TRUE,AY60=0),TRUE,FALSE)</f>
        <v>1</v>
      </c>
      <c r="Y60" s="126" t="b">
        <f t="shared" si="38"/>
        <v>0</v>
      </c>
      <c r="Z60" s="126">
        <f t="shared" si="39"/>
        <v>1</v>
      </c>
      <c r="AA60" s="126">
        <f t="shared" si="40"/>
        <v>0</v>
      </c>
      <c r="AB60" s="126">
        <f t="shared" si="41"/>
        <v>0</v>
      </c>
      <c r="AC60" s="126">
        <f t="shared" si="42"/>
        <v>0</v>
      </c>
      <c r="AD60" s="126">
        <f t="shared" si="43"/>
        <v>0</v>
      </c>
      <c r="AE60" s="126">
        <f t="shared" si="44"/>
        <v>0</v>
      </c>
      <c r="AF60" s="53" t="b">
        <f t="shared" si="45"/>
        <v>0</v>
      </c>
      <c r="AG60" s="54" t="b">
        <f t="shared" si="46"/>
        <v>0</v>
      </c>
      <c r="AH60" s="56" t="b">
        <f t="shared" si="47"/>
        <v>0</v>
      </c>
      <c r="AP60" s="69" t="str">
        <f t="shared" si="48"/>
        <v/>
      </c>
      <c r="AX60" s="110">
        <v>1</v>
      </c>
      <c r="AY60">
        <f>IF('Cover Sheet'!$B$25&gt;=R60,1,0)</f>
        <v>0</v>
      </c>
    </row>
    <row r="61" spans="1:51" ht="39" thickBot="1" x14ac:dyDescent="0.3">
      <c r="A61" s="294" t="s">
        <v>1214</v>
      </c>
      <c r="B61" s="295" t="s">
        <v>1215</v>
      </c>
      <c r="C61" s="295" t="s">
        <v>1216</v>
      </c>
      <c r="D61" s="470"/>
      <c r="E61" s="297"/>
      <c r="F61" s="297"/>
      <c r="G61" s="297"/>
      <c r="H61" s="214"/>
      <c r="I61" s="92" t="s">
        <v>168</v>
      </c>
      <c r="J61" s="92" t="s">
        <v>178</v>
      </c>
      <c r="K61" s="92" t="s">
        <v>185</v>
      </c>
      <c r="L61" s="71" t="s">
        <v>190</v>
      </c>
      <c r="M61" s="71"/>
      <c r="N61" s="71"/>
      <c r="O61" s="71"/>
      <c r="P61" s="71" t="s">
        <v>380</v>
      </c>
      <c r="Q61" s="71" t="b">
        <f>IF(OR(AND($C$2="Base contract",$C$3="No, section requirements must be reviewed", $AF61=FALSE,$AG61=FALSE),AND($C$2="Contract amendment",$C$3="No, section requirements must be reviewed",$AF61=FALSE,$AG61=FALSE)),"MUNN")</f>
        <v>0</v>
      </c>
      <c r="R61" s="64">
        <v>45847</v>
      </c>
      <c r="S61" s="64"/>
      <c r="T61" s="64"/>
      <c r="U61" s="97">
        <f>IF(OR($E$54="N/A",AND(AX61=0,'Cover Sheet'!$B$29="Streamlined Review"),AND(E61="Met",F61&lt;&gt;""),AND(E61="Not Met",G61&lt;&gt;""),AND(E61="Unsure",G61&lt;&gt;""),AND(E61="N/A",H61&lt;&gt;""),AND(Y61=TRUE),X61=TRUE),1,0)</f>
        <v>1</v>
      </c>
      <c r="X61" s="126" t="b">
        <f>IF(OR(Y61=TRUE,AY61=0),TRUE,FALSE)</f>
        <v>1</v>
      </c>
      <c r="Y61" s="126" t="b">
        <f>IF(SUM(Z61:AE61)&lt;1,TRUE,FALSE)</f>
        <v>0</v>
      </c>
      <c r="Z61" s="126">
        <f>IF($Z$2=I61,1,0)</f>
        <v>1</v>
      </c>
      <c r="AA61" s="126">
        <f>IF($AA$2=J61,1,0)</f>
        <v>0</v>
      </c>
      <c r="AB61" s="126">
        <f>IF($AB$2=K61,1,0)</f>
        <v>0</v>
      </c>
      <c r="AC61" s="126">
        <f>IF($AC$2=L61,1,0)</f>
        <v>0</v>
      </c>
      <c r="AD61" s="126">
        <f>IF($AD$2=M61,1,0)</f>
        <v>0</v>
      </c>
      <c r="AE61" s="126">
        <f>IF($AE$2=O61,1,0)</f>
        <v>0</v>
      </c>
      <c r="AF61" s="53" t="b">
        <f>IF($H$1&lt;&gt;0,IF($H$1&lt;&gt;I61,IF($H$1&lt;&gt;J61,IF($H$1&lt;&gt;K61,IF($H$1&lt;&gt;L61,IF($H$1&lt;&gt;M61,IF($H$1&lt;&gt;N61,IF($H$1&lt;&gt;O61,TRUE,FALSE))))))))</f>
        <v>0</v>
      </c>
      <c r="AG61" s="54" t="b">
        <f>IF(AH61=TRUE,TRUE,FALSE)</f>
        <v>0</v>
      </c>
      <c r="AH61" s="56" t="b">
        <f>IF(OR(AND($H$6="Medicaid",MID($A61,1,FIND(".",$A61,1)-1)="II"),AND($H$6="CHIP",MID($A61,1,FIND(".",$A61,1)-1)="I")),TRUE,FALSE)</f>
        <v>0</v>
      </c>
      <c r="AP61" s="69" t="str">
        <f>IF(AO61=1,1,"")</f>
        <v/>
      </c>
      <c r="AX61" s="110">
        <v>1</v>
      </c>
      <c r="AY61">
        <f>IF('Cover Sheet'!$B$25&gt;=R61,1,0)</f>
        <v>0</v>
      </c>
    </row>
    <row r="62" spans="1:51" ht="15.75" thickBot="1" x14ac:dyDescent="0.3">
      <c r="A62" s="450"/>
      <c r="B62" s="451"/>
      <c r="C62" s="452" t="s">
        <v>1217</v>
      </c>
      <c r="D62" s="486"/>
      <c r="E62" s="443"/>
      <c r="F62" s="444"/>
      <c r="G62" s="444"/>
      <c r="H62" s="445"/>
      <c r="I62" s="74"/>
      <c r="J62" s="74"/>
      <c r="K62" s="74"/>
      <c r="L62" s="87"/>
      <c r="M62" s="87"/>
      <c r="R62" s="116"/>
      <c r="S62" s="116"/>
      <c r="T62" s="116"/>
      <c r="U62" s="126"/>
      <c r="Z62" s="126"/>
      <c r="AA62" s="126"/>
      <c r="AB62" s="126"/>
      <c r="AC62" s="126"/>
      <c r="AD62" s="126"/>
      <c r="AE62" s="126"/>
      <c r="AH62" s="68"/>
      <c r="AX62" s="110"/>
    </row>
    <row r="63" spans="1:51" ht="44.25" customHeight="1" x14ac:dyDescent="0.25">
      <c r="A63" s="294" t="s">
        <v>1218</v>
      </c>
      <c r="B63" s="295" t="s">
        <v>1219</v>
      </c>
      <c r="C63" s="295" t="s">
        <v>1220</v>
      </c>
      <c r="D63" s="447">
        <v>6</v>
      </c>
      <c r="E63" s="297"/>
      <c r="F63" s="297"/>
      <c r="G63" s="297"/>
      <c r="H63" s="214"/>
      <c r="I63" s="92" t="s">
        <v>168</v>
      </c>
      <c r="J63" s="167" t="s">
        <v>178</v>
      </c>
      <c r="K63" s="167" t="s">
        <v>185</v>
      </c>
      <c r="L63" s="166" t="s">
        <v>190</v>
      </c>
      <c r="M63" s="166" t="s">
        <v>195</v>
      </c>
      <c r="N63" s="71"/>
      <c r="O63" s="71"/>
      <c r="P63" s="71" t="s">
        <v>380</v>
      </c>
      <c r="Q63" s="71" t="b">
        <f>IF(OR(AND($C$2="Base contract",$C$3="No, section requirements must be reviewed", $AF63=FALSE,$AG63=FALSE),AND($C$2="Contract amendment",$C$3="No, section requirements must be reviewed",$AF63=FALSE,$AG63=FALSE)),"MUNN")</f>
        <v>0</v>
      </c>
      <c r="R63" s="64"/>
      <c r="S63" s="64"/>
      <c r="T63" s="64"/>
      <c r="U63" s="97">
        <f>IF(OR($E$62="N/A",AND(AX63=0,'Cover Sheet'!$B$29="Streamlined Review"),AND(E63="Met",F63&lt;&gt;""),AND(E63="Not Met",G63&lt;&gt;""),AND(E63="Unsure",G63&lt;&gt;""),AND(E63="N/A",H63&lt;&gt;""),AND(Y63=TRUE)),1,0)</f>
        <v>0</v>
      </c>
      <c r="X63" s="126" t="b">
        <f t="shared" si="2"/>
        <v>0</v>
      </c>
      <c r="Y63" s="126" t="b">
        <f>IF(SUM(Z63:AE63)&lt;1,TRUE,FALSE)</f>
        <v>0</v>
      </c>
      <c r="Z63" s="126">
        <f>IF($Z$2=I63,1,0)</f>
        <v>1</v>
      </c>
      <c r="AA63" s="126">
        <f>IF($AA$2=J63,1,0)</f>
        <v>0</v>
      </c>
      <c r="AB63" s="126">
        <f>IF($AB$2=K63,1,0)</f>
        <v>0</v>
      </c>
      <c r="AC63" s="126">
        <f>IF($AC$2=L63,1,0)</f>
        <v>0</v>
      </c>
      <c r="AD63" s="126">
        <f>IF($AD$2=M63,1,0)</f>
        <v>0</v>
      </c>
      <c r="AE63" s="126">
        <f>IF($AE$2=O63,1,0)</f>
        <v>0</v>
      </c>
      <c r="AF63" s="53" t="b">
        <f>IF($H$1&lt;&gt;0,IF($H$1&lt;&gt;I63,IF($H$1&lt;&gt;J63,IF($H$1&lt;&gt;K63,IF($H$1&lt;&gt;L63,IF($H$1&lt;&gt;M63,IF($H$1&lt;&gt;N63,IF($H$1&lt;&gt;O63,TRUE,FALSE))))))))</f>
        <v>0</v>
      </c>
      <c r="AG63" s="54" t="b">
        <f>IF(AH63=TRUE,TRUE,FALSE)</f>
        <v>0</v>
      </c>
      <c r="AH63" s="56" t="b">
        <f>IF(OR(AND($H$6="Medicaid",MID($A63,1,FIND(".",$A63,1)-1)="II"),AND($H$6="CHIP",MID($A63,1,FIND(".",$A63,1)-1)="I")),TRUE,FALSE)</f>
        <v>0</v>
      </c>
      <c r="AP63" s="69" t="str">
        <f>IF(AO63=1,1,"")</f>
        <v/>
      </c>
      <c r="AX63" s="110">
        <v>0</v>
      </c>
    </row>
    <row r="64" spans="1:51" ht="70.5" customHeight="1" x14ac:dyDescent="0.25">
      <c r="A64" s="294" t="s">
        <v>1221</v>
      </c>
      <c r="B64" s="295" t="s">
        <v>1222</v>
      </c>
      <c r="C64" s="295" t="s">
        <v>1223</v>
      </c>
      <c r="D64" s="446"/>
      <c r="E64" s="297"/>
      <c r="F64" s="297"/>
      <c r="G64" s="297"/>
      <c r="H64" s="214"/>
      <c r="I64" s="92" t="s">
        <v>168</v>
      </c>
      <c r="J64" s="167" t="s">
        <v>178</v>
      </c>
      <c r="K64" s="167" t="s">
        <v>185</v>
      </c>
      <c r="L64" s="166" t="s">
        <v>190</v>
      </c>
      <c r="M64" s="166" t="s">
        <v>195</v>
      </c>
      <c r="N64" s="71"/>
      <c r="O64" s="71"/>
      <c r="P64" s="71" t="s">
        <v>380</v>
      </c>
      <c r="Q64" s="71" t="b">
        <f>IF(OR(AND($C$2="Base contract",$C$3="No, section requirements must be reviewed", $AF64=FALSE,$AG64=FALSE),AND($C$2="Contract amendment",$C$3="No, section requirements must be reviewed",$AF64=FALSE,$AG64=FALSE)),"MUNN")</f>
        <v>0</v>
      </c>
      <c r="R64" s="64"/>
      <c r="S64" s="64"/>
      <c r="T64" s="64"/>
      <c r="U64" s="97">
        <f>IF(OR($E$62="N/A",AND(AX64=0,'Cover Sheet'!$B$29="Streamlined Review"),AND(E64="Met",F64&lt;&gt;""),AND(E64="Not Met",G64&lt;&gt;""),AND(E64="Unsure",G64&lt;&gt;""),AND(E64="N/A",H64&lt;&gt;""),AND(Y64=TRUE)),1,0)</f>
        <v>0</v>
      </c>
      <c r="X64" s="126" t="b">
        <f t="shared" si="2"/>
        <v>0</v>
      </c>
      <c r="Y64" s="126" t="b">
        <f>IF(SUM(Z64:AE64)&lt;1,TRUE,FALSE)</f>
        <v>0</v>
      </c>
      <c r="Z64" s="126">
        <f>IF($Z$2=I64,1,0)</f>
        <v>1</v>
      </c>
      <c r="AA64" s="126">
        <f>IF($AA$2=J64,1,0)</f>
        <v>0</v>
      </c>
      <c r="AB64" s="126">
        <f>IF($AB$2=K64,1,0)</f>
        <v>0</v>
      </c>
      <c r="AC64" s="126">
        <f>IF($AC$2=L64,1,0)</f>
        <v>0</v>
      </c>
      <c r="AD64" s="126">
        <f>IF($AD$2=M64,1,0)</f>
        <v>0</v>
      </c>
      <c r="AE64" s="126">
        <f>IF($AE$2=O64,1,0)</f>
        <v>0</v>
      </c>
      <c r="AF64" s="53" t="b">
        <f>IF($H$1&lt;&gt;0,IF($H$1&lt;&gt;I64,IF($H$1&lt;&gt;J64,IF($H$1&lt;&gt;K64,IF($H$1&lt;&gt;L64,IF($H$1&lt;&gt;M64,IF($H$1&lt;&gt;N64,IF($H$1&lt;&gt;O64,TRUE,FALSE))))))))</f>
        <v>0</v>
      </c>
      <c r="AG64" s="54" t="b">
        <f>IF(AH64=TRUE,TRUE,FALSE)</f>
        <v>0</v>
      </c>
      <c r="AH64" s="56" t="b">
        <f>IF(OR(AND($H$6="Medicaid",MID($A64,1,FIND(".",$A64,1)-1)="II"),AND($H$6="CHIP",MID($A64,1,FIND(".",$A64,1)-1)="I")),TRUE,FALSE)</f>
        <v>0</v>
      </c>
      <c r="AP64" s="69" t="str">
        <f>IF(AO64=1,1,"")</f>
        <v/>
      </c>
      <c r="AX64" s="110">
        <v>0</v>
      </c>
    </row>
    <row r="65" spans="1:50" ht="41.45" customHeight="1" x14ac:dyDescent="0.25">
      <c r="A65" s="294" t="s">
        <v>1224</v>
      </c>
      <c r="B65" s="295" t="s">
        <v>1225</v>
      </c>
      <c r="C65" s="295" t="s">
        <v>1226</v>
      </c>
      <c r="D65" s="446"/>
      <c r="E65" s="297"/>
      <c r="F65" s="297"/>
      <c r="G65" s="297"/>
      <c r="H65" s="214"/>
      <c r="I65" s="92" t="s">
        <v>168</v>
      </c>
      <c r="J65" s="167" t="s">
        <v>178</v>
      </c>
      <c r="K65" s="167" t="s">
        <v>185</v>
      </c>
      <c r="L65" s="166" t="s">
        <v>190</v>
      </c>
      <c r="M65" s="166" t="s">
        <v>195</v>
      </c>
      <c r="N65" s="71"/>
      <c r="O65" s="71"/>
      <c r="P65" s="71" t="s">
        <v>380</v>
      </c>
      <c r="Q65" s="71" t="b">
        <f>IF(OR(AND($C$2="Base contract",$C$3="No, section requirements must be reviewed", $AF65=FALSE,$AG65=FALSE),AND($C$2="Contract amendment",$C$3="No, section requirements must be reviewed",$AF65=FALSE,$AG65=FALSE)),"MUNN")</f>
        <v>0</v>
      </c>
      <c r="R65" s="64"/>
      <c r="S65" s="64"/>
      <c r="T65" s="64"/>
      <c r="U65" s="97">
        <f>IF(OR($E$62="N/A",AND(AX65=0,'Cover Sheet'!$B$29="Streamlined Review"),AND(E65="Met",F65&lt;&gt;""),AND(E65="Not Met",G65&lt;&gt;""),AND(E65="Unsure",G65&lt;&gt;""),AND(E65="N/A",H65&lt;&gt;""),AND(Y65=TRUE)),1,0)</f>
        <v>0</v>
      </c>
      <c r="X65" s="126" t="b">
        <f t="shared" si="2"/>
        <v>0</v>
      </c>
      <c r="Y65" s="126" t="b">
        <f>IF(SUM(Z65:AE65)&lt;1,TRUE,FALSE)</f>
        <v>0</v>
      </c>
      <c r="Z65" s="126">
        <f>IF($Z$2=I65,1,0)</f>
        <v>1</v>
      </c>
      <c r="AA65" s="126">
        <f>IF($AA$2=J65,1,0)</f>
        <v>0</v>
      </c>
      <c r="AB65" s="126">
        <f>IF($AB$2=K65,1,0)</f>
        <v>0</v>
      </c>
      <c r="AC65" s="126">
        <f>IF($AC$2=L65,1,0)</f>
        <v>0</v>
      </c>
      <c r="AD65" s="126">
        <f>IF($AD$2=M65,1,0)</f>
        <v>0</v>
      </c>
      <c r="AE65" s="126">
        <f>IF($AE$2=O65,1,0)</f>
        <v>0</v>
      </c>
      <c r="AF65" s="53" t="b">
        <f>IF($H$1&lt;&gt;0,IF($H$1&lt;&gt;I65,IF($H$1&lt;&gt;J65,IF($H$1&lt;&gt;K65,IF($H$1&lt;&gt;L65,IF($H$1&lt;&gt;M65,IF($H$1&lt;&gt;N65,IF($H$1&lt;&gt;O65,TRUE,FALSE))))))))</f>
        <v>0</v>
      </c>
      <c r="AG65" s="54" t="b">
        <f>IF(AH65=TRUE,TRUE,FALSE)</f>
        <v>0</v>
      </c>
      <c r="AH65" s="56" t="b">
        <f>IF(OR(AND($H$6="Medicaid",MID($A65,1,FIND(".",$A65,1)-1)="II"),AND($H$6="CHIP",MID($A65,1,FIND(".",$A65,1)-1)="I")),TRUE,FALSE)</f>
        <v>0</v>
      </c>
      <c r="AP65" s="69" t="str">
        <f>IF(AO65=1,1,"")</f>
        <v/>
      </c>
      <c r="AX65" s="110">
        <v>1</v>
      </c>
    </row>
    <row r="66" spans="1:50" ht="30.75" customHeight="1" thickBot="1" x14ac:dyDescent="0.3">
      <c r="A66" s="294" t="s">
        <v>1227</v>
      </c>
      <c r="B66" s="295" t="s">
        <v>1228</v>
      </c>
      <c r="C66" s="295" t="s">
        <v>1229</v>
      </c>
      <c r="D66" s="446"/>
      <c r="E66" s="297"/>
      <c r="F66" s="297"/>
      <c r="G66" s="297"/>
      <c r="H66" s="214"/>
      <c r="I66" s="92" t="s">
        <v>168</v>
      </c>
      <c r="J66" s="92" t="s">
        <v>178</v>
      </c>
      <c r="K66" s="92" t="s">
        <v>185</v>
      </c>
      <c r="L66" s="71" t="s">
        <v>190</v>
      </c>
      <c r="M66" s="71" t="s">
        <v>195</v>
      </c>
      <c r="N66" s="71"/>
      <c r="O66" s="71"/>
      <c r="P66" s="71" t="s">
        <v>380</v>
      </c>
      <c r="Q66" s="71" t="b">
        <f>IF(OR(AND($C$2="Base contract",$C$3="No, section requirements must be reviewed", $AF66=FALSE,$AG66=FALSE),AND($C$2="Contract amendment",$C$3="No, section requirements must be reviewed",$AF66=FALSE,$AG66=FALSE)),"MUNN")</f>
        <v>0</v>
      </c>
      <c r="R66" s="64">
        <v>42917</v>
      </c>
      <c r="S66" s="64"/>
      <c r="T66" s="64"/>
      <c r="U66" s="97">
        <f>IF(OR($E$62="N/A",AND(AX66=0,'Cover Sheet'!$B$29="Streamlined Review"),AND(E66="Met",F66&lt;&gt;""),AND(E66="Not Met",G66&lt;&gt;""),AND(E66="Unsure",G66&lt;&gt;""),AND(E66="N/A",H66&lt;&gt;""),AND(Y66=TRUE)),1,0)</f>
        <v>0</v>
      </c>
      <c r="X66" s="126" t="b">
        <f t="shared" si="2"/>
        <v>0</v>
      </c>
      <c r="Y66" s="126" t="b">
        <f>IF(SUM(Z66:AE66)&lt;1,TRUE,FALSE)</f>
        <v>0</v>
      </c>
      <c r="Z66" s="126">
        <f>IF($Z$2=I66,1,0)</f>
        <v>1</v>
      </c>
      <c r="AA66" s="126">
        <f>IF($AA$2=J66,1,0)</f>
        <v>0</v>
      </c>
      <c r="AB66" s="126">
        <f>IF($AB$2=K66,1,0)</f>
        <v>0</v>
      </c>
      <c r="AC66" s="126">
        <f>IF($AC$2=L66,1,0)</f>
        <v>0</v>
      </c>
      <c r="AD66" s="126">
        <f>IF($AD$2=M66,1,0)</f>
        <v>0</v>
      </c>
      <c r="AE66" s="126">
        <f>IF($AE$2=O66,1,0)</f>
        <v>0</v>
      </c>
      <c r="AF66" s="53" t="b">
        <f>IF($H$1&lt;&gt;0,IF($H$1&lt;&gt;I66,IF($H$1&lt;&gt;J66,IF($H$1&lt;&gt;K66,IF($H$1&lt;&gt;L66,IF($H$1&lt;&gt;M66,IF($H$1&lt;&gt;N66,IF($H$1&lt;&gt;O66,TRUE,FALSE))))))))</f>
        <v>0</v>
      </c>
      <c r="AG66" s="54" t="b">
        <f>IF(AH66=TRUE,TRUE,FALSE)</f>
        <v>0</v>
      </c>
      <c r="AH66" s="56" t="b">
        <f>IF(OR(AND($H$6="Medicaid",MID($A66,1,FIND(".",$A66,1)-1)="II"),AND($H$6="CHIP",MID($A66,1,FIND(".",$A66,1)-1)="I")),TRUE,FALSE)</f>
        <v>0</v>
      </c>
      <c r="AP66" s="69" t="str">
        <f>IF(AO66=1,1,"")</f>
        <v/>
      </c>
      <c r="AX66" s="110">
        <v>1</v>
      </c>
    </row>
    <row r="67" spans="1:50" ht="15.75" thickBot="1" x14ac:dyDescent="0.3">
      <c r="A67" s="450"/>
      <c r="B67" s="451"/>
      <c r="C67" s="452" t="s">
        <v>1230</v>
      </c>
      <c r="D67" s="486"/>
      <c r="E67" s="443"/>
      <c r="F67" s="444"/>
      <c r="G67" s="444"/>
      <c r="H67" s="445"/>
      <c r="I67" s="74"/>
      <c r="J67" s="74"/>
      <c r="K67" s="74"/>
      <c r="L67" s="87"/>
      <c r="M67" s="87"/>
      <c r="R67" s="116"/>
      <c r="S67" s="116"/>
      <c r="T67" s="116"/>
      <c r="U67" s="126"/>
      <c r="Z67" s="126"/>
      <c r="AA67" s="126"/>
      <c r="AB67" s="126"/>
      <c r="AC67" s="126"/>
      <c r="AD67" s="126"/>
      <c r="AE67" s="126"/>
      <c r="AH67" s="68"/>
      <c r="AX67" s="110"/>
    </row>
    <row r="68" spans="1:50" ht="26.25" thickBot="1" x14ac:dyDescent="0.3">
      <c r="A68" s="460" t="s">
        <v>1231</v>
      </c>
      <c r="B68" s="461" t="s">
        <v>848</v>
      </c>
      <c r="C68" s="461" t="s">
        <v>1232</v>
      </c>
      <c r="D68" s="487">
        <v>7</v>
      </c>
      <c r="E68" s="318"/>
      <c r="F68" s="318"/>
      <c r="G68" s="318"/>
      <c r="H68" s="319"/>
      <c r="I68" s="92" t="s">
        <v>168</v>
      </c>
      <c r="J68" s="92" t="s">
        <v>178</v>
      </c>
      <c r="K68" s="92" t="s">
        <v>185</v>
      </c>
      <c r="L68" s="71" t="s">
        <v>190</v>
      </c>
      <c r="M68" s="71"/>
      <c r="N68" s="71"/>
      <c r="O68" s="71"/>
      <c r="P68" s="71" t="s">
        <v>380</v>
      </c>
      <c r="Q68" s="71" t="b">
        <f>IF(OR(AND($C$2="Base contract",$C$3="No, section requirements must be reviewed", $AF68=FALSE,$AG68=FALSE),AND($C$2="Contract amendment",$C$3="No, section requirements must be reviewed",$AF68=FALSE,$AG68=FALSE)),"MUNN")</f>
        <v>0</v>
      </c>
      <c r="R68" s="64"/>
      <c r="S68" s="64"/>
      <c r="T68" s="64"/>
      <c r="U68" s="97">
        <f>IF(OR($E$67="N/A",AND(AX68=0,'Cover Sheet'!$B$29="Streamlined Review"),AND(E68="Met",F68&lt;&gt;""),AND(E68="Not Met",G68&lt;&gt;""),AND(E68="Unsure",G68&lt;&gt;""),AND(E68="N/A",H68&lt;&gt;""),AND(Y68=TRUE)),1,0)</f>
        <v>0</v>
      </c>
      <c r="X68" s="126" t="b">
        <f t="shared" si="2"/>
        <v>0</v>
      </c>
      <c r="Y68" s="126" t="b">
        <f>IF(SUM(Z68:AE68)&lt;1,TRUE,FALSE)</f>
        <v>0</v>
      </c>
      <c r="Z68" s="126">
        <f>IF($Z$2=I68,1,0)</f>
        <v>1</v>
      </c>
      <c r="AA68" s="126">
        <f>IF($AA$2=J68,1,0)</f>
        <v>0</v>
      </c>
      <c r="AB68" s="126">
        <f>IF($AB$2=K68,1,0)</f>
        <v>0</v>
      </c>
      <c r="AC68" s="126">
        <f>IF($AC$2=L68,1,0)</f>
        <v>0</v>
      </c>
      <c r="AD68" s="126">
        <f>IF($AD$2=M68,1,0)</f>
        <v>0</v>
      </c>
      <c r="AE68" s="126">
        <f>IF($AE$2=O68,1,0)</f>
        <v>0</v>
      </c>
      <c r="AF68" s="53" t="b">
        <f>IF($H$1&lt;&gt;0,IF($H$1&lt;&gt;I68,IF($H$1&lt;&gt;J68,IF($H$1&lt;&gt;K68,IF($H$1&lt;&gt;L68,IF($H$1&lt;&gt;M68,IF($H$1&lt;&gt;N68,IF($H$1&lt;&gt;O68,TRUE,FALSE))))))))</f>
        <v>0</v>
      </c>
      <c r="AG68" s="54" t="b">
        <f>IF(AH68=TRUE,TRUE,FALSE)</f>
        <v>0</v>
      </c>
      <c r="AH68" s="56" t="b">
        <f>IF(OR(AND($H$6="Medicaid",MID($A68,1,FIND(".",$A68,1)-1)="II"),AND($H$6="CHIP",MID($A68,1,FIND(".",$A68,1)-1)="I")),TRUE,FALSE)</f>
        <v>0</v>
      </c>
      <c r="AP68" s="69" t="str">
        <f>IF(AO68=1,1,"")</f>
        <v/>
      </c>
      <c r="AX68" s="110">
        <v>1</v>
      </c>
    </row>
    <row r="69" spans="1:50" x14ac:dyDescent="0.25">
      <c r="A69" s="302" t="s">
        <v>442</v>
      </c>
      <c r="B69" s="303"/>
      <c r="C69" s="547"/>
      <c r="D69" s="304"/>
      <c r="E69" s="269"/>
      <c r="F69" s="270"/>
      <c r="G69" s="271"/>
      <c r="H69" s="271"/>
      <c r="AH69" s="68"/>
    </row>
    <row r="70" spans="1:50" x14ac:dyDescent="0.25">
      <c r="A70" s="417">
        <v>1</v>
      </c>
      <c r="B70" s="571" t="s">
        <v>1233</v>
      </c>
      <c r="C70" s="571"/>
      <c r="D70" s="571"/>
      <c r="E70" s="571"/>
      <c r="F70" s="571"/>
      <c r="G70" s="571"/>
      <c r="H70" s="571"/>
    </row>
    <row r="71" spans="1:50" x14ac:dyDescent="0.25">
      <c r="A71" s="417">
        <v>2</v>
      </c>
      <c r="B71" s="571" t="s">
        <v>1234</v>
      </c>
      <c r="C71" s="571"/>
      <c r="D71" s="571"/>
      <c r="E71" s="571"/>
      <c r="F71" s="571"/>
      <c r="G71" s="571"/>
      <c r="H71" s="571"/>
    </row>
    <row r="72" spans="1:50" ht="93" customHeight="1" x14ac:dyDescent="0.25">
      <c r="A72" s="417">
        <v>3</v>
      </c>
      <c r="B72" s="571" t="s">
        <v>1235</v>
      </c>
      <c r="C72" s="571"/>
      <c r="D72" s="571"/>
      <c r="E72" s="571"/>
      <c r="F72" s="571"/>
      <c r="G72" s="571"/>
      <c r="H72" s="571"/>
    </row>
    <row r="73" spans="1:50" ht="108.75" customHeight="1" x14ac:dyDescent="0.25">
      <c r="A73" s="417">
        <v>4</v>
      </c>
      <c r="B73" s="571" t="s">
        <v>1236</v>
      </c>
      <c r="C73" s="571"/>
      <c r="D73" s="571"/>
      <c r="E73" s="571"/>
      <c r="F73" s="571"/>
      <c r="G73" s="571"/>
      <c r="H73" s="571"/>
    </row>
    <row r="74" spans="1:50" x14ac:dyDescent="0.25">
      <c r="A74" s="417">
        <v>5</v>
      </c>
      <c r="B74" s="571" t="s">
        <v>1237</v>
      </c>
      <c r="C74" s="571"/>
      <c r="D74" s="571"/>
      <c r="E74" s="571"/>
      <c r="F74" s="571"/>
      <c r="G74" s="571"/>
      <c r="H74" s="571"/>
    </row>
    <row r="75" spans="1:50" ht="29.25" customHeight="1" x14ac:dyDescent="0.25">
      <c r="A75" s="417">
        <v>6</v>
      </c>
      <c r="B75" s="571" t="s">
        <v>1238</v>
      </c>
      <c r="C75" s="571"/>
      <c r="D75" s="571"/>
      <c r="E75" s="571"/>
      <c r="F75" s="571"/>
      <c r="G75" s="571"/>
      <c r="H75" s="571"/>
    </row>
    <row r="76" spans="1:50" ht="54.75" customHeight="1" x14ac:dyDescent="0.25">
      <c r="A76" s="417">
        <v>7</v>
      </c>
      <c r="B76" s="571" t="s">
        <v>1239</v>
      </c>
      <c r="C76" s="571"/>
      <c r="D76" s="571"/>
      <c r="E76" s="571"/>
      <c r="F76" s="571"/>
      <c r="G76" s="571"/>
      <c r="H76" s="571"/>
    </row>
    <row r="77" spans="1:50" x14ac:dyDescent="0.25">
      <c r="F77" s="6"/>
    </row>
    <row r="78" spans="1:50" x14ac:dyDescent="0.25">
      <c r="F78" s="6"/>
    </row>
    <row r="79" spans="1:50" x14ac:dyDescent="0.25">
      <c r="F79" s="6"/>
    </row>
    <row r="80" spans="1:50" x14ac:dyDescent="0.25">
      <c r="F80" s="6"/>
    </row>
    <row r="81" spans="6:6" x14ac:dyDescent="0.25">
      <c r="F81" s="6"/>
    </row>
    <row r="82" spans="6:6" x14ac:dyDescent="0.25">
      <c r="F82" s="6"/>
    </row>
    <row r="83" spans="6:6" x14ac:dyDescent="0.25">
      <c r="F83" s="6"/>
    </row>
    <row r="84" spans="6:6" x14ac:dyDescent="0.25">
      <c r="F84" s="6"/>
    </row>
    <row r="85" spans="6:6" x14ac:dyDescent="0.25">
      <c r="F85" s="6"/>
    </row>
    <row r="86" spans="6:6" x14ac:dyDescent="0.25">
      <c r="F86" s="6"/>
    </row>
    <row r="87" spans="6:6" x14ac:dyDescent="0.25">
      <c r="F87" s="6"/>
    </row>
    <row r="88" spans="6:6" x14ac:dyDescent="0.25">
      <c r="F88" s="6"/>
    </row>
    <row r="89" spans="6:6" x14ac:dyDescent="0.25">
      <c r="F89" s="6"/>
    </row>
    <row r="90" spans="6:6" x14ac:dyDescent="0.25">
      <c r="F90" s="6"/>
    </row>
    <row r="91" spans="6:6" x14ac:dyDescent="0.25">
      <c r="F91" s="6"/>
    </row>
    <row r="92" spans="6:6" x14ac:dyDescent="0.25">
      <c r="F92" s="6"/>
    </row>
    <row r="93" spans="6:6" x14ac:dyDescent="0.25">
      <c r="F93" s="6"/>
    </row>
    <row r="94" spans="6:6" x14ac:dyDescent="0.25">
      <c r="F94" s="6"/>
    </row>
  </sheetData>
  <sheetProtection algorithmName="SHA-512" hashValue="IAsD2zRLOXYeBPu6vjD8i+8DTAp1eXjPL+JID/JRrTig7vftE5ZjOhxfqUBuVXhfl3r2Hw124GXJ8e5kh++jrw==" saltValue="QEZ083cGO7sI6zMLJRwSDg==" spinCount="100000" sheet="1" formatColumns="0" formatRows="0"/>
  <mergeCells count="10">
    <mergeCell ref="Z1:AE1"/>
    <mergeCell ref="A1:F1"/>
    <mergeCell ref="B76:H76"/>
    <mergeCell ref="A2:B2"/>
    <mergeCell ref="B70:H70"/>
    <mergeCell ref="B71:H71"/>
    <mergeCell ref="B72:H72"/>
    <mergeCell ref="B74:H74"/>
    <mergeCell ref="B75:H75"/>
    <mergeCell ref="B73:H73"/>
  </mergeCells>
  <conditionalFormatting sqref="A9:H17 A8:C8 F8:H8 A19:H19 A18:C18 F18:H18 A21:H30 A20:C20 F20:H20 A32:H35 A31:C31 F31:H31 A36:C36 F36:H36 A47:H51 A46:C46 F46:H46 A53:H53 A52:C52 F52:H52 A54:C54 F54:H54 A63:H66 A62:C62 F62:H62 A68:H68 A67:C67 F67:H67 A55:H61 A37:H45">
    <cfRule type="expression" dxfId="164" priority="3848">
      <formula>$C$3="Yes, section requirements are not applicable"</formula>
    </cfRule>
  </conditionalFormatting>
  <conditionalFormatting sqref="E8 E18 E20 E31 E36 E46 E52 E54 E62 E67">
    <cfRule type="expression" dxfId="163" priority="42">
      <formula>$AN8=1</formula>
    </cfRule>
    <cfRule type="expression" dxfId="162" priority="43">
      <formula>$C$3="Yes, section requirements are not included in the contract amendment"</formula>
    </cfRule>
    <cfRule type="expression" dxfId="161" priority="44">
      <formula>OR($AG8=TRUE,$AF8=TRUE)</formula>
    </cfRule>
  </conditionalFormatting>
  <conditionalFormatting sqref="A9:H17">
    <cfRule type="expression" dxfId="160" priority="4587">
      <formula>$E$8="N/A"</formula>
    </cfRule>
  </conditionalFormatting>
  <conditionalFormatting sqref="A19:H19">
    <cfRule type="expression" dxfId="159" priority="4693">
      <formula>$E$18="N/A"</formula>
    </cfRule>
  </conditionalFormatting>
  <conditionalFormatting sqref="A21:H30">
    <cfRule type="expression" dxfId="158" priority="4787">
      <formula>$E$20="N/A"</formula>
    </cfRule>
  </conditionalFormatting>
  <conditionalFormatting sqref="A32:H35">
    <cfRule type="expression" dxfId="157" priority="4869">
      <formula>$E$31="N/A"</formula>
    </cfRule>
  </conditionalFormatting>
  <conditionalFormatting sqref="A37:H45">
    <cfRule type="expression" dxfId="156" priority="4939">
      <formula>$E$36="N/A"</formula>
    </cfRule>
  </conditionalFormatting>
  <conditionalFormatting sqref="A47:H51">
    <cfRule type="expression" dxfId="155" priority="4997">
      <formula>$E$46="N/A"</formula>
    </cfRule>
  </conditionalFormatting>
  <conditionalFormatting sqref="A53:H53">
    <cfRule type="expression" dxfId="154" priority="5043">
      <formula>$E$52="N/A"</formula>
    </cfRule>
  </conditionalFormatting>
  <conditionalFormatting sqref="A55:H61">
    <cfRule type="expression" dxfId="153" priority="5077">
      <formula>$E$54="N/A"</formula>
    </cfRule>
  </conditionalFormatting>
  <conditionalFormatting sqref="A63:H66">
    <cfRule type="expression" dxfId="152" priority="5099">
      <formula>$E$62="N/A"</formula>
    </cfRule>
  </conditionalFormatting>
  <conditionalFormatting sqref="A68:H68">
    <cfRule type="expression" dxfId="151" priority="5109">
      <formula>$E$67="N/A"</formula>
    </cfRule>
  </conditionalFormatting>
  <conditionalFormatting sqref="A9:H68">
    <cfRule type="expression" dxfId="150" priority="2">
      <formula>$X9=TRUE</formula>
    </cfRule>
  </conditionalFormatting>
  <dataValidations count="3">
    <dataValidation type="list" allowBlank="1" showInputMessage="1" showErrorMessage="1" sqref="C3" xr:uid="{00000000-0002-0000-0800-000000000000}">
      <formula1>$K$2:$K$3</formula1>
    </dataValidation>
    <dataValidation type="list" allowBlank="1" showInputMessage="1" showErrorMessage="1" sqref="E19 E21:E30 E53 E37:E45 E68 E9:E17 E32:E35 E47:E51 E63:E66 E55:E61" xr:uid="{A43150AD-66E3-4449-9E8E-9865D7380E3A}">
      <formula1>$J$1:$J$4</formula1>
    </dataValidation>
    <dataValidation type="list" allowBlank="1" showInputMessage="1" showErrorMessage="1" sqref="E8 E18 E20 E31 E36 E46 E52 E54 E62 E67" xr:uid="{042BCCA1-BBFE-4E16-8438-015DF7289C79}">
      <formula1>$AP$1</formula1>
    </dataValidation>
  </dataValidations>
  <hyperlinks>
    <hyperlink ref="D14" location="'E. Providers &amp; Network'!A70" display="'E. Providers &amp; Network'!A70" xr:uid="{C8694291-B03C-4D5E-AB2E-05BEC3432738}"/>
    <hyperlink ref="D42" location="'E. Providers &amp; Network'!A72" display="'E. Providers &amp; Network'!A72" xr:uid="{4F5C4D10-90C3-4FA8-9097-58AD846E9442}"/>
    <hyperlink ref="D56" location="'E. Providers &amp; Network'!A74" display="'E. Providers &amp; Network'!A74" xr:uid="{A3C5C042-ACBF-40C0-AD78-AC00ABB89E96}"/>
    <hyperlink ref="D63" location="'E. Providers &amp; Network'!A75" display="'E. Providers &amp; Network'!A75" xr:uid="{20322BA9-B6D7-4990-B551-D729CD886FF2}"/>
    <hyperlink ref="D68" location="'E. Providers &amp; Network'!A76" display="'E. Providers &amp; Network'!A76" xr:uid="{3B8E7C9A-7D42-4869-AB29-17807C91A6A1}"/>
    <hyperlink ref="A70" location="'E. Providers &amp; Network'!D14" display="'E. Providers &amp; Network'!D14" xr:uid="{DBB3B0C6-9CD0-4C75-BE6C-99439077CAE0}"/>
    <hyperlink ref="A72" location="'E. Providers &amp; Network'!D42" display="'E. Providers &amp; Network'!D42" xr:uid="{0A3B0BFF-9E70-4A8E-A5D9-40E98AF2BD87}"/>
    <hyperlink ref="A75" location="'E. Providers &amp; Network'!D63" display="'E. Providers &amp; Network'!D63" xr:uid="{E1D4123E-B349-49AC-AF27-4DCC8954E4BB}"/>
    <hyperlink ref="A76" location="'E. Providers &amp; Network'!D68" display="'E. Providers &amp; Network'!D68" xr:uid="{83ED23E4-C50F-4C67-BC93-901CEEB45856}"/>
    <hyperlink ref="A74" location="'E. Providers &amp; Network'!D56" display="'E. Providers &amp; Network'!D56" xr:uid="{5CA46DC4-AD2F-4F14-9AFC-0D93A4B36C84}"/>
    <hyperlink ref="A71" location="'E. Providers &amp; Network'!D15" display="'E. Providers &amp; Network'!D15" xr:uid="{BA935A69-31EE-4830-8840-5B337F6D83A0}"/>
    <hyperlink ref="D15" location="'E. Providers &amp; Network'!A71" display="'E. Providers &amp; Network'!A71" xr:uid="{7DF24FA1-54E4-491B-8306-7847A38621EA}"/>
    <hyperlink ref="D43" location="'E. Providers &amp; Network'!A72" display="3,4" xr:uid="{08F7537F-73BE-4E67-9298-17854EF1DCA9}"/>
    <hyperlink ref="A73" location="'E. Providers &amp; Network'!D43" display="'E. Providers &amp; Network'!D43" xr:uid="{28E32502-7025-4BBB-ABFB-B5CA7267FBC7}"/>
    <hyperlink ref="D44" location="'E. Providers &amp; Network'!A72" display="'E. Providers &amp; Network'!A72" xr:uid="{7284B117-B048-4558-95F4-C005ECA480EE}"/>
    <hyperlink ref="D45" location="'E. Providers &amp; Network'!A72" display="'E. Providers &amp; Network'!A72" xr:uid="{83B7991F-3148-4583-83FC-FAC8A0690403}"/>
  </hyperlinks>
  <pageMargins left="0.25" right="0.25" top="0.75" bottom="0.75" header="0.3" footer="0.3"/>
  <pageSetup scale="78" fitToHeight="0" orientation="landscape" horizontalDpi="4294967293" verticalDpi="4294967293" r:id="rId1"/>
  <extLst>
    <ext xmlns:x14="http://schemas.microsoft.com/office/spreadsheetml/2009/9/main" uri="{78C0D931-6437-407d-A8EE-F0AAD7539E65}">
      <x14:conditionalFormattings>
        <x14:conditionalFormatting xmlns:xm="http://schemas.microsoft.com/office/excel/2006/main">
          <x14:cfRule type="expression" priority="1" id="{EC082846-A276-4CA0-9C1E-FA74979A1529}">
            <xm:f>AND('Cover Sheet'!$B$29="Streamlined Review")</xm:f>
            <x14:dxf>
              <fill>
                <patternFill patternType="lightUp"/>
              </fill>
            </x14:dxf>
          </x14:cfRule>
          <xm:sqref>A9:H11 A13:H13 A19:H19 A21:H23 A25:H30 A32:H32 A34:H35 A38:H39 A48:H51 A53:H53 A55:H56 A63:H64 A44:H45</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AY141"/>
  <sheetViews>
    <sheetView zoomScale="85" zoomScaleNormal="85" workbookViewId="0">
      <pane ySplit="7" topLeftCell="A8" activePane="bottomLeft" state="frozen"/>
      <selection pane="bottomLeft" activeCell="B10" sqref="B10"/>
    </sheetView>
  </sheetViews>
  <sheetFormatPr defaultColWidth="9.28515625" defaultRowHeight="15" x14ac:dyDescent="0.25"/>
  <cols>
    <col min="1" max="1" width="10.7109375" customWidth="1"/>
    <col min="2" max="2" width="29.42578125" style="7" customWidth="1"/>
    <col min="3" max="3" width="79" style="152" customWidth="1"/>
    <col min="4" max="4" width="7.5703125" style="8" customWidth="1"/>
    <col min="5" max="5" width="8.5703125" style="5" customWidth="1"/>
    <col min="6" max="6" width="8.5703125" customWidth="1"/>
    <col min="7" max="7" width="22.28515625" customWidth="1"/>
    <col min="8" max="8" width="26.28515625" customWidth="1"/>
    <col min="9" max="9" width="10.7109375" style="141" hidden="1" customWidth="1"/>
    <col min="10" max="10" width="9.5703125" style="139" hidden="1" customWidth="1"/>
    <col min="11" max="12" width="6.28515625" style="139" hidden="1" customWidth="1"/>
    <col min="13" max="13" width="12.42578125" style="138" hidden="1" customWidth="1"/>
    <col min="14" max="15" width="6.28515625" style="116" hidden="1" customWidth="1"/>
    <col min="16" max="16" width="9.42578125" style="116" hidden="1" customWidth="1"/>
    <col min="17" max="17" width="8.5703125" style="116" hidden="1" customWidth="1"/>
    <col min="18" max="20" width="12.42578125" style="117" hidden="1" customWidth="1"/>
    <col min="21" max="21" width="21" style="122" hidden="1" customWidth="1"/>
    <col min="22" max="31" width="23.5703125" style="116" hidden="1" customWidth="1"/>
    <col min="32" max="32" width="18.42578125" style="116" hidden="1" customWidth="1"/>
    <col min="33" max="33" width="32.42578125" style="121" hidden="1" customWidth="1"/>
    <col min="34" max="34" width="26.5703125" style="88" hidden="1" customWidth="1"/>
    <col min="35" max="35" width="67.28515625" style="69" hidden="1" customWidth="1"/>
    <col min="36" max="36" width="35.7109375" style="106" hidden="1" customWidth="1"/>
    <col min="37" max="37" width="14.28515625" style="69" hidden="1" customWidth="1"/>
    <col min="38" max="38" width="74" style="84" hidden="1" customWidth="1"/>
    <col min="39" max="39" width="19.28515625" style="69" hidden="1" customWidth="1"/>
    <col min="40" max="40" width="13.42578125" style="69" hidden="1" customWidth="1"/>
    <col min="41" max="49" width="9.28515625" style="69" hidden="1" customWidth="1"/>
    <col min="50" max="50" width="11" hidden="1" customWidth="1"/>
    <col min="51" max="51" width="9.28515625" hidden="1" customWidth="1"/>
    <col min="52" max="67" width="9.28515625" customWidth="1"/>
  </cols>
  <sheetData>
    <row r="1" spans="1:50" ht="27" customHeight="1" thickBot="1" x14ac:dyDescent="0.3">
      <c r="A1" s="573" t="s">
        <v>1240</v>
      </c>
      <c r="B1" s="574"/>
      <c r="C1" s="574"/>
      <c r="D1" s="574"/>
      <c r="E1" s="574"/>
      <c r="F1" s="574"/>
      <c r="G1" s="548"/>
      <c r="H1" s="280"/>
      <c r="I1" s="25"/>
      <c r="J1" s="26" t="s">
        <v>311</v>
      </c>
      <c r="K1" s="27"/>
      <c r="L1" s="51"/>
      <c r="M1" s="52" t="b">
        <f>IF($C$2="Base contract","Blist",IF($C$2="Contract Amendment","Alist"))</f>
        <v>0</v>
      </c>
      <c r="N1" s="53"/>
      <c r="O1" s="29"/>
      <c r="P1" s="53"/>
      <c r="Q1" s="53"/>
      <c r="R1" s="53"/>
      <c r="S1" s="53"/>
      <c r="T1" s="53"/>
      <c r="U1" s="38"/>
      <c r="V1" s="112"/>
      <c r="W1" s="112"/>
      <c r="X1" s="545"/>
      <c r="Y1" s="545"/>
      <c r="Z1" s="581" t="s">
        <v>313</v>
      </c>
      <c r="AA1" s="582"/>
      <c r="AB1" s="582"/>
      <c r="AC1" s="582"/>
      <c r="AD1" s="582"/>
      <c r="AE1" s="582"/>
      <c r="AF1" s="54"/>
      <c r="AG1" s="65"/>
      <c r="AH1" s="546"/>
      <c r="AI1" s="57"/>
      <c r="AJ1" s="46" t="s">
        <v>318</v>
      </c>
      <c r="AK1" s="56"/>
      <c r="AL1" s="56"/>
      <c r="AM1" s="56"/>
      <c r="AN1" s="56"/>
      <c r="AP1" s="69" t="s">
        <v>319</v>
      </c>
    </row>
    <row r="2" spans="1:50" ht="24" customHeight="1" x14ac:dyDescent="0.25">
      <c r="A2" s="588" t="s">
        <v>320</v>
      </c>
      <c r="B2" s="589"/>
      <c r="C2" s="551">
        <f>'Cover Sheet'!B6</f>
        <v>0</v>
      </c>
      <c r="D2" s="218"/>
      <c r="E2" s="281"/>
      <c r="F2" s="282"/>
      <c r="G2" s="283" t="s">
        <v>1077</v>
      </c>
      <c r="H2" s="284" t="str">
        <f>I2</f>
        <v>Not Started</v>
      </c>
      <c r="I2" s="25" t="str">
        <f>IF(OR($C$3="Yes, section requirements are not applicable",$C$3="Yes, all requirements on the sheet are crosshatched",AND(E8="N/A",E29="N/A",E31="N/A",E33="N/A",E38="N/A",E52="N/A",E56="N/A",E60="N/A",E67="N/A",E69="N/A",E78="N/A",E87="N/A",E91="N/A",E95="N/A",E97="N/A")),"Section Review N/A",IF((COUNTA(A8:A104)+COUNTBLANK(A8:A104)=COUNTBLANK(E8:E104)),"Not Started",IF((COUNTA(A8:A104)&gt;SUM(U8:U104)),"In Progress","Section Review Complete")))</f>
        <v>Not Started</v>
      </c>
      <c r="J2" s="25" t="s">
        <v>322</v>
      </c>
      <c r="K2" s="27" t="s">
        <v>323</v>
      </c>
      <c r="L2" s="27"/>
      <c r="M2" s="28"/>
      <c r="N2" s="53"/>
      <c r="O2" s="29"/>
      <c r="P2" s="53"/>
      <c r="Q2" s="53"/>
      <c r="R2" s="53"/>
      <c r="S2" s="53"/>
      <c r="T2" s="53"/>
      <c r="U2" s="38"/>
      <c r="V2" s="59"/>
      <c r="W2" s="59"/>
      <c r="X2" s="59"/>
      <c r="Y2" s="59"/>
      <c r="Z2" s="54" t="str">
        <f>IF('Cover Sheet'!$B$13="Yes","MCO","--")</f>
        <v>MCO</v>
      </c>
      <c r="AA2" s="54" t="str">
        <f>IF('Cover Sheet'!$B$14="Yes","HIO","--")</f>
        <v>--</v>
      </c>
      <c r="AB2" s="54" t="str">
        <f>IF('Cover Sheet'!$B$15="Yes","PIHP","--")</f>
        <v>--</v>
      </c>
      <c r="AC2" s="54" t="str">
        <f>IF('Cover Sheet'!$B$16="Yes","PAHP","--")</f>
        <v>--</v>
      </c>
      <c r="AD2" s="54" t="str">
        <f>IF('Cover Sheet'!$B$17="Yes","NEMT PAHP","--")</f>
        <v>--</v>
      </c>
      <c r="AE2" s="54" t="str">
        <f>IF('Cover Sheet'!$B$18="Yes","PCCME","--")</f>
        <v>--</v>
      </c>
      <c r="AF2" s="54"/>
      <c r="AG2" s="53"/>
      <c r="AH2" s="29"/>
      <c r="AI2" s="57"/>
      <c r="AJ2" s="61">
        <f>IF('Cover Sheet'!$B$4="BOTH",1,0)</f>
        <v>1</v>
      </c>
      <c r="AK2" s="56"/>
      <c r="AL2" s="56" t="s">
        <v>224</v>
      </c>
      <c r="AM2" s="56"/>
      <c r="AN2" s="56"/>
    </row>
    <row r="3" spans="1:50" ht="15.75" thickBot="1" x14ac:dyDescent="0.3">
      <c r="A3" s="305" t="s">
        <v>324</v>
      </c>
      <c r="B3" s="306"/>
      <c r="C3" s="307" t="s">
        <v>325</v>
      </c>
      <c r="D3" s="226"/>
      <c r="E3" s="285"/>
      <c r="F3" s="286"/>
      <c r="G3" s="287" t="s">
        <v>326</v>
      </c>
      <c r="H3" s="288" t="str">
        <f>I3</f>
        <v>Not Started</v>
      </c>
      <c r="I3" s="25" t="str">
        <f>IF(OR($C$3="Yes, section requirements are not applicable",$C$3="Yes, all requirements on the sheet are crosshatched",AND(E8="N/A",E29="N/A",E31="N/A",E33="N/A",E38="N/A",E52="N/A",E56="N/A",E60="N/A",E67="N/A",E69="N/A",E78="N/A",E87="N/A",E91="N/A",E95="N/A",E97="N/A")),"Section Review N/A",IF((COUNTA(A8:A104)+COUNTBLANK(A8:A104))=COUNTBLANK(E8:E104),"Not Started",IF(OR(COUNTA(A8:A104)+COUNTBLANK(A8:A104)&lt;&gt;COUNTIF(E8:E104,"Yes")+COUNTIF(E8:E104,"Met")+COUNTIF(E8:E104,"N/A")+COUNTBLANK(E8:E104),COUNTA(A8:A104)&lt;&gt;SUM(U8:U104)),"Revisions Needed","Approved")))</f>
        <v>Not Started</v>
      </c>
      <c r="J3" s="25" t="s">
        <v>327</v>
      </c>
      <c r="K3" s="27" t="s">
        <v>325</v>
      </c>
      <c r="L3" s="27"/>
      <c r="M3" s="28"/>
      <c r="N3" s="53"/>
      <c r="O3" s="29"/>
      <c r="P3" s="53"/>
      <c r="Q3" s="53"/>
      <c r="R3" s="53"/>
      <c r="S3" s="53"/>
      <c r="T3" s="53"/>
      <c r="U3" s="38"/>
      <c r="V3" s="54"/>
      <c r="W3" s="54"/>
      <c r="X3" s="56"/>
      <c r="Y3" s="56"/>
      <c r="Z3" s="56"/>
      <c r="AA3" s="56"/>
      <c r="AB3" s="56"/>
      <c r="AC3" s="56"/>
      <c r="AD3" s="56"/>
      <c r="AE3" s="56"/>
      <c r="AF3" s="54"/>
      <c r="AG3" s="54"/>
      <c r="AH3" s="54"/>
      <c r="AI3" s="57"/>
      <c r="AJ3" s="54"/>
      <c r="AK3" s="56"/>
      <c r="AL3" s="56"/>
      <c r="AM3" s="56"/>
      <c r="AN3" s="56"/>
    </row>
    <row r="4" spans="1:50" ht="18" hidden="1" customHeight="1" x14ac:dyDescent="0.25">
      <c r="A4" s="231"/>
      <c r="B4" s="232"/>
      <c r="C4" s="289"/>
      <c r="D4" s="234"/>
      <c r="E4" s="231"/>
      <c r="F4" s="290"/>
      <c r="G4" s="290"/>
      <c r="H4" s="290"/>
      <c r="I4" s="25"/>
      <c r="J4" s="25" t="s">
        <v>319</v>
      </c>
      <c r="K4" s="27"/>
      <c r="L4" s="27"/>
      <c r="M4" s="28"/>
      <c r="N4" s="53"/>
      <c r="O4" s="29"/>
      <c r="P4" s="53"/>
      <c r="Q4" s="53"/>
      <c r="R4" s="53"/>
      <c r="S4" s="53"/>
      <c r="T4" s="53"/>
      <c r="U4" s="38"/>
      <c r="V4" s="54"/>
      <c r="W4" s="54"/>
      <c r="X4" s="56"/>
      <c r="Y4" s="56"/>
      <c r="Z4" s="56"/>
      <c r="AA4" s="56"/>
      <c r="AB4" s="56"/>
      <c r="AC4" s="56"/>
      <c r="AD4" s="56"/>
      <c r="AE4" s="56"/>
      <c r="AF4" s="54"/>
      <c r="AG4" s="54"/>
      <c r="AH4" s="54"/>
      <c r="AI4" s="57"/>
      <c r="AJ4" s="54"/>
      <c r="AK4" s="56"/>
      <c r="AL4" s="56"/>
      <c r="AM4" s="56"/>
      <c r="AN4" s="56"/>
    </row>
    <row r="5" spans="1:50" ht="18" hidden="1" customHeight="1" x14ac:dyDescent="0.25">
      <c r="A5" s="237"/>
      <c r="B5" s="238"/>
      <c r="C5" s="291"/>
      <c r="D5" s="239"/>
      <c r="E5" s="237"/>
      <c r="F5" s="292"/>
      <c r="G5" s="292"/>
      <c r="H5" s="292"/>
      <c r="I5" s="25"/>
      <c r="J5" s="25"/>
      <c r="K5" s="27"/>
      <c r="L5" s="27"/>
      <c r="M5" s="28"/>
      <c r="N5" s="53"/>
      <c r="O5" s="29"/>
      <c r="P5" s="53"/>
      <c r="Q5" s="53"/>
      <c r="R5" s="53" t="s">
        <v>330</v>
      </c>
      <c r="S5" s="53"/>
      <c r="T5" s="53"/>
      <c r="U5" s="38"/>
      <c r="V5" s="54"/>
      <c r="W5" s="54"/>
      <c r="X5" s="56"/>
      <c r="Y5" s="56"/>
      <c r="Z5" s="56"/>
      <c r="AA5" s="56"/>
      <c r="AB5" s="56"/>
      <c r="AC5" s="56"/>
      <c r="AD5" s="56"/>
      <c r="AE5" s="56"/>
      <c r="AF5" s="54"/>
      <c r="AG5" s="54"/>
      <c r="AH5" s="54"/>
      <c r="AI5" s="57"/>
      <c r="AJ5" s="54"/>
      <c r="AK5" s="56"/>
      <c r="AL5" s="56"/>
      <c r="AM5" s="56"/>
      <c r="AN5" s="56"/>
      <c r="AP5" s="69" t="s">
        <v>331</v>
      </c>
    </row>
    <row r="6" spans="1:50" ht="18" hidden="1" customHeight="1" thickBot="1" x14ac:dyDescent="0.3">
      <c r="A6" s="242"/>
      <c r="B6" s="243"/>
      <c r="C6" s="244"/>
      <c r="D6" s="245"/>
      <c r="E6" s="246"/>
      <c r="F6" s="247"/>
      <c r="G6" s="247"/>
      <c r="H6" s="247"/>
      <c r="I6" s="26" t="s">
        <v>466</v>
      </c>
      <c r="J6" s="25"/>
      <c r="K6" s="32"/>
      <c r="L6" s="25"/>
      <c r="M6" s="53"/>
      <c r="N6" s="53"/>
      <c r="O6" s="53"/>
      <c r="P6" s="33" t="s">
        <v>332</v>
      </c>
      <c r="Q6" s="33" t="s">
        <v>333</v>
      </c>
      <c r="R6" s="63"/>
      <c r="S6" s="63"/>
      <c r="T6" s="63"/>
      <c r="U6" s="38"/>
      <c r="V6" s="54"/>
      <c r="W6" s="54"/>
      <c r="X6" s="101" t="s">
        <v>351</v>
      </c>
      <c r="Y6" s="101" t="s">
        <v>352</v>
      </c>
      <c r="Z6" s="101"/>
      <c r="AA6" s="101"/>
      <c r="AB6" s="101"/>
      <c r="AC6" s="101"/>
      <c r="AD6" s="101"/>
      <c r="AE6" s="101"/>
      <c r="AF6" s="54"/>
      <c r="AG6" s="54"/>
      <c r="AH6" s="112"/>
      <c r="AI6" s="57"/>
      <c r="AJ6" s="54"/>
      <c r="AK6" s="56"/>
      <c r="AL6" s="56"/>
      <c r="AM6" s="56" t="s">
        <v>336</v>
      </c>
      <c r="AN6" s="56"/>
    </row>
    <row r="7" spans="1:50" ht="38.450000000000003" customHeight="1" thickBot="1" x14ac:dyDescent="0.3">
      <c r="A7" s="249" t="s">
        <v>337</v>
      </c>
      <c r="B7" s="250" t="s">
        <v>338</v>
      </c>
      <c r="C7" s="251" t="s">
        <v>339</v>
      </c>
      <c r="D7" s="251" t="s">
        <v>340</v>
      </c>
      <c r="E7" s="251" t="s">
        <v>341</v>
      </c>
      <c r="F7" s="251" t="s">
        <v>342</v>
      </c>
      <c r="G7" s="251" t="s">
        <v>343</v>
      </c>
      <c r="H7" s="293" t="s">
        <v>344</v>
      </c>
      <c r="I7" s="34" t="s">
        <v>168</v>
      </c>
      <c r="J7" s="34" t="s">
        <v>178</v>
      </c>
      <c r="K7" s="34" t="s">
        <v>185</v>
      </c>
      <c r="L7" s="35" t="s">
        <v>190</v>
      </c>
      <c r="M7" s="36" t="s">
        <v>195</v>
      </c>
      <c r="N7" s="37" t="s">
        <v>345</v>
      </c>
      <c r="O7" s="37" t="s">
        <v>200</v>
      </c>
      <c r="P7" s="38"/>
      <c r="Q7" s="38"/>
      <c r="R7" s="39" t="s">
        <v>346</v>
      </c>
      <c r="S7" s="39"/>
      <c r="T7" s="39"/>
      <c r="U7" s="50" t="s">
        <v>467</v>
      </c>
      <c r="V7" s="101" t="s">
        <v>353</v>
      </c>
      <c r="W7" s="546"/>
      <c r="X7" s="158"/>
      <c r="Y7" s="158"/>
      <c r="Z7" s="158" t="s">
        <v>168</v>
      </c>
      <c r="AA7" s="158" t="s">
        <v>178</v>
      </c>
      <c r="AB7" s="158" t="s">
        <v>185</v>
      </c>
      <c r="AC7" s="158" t="s">
        <v>190</v>
      </c>
      <c r="AD7" s="158" t="s">
        <v>195</v>
      </c>
      <c r="AE7" s="158" t="s">
        <v>200</v>
      </c>
      <c r="AF7" s="101" t="s">
        <v>354</v>
      </c>
      <c r="AG7" s="101" t="s">
        <v>355</v>
      </c>
      <c r="AH7" s="70" t="s">
        <v>361</v>
      </c>
      <c r="AI7" s="70" t="s">
        <v>362</v>
      </c>
      <c r="AJ7" s="107" t="s">
        <v>363</v>
      </c>
      <c r="AK7" s="70" t="s">
        <v>364</v>
      </c>
      <c r="AL7" s="70" t="s">
        <v>365</v>
      </c>
      <c r="AM7" s="56" t="s">
        <v>366</v>
      </c>
      <c r="AN7" s="56" t="s">
        <v>367</v>
      </c>
      <c r="AO7" s="69" t="s">
        <v>368</v>
      </c>
      <c r="AP7" s="69" t="s">
        <v>331</v>
      </c>
      <c r="AQ7" s="80" t="s">
        <v>369</v>
      </c>
      <c r="AR7" s="80" t="s">
        <v>370</v>
      </c>
      <c r="AS7" s="80" t="s">
        <v>371</v>
      </c>
      <c r="AT7" s="80" t="s">
        <v>372</v>
      </c>
      <c r="AU7" s="81" t="s">
        <v>373</v>
      </c>
      <c r="AV7" s="82" t="s">
        <v>374</v>
      </c>
      <c r="AW7" s="83" t="s">
        <v>375</v>
      </c>
      <c r="AX7" t="s">
        <v>376</v>
      </c>
    </row>
    <row r="8" spans="1:50" ht="17.25" customHeight="1" thickBot="1" x14ac:dyDescent="0.3">
      <c r="A8" s="488"/>
      <c r="B8" s="489"/>
      <c r="C8" s="490" t="s">
        <v>43</v>
      </c>
      <c r="D8" s="491"/>
      <c r="E8" s="443"/>
      <c r="F8" s="492"/>
      <c r="G8" s="492"/>
      <c r="H8" s="493"/>
      <c r="I8" s="74"/>
      <c r="J8" s="74"/>
      <c r="K8" s="74"/>
      <c r="L8" s="87"/>
      <c r="M8" s="87"/>
      <c r="R8" s="116"/>
      <c r="S8" s="116"/>
      <c r="T8" s="116"/>
      <c r="AF8" s="86"/>
      <c r="AI8" s="89"/>
      <c r="AJ8" s="89"/>
      <c r="AK8" s="89"/>
      <c r="AL8" s="89"/>
      <c r="AM8" s="68"/>
      <c r="AN8" s="68"/>
    </row>
    <row r="9" spans="1:50" ht="38.25" x14ac:dyDescent="0.25">
      <c r="A9" s="294" t="s">
        <v>1241</v>
      </c>
      <c r="B9" s="295" t="s">
        <v>1242</v>
      </c>
      <c r="C9" s="295" t="s">
        <v>1243</v>
      </c>
      <c r="D9" s="470">
        <v>1</v>
      </c>
      <c r="E9" s="297"/>
      <c r="F9" s="297"/>
      <c r="G9" s="297"/>
      <c r="H9" s="214"/>
      <c r="I9" s="92" t="s">
        <v>168</v>
      </c>
      <c r="J9" s="92" t="s">
        <v>178</v>
      </c>
      <c r="K9" s="92" t="s">
        <v>185</v>
      </c>
      <c r="L9" s="71" t="s">
        <v>190</v>
      </c>
      <c r="M9" s="71"/>
      <c r="N9" s="71"/>
      <c r="O9" s="71"/>
      <c r="P9" s="71" t="s">
        <v>380</v>
      </c>
      <c r="Q9" s="71" t="b">
        <f>IF(OR(AND($C$2="Base contract",$C$3="No, section requirements must be reviewed", $AF9=FALSE,$AG9=FALSE),AND($C$2="Contract amendment",$C$3="No, section requirements must be reviewed",$AF9=FALSE,$AG9=FALSE)),"MUNN")</f>
        <v>0</v>
      </c>
      <c r="R9" s="72"/>
      <c r="S9" s="72"/>
      <c r="T9" s="72"/>
      <c r="U9" s="97">
        <f>IF(OR($E$8="N/A",AND(AX9=0,'Cover Sheet'!$B$29="Streamlined Review"),AND(E9="Met",F9&lt;&gt;""),AND(E9="Not met",G9&lt;&gt;""),AND(E9="Unsure",G9&lt;&gt;""),AND(E9="N/A",H9&lt;&gt;""),AND(Y9=TRUE)),1,0)</f>
        <v>0</v>
      </c>
      <c r="X9" s="126" t="b">
        <f>IF(OR(Y9=TRUE),TRUE,FALSE)</f>
        <v>0</v>
      </c>
      <c r="Y9" s="126" t="b">
        <f>IF(SUM(Z9:AE9)&lt;1,TRUE,FALSE)</f>
        <v>0</v>
      </c>
      <c r="Z9" s="126">
        <f>IF($Z$2=I9,1,0)</f>
        <v>1</v>
      </c>
      <c r="AA9" s="126">
        <f>IF($AA$2=J9,1,0)</f>
        <v>0</v>
      </c>
      <c r="AB9" s="126">
        <f>IF($AB$2=K9,1,0)</f>
        <v>0</v>
      </c>
      <c r="AC9" s="126">
        <f>IF($AC$2=L9,1,0)</f>
        <v>0</v>
      </c>
      <c r="AD9" s="126">
        <f>IF($AD$2=M9,1,0)</f>
        <v>0</v>
      </c>
      <c r="AE9" s="126">
        <f>IF($AE$2=O9,1,0)</f>
        <v>0</v>
      </c>
      <c r="AF9" s="53" t="b">
        <f t="shared" ref="AF9:AF28" si="0">IF($H$1&lt;&gt;0,IF($H$1&lt;&gt;I9,IF($H$1&lt;&gt;J9,IF($H$1&lt;&gt;K9,IF($H$1&lt;&gt;L9,IF($H$1&lt;&gt;M9,IF($H$1&lt;&gt;N9,IF($H$1&lt;&gt;O9,TRUE,FALSE))))))))</f>
        <v>0</v>
      </c>
      <c r="AG9" s="54" t="b">
        <f>IF(AH9=TRUE,TRUE,FALSE)</f>
        <v>0</v>
      </c>
      <c r="AH9" s="56" t="b">
        <f>IF(OR(AND($H$6="Medicaid",MID($A9,1,FIND(".",$A9,1)-1)="II"),AND($H$6="CHIP",MID($A9,1,FIND(".",$A9,1)-1)="I")),TRUE,FALSE)</f>
        <v>0</v>
      </c>
      <c r="AP9" s="69" t="str">
        <f>IF(AO9=1,1,"")</f>
        <v/>
      </c>
      <c r="AX9">
        <v>1</v>
      </c>
    </row>
    <row r="10" spans="1:50" ht="38.25" x14ac:dyDescent="0.25">
      <c r="A10" s="294" t="s">
        <v>1244</v>
      </c>
      <c r="B10" s="295" t="s">
        <v>1245</v>
      </c>
      <c r="C10" s="295" t="s">
        <v>1246</v>
      </c>
      <c r="D10" s="447" t="s">
        <v>621</v>
      </c>
      <c r="E10" s="297"/>
      <c r="F10" s="297"/>
      <c r="G10" s="297"/>
      <c r="H10" s="214"/>
      <c r="I10" s="92" t="s">
        <v>168</v>
      </c>
      <c r="J10" s="92" t="s">
        <v>178</v>
      </c>
      <c r="K10" s="92" t="s">
        <v>185</v>
      </c>
      <c r="L10" s="71" t="s">
        <v>190</v>
      </c>
      <c r="M10" s="71"/>
      <c r="N10" s="71"/>
      <c r="O10" s="71"/>
      <c r="P10" s="71" t="s">
        <v>380</v>
      </c>
      <c r="Q10" s="71" t="b">
        <f t="shared" ref="Q10:Q28" si="1">IF(OR(AND($C$2="Base contract",$C$3="No, section requirements must be reviewed", $AF10=FALSE,$AG10=FALSE),AND($C$2="Contract amendment",$C$3="No, section requirements must be reviewed",$AF10=FALSE,$AG10=FALSE)),"MUNN")</f>
        <v>0</v>
      </c>
      <c r="R10" s="72"/>
      <c r="S10" s="72"/>
      <c r="T10" s="72"/>
      <c r="U10" s="97">
        <f>IF(OR($E$8="N/A",AND(AX10=0,'Cover Sheet'!$B$29="Streamlined Review"),AND(E10="Met",F10&lt;&gt;""),AND(E10="Not met",G10&lt;&gt;""),AND(E10="Unsure",G10&lt;&gt;""),AND(E10="N/A",H10&lt;&gt;""),AND(Y10=TRUE)),1,0)</f>
        <v>0</v>
      </c>
      <c r="X10" s="126" t="b">
        <f t="shared" ref="X10:X104" si="2">IF(OR(Y10=TRUE),TRUE,FALSE)</f>
        <v>0</v>
      </c>
      <c r="Y10" s="126" t="b">
        <f t="shared" ref="Y10:Y28" si="3">IF(SUM(Z10:AE10)&lt;1,TRUE,FALSE)</f>
        <v>0</v>
      </c>
      <c r="Z10" s="126">
        <f t="shared" ref="Z10:Z28" si="4">IF($Z$2=I10,1,0)</f>
        <v>1</v>
      </c>
      <c r="AA10" s="126">
        <f t="shared" ref="AA10:AA28" si="5">IF($AA$2=J10,1,0)</f>
        <v>0</v>
      </c>
      <c r="AB10" s="126">
        <f t="shared" ref="AB10:AB28" si="6">IF($AB$2=K10,1,0)</f>
        <v>0</v>
      </c>
      <c r="AC10" s="126">
        <f t="shared" ref="AC10:AC28" si="7">IF($AC$2=L10,1,0)</f>
        <v>0</v>
      </c>
      <c r="AD10" s="126">
        <f t="shared" ref="AD10:AD28" si="8">IF($AD$2=M10,1,0)</f>
        <v>0</v>
      </c>
      <c r="AE10" s="126">
        <f t="shared" ref="AE10:AE28" si="9">IF($AE$2=O10,1,0)</f>
        <v>0</v>
      </c>
      <c r="AF10" s="53" t="b">
        <f t="shared" si="0"/>
        <v>0</v>
      </c>
      <c r="AG10" s="54" t="b">
        <f t="shared" ref="AG10:AG28" si="10">IF(AH10=TRUE,TRUE,FALSE)</f>
        <v>0</v>
      </c>
      <c r="AH10" s="56" t="b">
        <f t="shared" ref="AH10:AH28" si="11">IF(OR(AND($H$6="Medicaid",MID($A10,1,FIND(".",$A10,1)-1)="II"),AND($H$6="CHIP",MID($A10,1,FIND(".",$A10,1)-1)="I")),TRUE,FALSE)</f>
        <v>0</v>
      </c>
      <c r="AO10" s="69">
        <v>1</v>
      </c>
      <c r="AP10" s="69">
        <f t="shared" ref="AP10:AP28" si="12">IF(AO10=1,1,"")</f>
        <v>1</v>
      </c>
      <c r="AX10">
        <v>0</v>
      </c>
    </row>
    <row r="11" spans="1:50" ht="38.25" x14ac:dyDescent="0.25">
      <c r="A11" s="294" t="s">
        <v>1247</v>
      </c>
      <c r="B11" s="295" t="s">
        <v>1248</v>
      </c>
      <c r="C11" s="295" t="s">
        <v>1249</v>
      </c>
      <c r="D11" s="447">
        <v>1</v>
      </c>
      <c r="E11" s="297"/>
      <c r="F11" s="297"/>
      <c r="G11" s="297"/>
      <c r="H11" s="214"/>
      <c r="I11" s="92" t="s">
        <v>168</v>
      </c>
      <c r="J11" s="92" t="s">
        <v>178</v>
      </c>
      <c r="K11" s="92" t="s">
        <v>185</v>
      </c>
      <c r="L11" s="71" t="s">
        <v>190</v>
      </c>
      <c r="M11" s="71"/>
      <c r="N11" s="71"/>
      <c r="O11" s="71"/>
      <c r="P11" s="71" t="s">
        <v>380</v>
      </c>
      <c r="Q11" s="71" t="b">
        <f t="shared" si="1"/>
        <v>0</v>
      </c>
      <c r="R11" s="64"/>
      <c r="S11" s="64"/>
      <c r="T11" s="64"/>
      <c r="U11" s="97">
        <f>IF(OR($E$8="N/A",AND(AX11=0,'Cover Sheet'!$B$29="Streamlined Review"),AND(E11="Met",F11&lt;&gt;""),AND(E11="Not met",G11&lt;&gt;""),AND(E11="Unsure",G11&lt;&gt;""),AND(E11="N/A",H11&lt;&gt;""),AND(Y11=TRUE)),1,0)</f>
        <v>0</v>
      </c>
      <c r="X11" s="126" t="b">
        <f t="shared" si="2"/>
        <v>0</v>
      </c>
      <c r="Y11" s="126" t="b">
        <f t="shared" si="3"/>
        <v>0</v>
      </c>
      <c r="Z11" s="126">
        <f t="shared" si="4"/>
        <v>1</v>
      </c>
      <c r="AA11" s="126">
        <f t="shared" si="5"/>
        <v>0</v>
      </c>
      <c r="AB11" s="126">
        <f t="shared" si="6"/>
        <v>0</v>
      </c>
      <c r="AC11" s="126">
        <f t="shared" si="7"/>
        <v>0</v>
      </c>
      <c r="AD11" s="126">
        <f t="shared" si="8"/>
        <v>0</v>
      </c>
      <c r="AE11" s="126">
        <f t="shared" si="9"/>
        <v>0</v>
      </c>
      <c r="AF11" s="53" t="b">
        <f t="shared" si="0"/>
        <v>0</v>
      </c>
      <c r="AG11" s="54" t="b">
        <f t="shared" si="10"/>
        <v>0</v>
      </c>
      <c r="AH11" s="56" t="b">
        <f t="shared" si="11"/>
        <v>0</v>
      </c>
      <c r="AP11" s="69" t="str">
        <f t="shared" si="12"/>
        <v/>
      </c>
      <c r="AX11">
        <v>0</v>
      </c>
    </row>
    <row r="12" spans="1:50" ht="68.25" customHeight="1" x14ac:dyDescent="0.25">
      <c r="A12" s="294" t="s">
        <v>1250</v>
      </c>
      <c r="B12" s="295" t="s">
        <v>1251</v>
      </c>
      <c r="C12" s="295" t="s">
        <v>1252</v>
      </c>
      <c r="D12" s="447">
        <v>1</v>
      </c>
      <c r="E12" s="297"/>
      <c r="F12" s="297"/>
      <c r="G12" s="297"/>
      <c r="H12" s="214"/>
      <c r="I12" s="92" t="s">
        <v>168</v>
      </c>
      <c r="J12" s="92" t="s">
        <v>178</v>
      </c>
      <c r="K12" s="92" t="s">
        <v>185</v>
      </c>
      <c r="L12" s="71" t="s">
        <v>190</v>
      </c>
      <c r="M12" s="71"/>
      <c r="N12" s="71"/>
      <c r="O12" s="71"/>
      <c r="P12" s="71" t="s">
        <v>380</v>
      </c>
      <c r="Q12" s="71" t="b">
        <f t="shared" si="1"/>
        <v>0</v>
      </c>
      <c r="R12" s="64"/>
      <c r="S12" s="64"/>
      <c r="T12" s="64"/>
      <c r="U12" s="97">
        <f>IF(OR($E$8="N/A",AND(AX12=0,'Cover Sheet'!$B$29="Streamlined Review"),AND(E12="Met",F12&lt;&gt;""),AND(E12="Not met",G12&lt;&gt;""),AND(E12="Unsure",G12&lt;&gt;""),AND(E12="N/A",H12&lt;&gt;""),AND(Y12=TRUE)),1,0)</f>
        <v>0</v>
      </c>
      <c r="X12" s="126" t="b">
        <f t="shared" si="2"/>
        <v>0</v>
      </c>
      <c r="Y12" s="126" t="b">
        <f t="shared" si="3"/>
        <v>0</v>
      </c>
      <c r="Z12" s="126">
        <f t="shared" si="4"/>
        <v>1</v>
      </c>
      <c r="AA12" s="126">
        <f t="shared" si="5"/>
        <v>0</v>
      </c>
      <c r="AB12" s="126">
        <f t="shared" si="6"/>
        <v>0</v>
      </c>
      <c r="AC12" s="126">
        <f t="shared" si="7"/>
        <v>0</v>
      </c>
      <c r="AD12" s="126">
        <f t="shared" si="8"/>
        <v>0</v>
      </c>
      <c r="AE12" s="126">
        <f t="shared" si="9"/>
        <v>0</v>
      </c>
      <c r="AF12" s="53" t="b">
        <f t="shared" si="0"/>
        <v>0</v>
      </c>
      <c r="AG12" s="54" t="b">
        <f t="shared" si="10"/>
        <v>0</v>
      </c>
      <c r="AH12" s="56" t="b">
        <f t="shared" si="11"/>
        <v>0</v>
      </c>
      <c r="AP12" s="69" t="str">
        <f t="shared" si="12"/>
        <v/>
      </c>
      <c r="AX12">
        <v>0</v>
      </c>
    </row>
    <row r="13" spans="1:50" ht="35.25" customHeight="1" x14ac:dyDescent="0.25">
      <c r="A13" s="294" t="s">
        <v>1253</v>
      </c>
      <c r="B13" s="295" t="s">
        <v>1254</v>
      </c>
      <c r="C13" s="295" t="s">
        <v>1255</v>
      </c>
      <c r="D13" s="447">
        <v>1</v>
      </c>
      <c r="E13" s="297"/>
      <c r="F13" s="297"/>
      <c r="G13" s="297"/>
      <c r="H13" s="214"/>
      <c r="I13" s="92" t="s">
        <v>168</v>
      </c>
      <c r="J13" s="92" t="s">
        <v>178</v>
      </c>
      <c r="K13" s="92" t="s">
        <v>185</v>
      </c>
      <c r="L13" s="71" t="s">
        <v>190</v>
      </c>
      <c r="M13" s="71"/>
      <c r="N13" s="71"/>
      <c r="O13" s="71"/>
      <c r="P13" s="71" t="s">
        <v>380</v>
      </c>
      <c r="Q13" s="71" t="b">
        <f t="shared" si="1"/>
        <v>0</v>
      </c>
      <c r="R13" s="64"/>
      <c r="S13" s="64"/>
      <c r="T13" s="64"/>
      <c r="U13" s="97">
        <f>IF(OR($E$8="N/A",AND(AX13=0,'Cover Sheet'!$B$29="Streamlined Review"),AND(E13="Met",F13&lt;&gt;""),AND(E13="Not met",G13&lt;&gt;""),AND(E13="Unsure",G13&lt;&gt;""),AND(E13="N/A",H13&lt;&gt;""),AND(Y13=TRUE)),1,0)</f>
        <v>0</v>
      </c>
      <c r="X13" s="126" t="b">
        <f t="shared" si="2"/>
        <v>0</v>
      </c>
      <c r="Y13" s="126" t="b">
        <f t="shared" si="3"/>
        <v>0</v>
      </c>
      <c r="Z13" s="126">
        <f t="shared" si="4"/>
        <v>1</v>
      </c>
      <c r="AA13" s="126">
        <f t="shared" si="5"/>
        <v>0</v>
      </c>
      <c r="AB13" s="126">
        <f t="shared" si="6"/>
        <v>0</v>
      </c>
      <c r="AC13" s="126">
        <f t="shared" si="7"/>
        <v>0</v>
      </c>
      <c r="AD13" s="126">
        <f t="shared" si="8"/>
        <v>0</v>
      </c>
      <c r="AE13" s="126">
        <f t="shared" si="9"/>
        <v>0</v>
      </c>
      <c r="AF13" s="53" t="b">
        <f t="shared" si="0"/>
        <v>0</v>
      </c>
      <c r="AG13" s="54" t="b">
        <f t="shared" si="10"/>
        <v>0</v>
      </c>
      <c r="AH13" s="56" t="b">
        <f t="shared" si="11"/>
        <v>0</v>
      </c>
      <c r="AP13" s="69" t="str">
        <f t="shared" si="12"/>
        <v/>
      </c>
      <c r="AX13">
        <v>0</v>
      </c>
    </row>
    <row r="14" spans="1:50" ht="38.25" x14ac:dyDescent="0.25">
      <c r="A14" s="330" t="s">
        <v>1256</v>
      </c>
      <c r="B14" s="263" t="s">
        <v>1257</v>
      </c>
      <c r="C14" s="263" t="s">
        <v>1258</v>
      </c>
      <c r="D14" s="447" t="s">
        <v>667</v>
      </c>
      <c r="E14" s="297"/>
      <c r="F14" s="297"/>
      <c r="G14" s="297"/>
      <c r="H14" s="214"/>
      <c r="I14" s="92" t="s">
        <v>168</v>
      </c>
      <c r="J14" s="92" t="s">
        <v>178</v>
      </c>
      <c r="K14" s="92" t="s">
        <v>185</v>
      </c>
      <c r="L14" s="71" t="s">
        <v>190</v>
      </c>
      <c r="M14" s="71"/>
      <c r="N14" s="71"/>
      <c r="O14" s="71"/>
      <c r="P14" s="71" t="s">
        <v>380</v>
      </c>
      <c r="Q14" s="71" t="b">
        <f t="shared" si="1"/>
        <v>0</v>
      </c>
      <c r="R14" s="64"/>
      <c r="S14" s="64"/>
      <c r="T14" s="64"/>
      <c r="U14" s="97">
        <f>IF(OR($E$8="N/A",AND(AX14=0,'Cover Sheet'!$B$29="Streamlined Review"),AND(E14="Met",F14&lt;&gt;""),AND(E14="Not met",G14&lt;&gt;""),AND(E14="Unsure",G14&lt;&gt;""),AND(E14="N/A",H14&lt;&gt;""),AND(Y14=TRUE)),1,0)</f>
        <v>0</v>
      </c>
      <c r="X14" s="126" t="b">
        <f t="shared" si="2"/>
        <v>0</v>
      </c>
      <c r="Y14" s="126" t="b">
        <f t="shared" si="3"/>
        <v>0</v>
      </c>
      <c r="Z14" s="126">
        <f t="shared" si="4"/>
        <v>1</v>
      </c>
      <c r="AA14" s="126">
        <f t="shared" si="5"/>
        <v>0</v>
      </c>
      <c r="AB14" s="126">
        <f t="shared" si="6"/>
        <v>0</v>
      </c>
      <c r="AC14" s="126">
        <f t="shared" si="7"/>
        <v>0</v>
      </c>
      <c r="AD14" s="126">
        <f t="shared" si="8"/>
        <v>0</v>
      </c>
      <c r="AE14" s="126">
        <f t="shared" si="9"/>
        <v>0</v>
      </c>
      <c r="AF14" s="53" t="b">
        <f t="shared" si="0"/>
        <v>0</v>
      </c>
      <c r="AG14" s="54" t="b">
        <f t="shared" si="10"/>
        <v>0</v>
      </c>
      <c r="AH14" s="56" t="b">
        <f t="shared" si="11"/>
        <v>0</v>
      </c>
      <c r="AP14" s="69" t="str">
        <f t="shared" si="12"/>
        <v/>
      </c>
      <c r="AX14">
        <v>0</v>
      </c>
    </row>
    <row r="15" spans="1:50" ht="51" x14ac:dyDescent="0.25">
      <c r="A15" s="294" t="s">
        <v>1259</v>
      </c>
      <c r="B15" s="295" t="s">
        <v>1260</v>
      </c>
      <c r="C15" s="295" t="s">
        <v>1261</v>
      </c>
      <c r="D15" s="447">
        <v>1</v>
      </c>
      <c r="E15" s="297"/>
      <c r="F15" s="297"/>
      <c r="G15" s="297"/>
      <c r="H15" s="214"/>
      <c r="I15" s="92" t="s">
        <v>168</v>
      </c>
      <c r="J15" s="92" t="s">
        <v>178</v>
      </c>
      <c r="K15" s="92" t="s">
        <v>185</v>
      </c>
      <c r="L15" s="71" t="s">
        <v>190</v>
      </c>
      <c r="M15" s="71"/>
      <c r="N15" s="71"/>
      <c r="O15" s="71"/>
      <c r="P15" s="71" t="s">
        <v>380</v>
      </c>
      <c r="Q15" s="71" t="b">
        <f t="shared" si="1"/>
        <v>0</v>
      </c>
      <c r="R15" s="64"/>
      <c r="S15" s="64"/>
      <c r="T15" s="64"/>
      <c r="U15" s="97">
        <f>IF(OR($E$8="N/A",AND(AX15=0,'Cover Sheet'!$B$29="Streamlined Review"),AND(E15="Met",F15&lt;&gt;""),AND(E15="Not met",G15&lt;&gt;""),AND(E15="Unsure",G15&lt;&gt;""),AND(E15="N/A",H15&lt;&gt;""),AND(Y15=TRUE)),1,0)</f>
        <v>0</v>
      </c>
      <c r="X15" s="126" t="b">
        <f t="shared" si="2"/>
        <v>0</v>
      </c>
      <c r="Y15" s="126" t="b">
        <f t="shared" si="3"/>
        <v>0</v>
      </c>
      <c r="Z15" s="126">
        <f t="shared" si="4"/>
        <v>1</v>
      </c>
      <c r="AA15" s="126">
        <f t="shared" si="5"/>
        <v>0</v>
      </c>
      <c r="AB15" s="126">
        <f t="shared" si="6"/>
        <v>0</v>
      </c>
      <c r="AC15" s="126">
        <f t="shared" si="7"/>
        <v>0</v>
      </c>
      <c r="AD15" s="126">
        <f t="shared" si="8"/>
        <v>0</v>
      </c>
      <c r="AE15" s="126">
        <f t="shared" si="9"/>
        <v>0</v>
      </c>
      <c r="AF15" s="53" t="b">
        <f t="shared" si="0"/>
        <v>0</v>
      </c>
      <c r="AG15" s="54" t="b">
        <f t="shared" si="10"/>
        <v>0</v>
      </c>
      <c r="AH15" s="56" t="b">
        <f t="shared" si="11"/>
        <v>0</v>
      </c>
      <c r="AP15" s="69" t="str">
        <f t="shared" si="12"/>
        <v/>
      </c>
      <c r="AX15">
        <v>0</v>
      </c>
    </row>
    <row r="16" spans="1:50" ht="43.5" customHeight="1" x14ac:dyDescent="0.25">
      <c r="A16" s="294" t="s">
        <v>1262</v>
      </c>
      <c r="B16" s="295" t="s">
        <v>1263</v>
      </c>
      <c r="C16" s="295" t="s">
        <v>1264</v>
      </c>
      <c r="D16" s="447">
        <v>1</v>
      </c>
      <c r="E16" s="297"/>
      <c r="F16" s="297"/>
      <c r="G16" s="297"/>
      <c r="H16" s="214"/>
      <c r="I16" s="92" t="s">
        <v>168</v>
      </c>
      <c r="J16" s="92" t="s">
        <v>178</v>
      </c>
      <c r="K16" s="92" t="s">
        <v>185</v>
      </c>
      <c r="L16" s="71" t="s">
        <v>190</v>
      </c>
      <c r="M16" s="71"/>
      <c r="N16" s="71"/>
      <c r="O16" s="71"/>
      <c r="P16" s="71" t="s">
        <v>380</v>
      </c>
      <c r="Q16" s="71" t="b">
        <f t="shared" si="1"/>
        <v>0</v>
      </c>
      <c r="R16" s="64"/>
      <c r="S16" s="64"/>
      <c r="T16" s="64"/>
      <c r="U16" s="97">
        <f>IF(OR($E$8="N/A",AND(AX16=0,'Cover Sheet'!$B$29="Streamlined Review"),AND(E16="Met",F16&lt;&gt;""),AND(E16="Not met",G16&lt;&gt;""),AND(E16="Unsure",G16&lt;&gt;""),AND(E16="N/A",H16&lt;&gt;""),AND(Y16=TRUE)),1,0)</f>
        <v>0</v>
      </c>
      <c r="X16" s="126" t="b">
        <f t="shared" si="2"/>
        <v>0</v>
      </c>
      <c r="Y16" s="126" t="b">
        <f t="shared" si="3"/>
        <v>0</v>
      </c>
      <c r="Z16" s="126">
        <f t="shared" si="4"/>
        <v>1</v>
      </c>
      <c r="AA16" s="126">
        <f t="shared" si="5"/>
        <v>0</v>
      </c>
      <c r="AB16" s="126">
        <f t="shared" si="6"/>
        <v>0</v>
      </c>
      <c r="AC16" s="126">
        <f t="shared" si="7"/>
        <v>0</v>
      </c>
      <c r="AD16" s="126">
        <f t="shared" si="8"/>
        <v>0</v>
      </c>
      <c r="AE16" s="126">
        <f t="shared" si="9"/>
        <v>0</v>
      </c>
      <c r="AF16" s="53" t="b">
        <f t="shared" si="0"/>
        <v>0</v>
      </c>
      <c r="AG16" s="54" t="b">
        <f t="shared" si="10"/>
        <v>0</v>
      </c>
      <c r="AH16" s="56" t="b">
        <f t="shared" si="11"/>
        <v>0</v>
      </c>
      <c r="AP16" s="69" t="str">
        <f t="shared" si="12"/>
        <v/>
      </c>
      <c r="AX16">
        <v>0</v>
      </c>
    </row>
    <row r="17" spans="1:50" ht="51" x14ac:dyDescent="0.25">
      <c r="A17" s="294" t="s">
        <v>1265</v>
      </c>
      <c r="B17" s="295" t="s">
        <v>1266</v>
      </c>
      <c r="C17" s="295" t="s">
        <v>1267</v>
      </c>
      <c r="D17" s="447">
        <v>1</v>
      </c>
      <c r="E17" s="297"/>
      <c r="F17" s="297"/>
      <c r="G17" s="297"/>
      <c r="H17" s="214"/>
      <c r="I17" s="92" t="s">
        <v>168</v>
      </c>
      <c r="J17" s="92" t="s">
        <v>178</v>
      </c>
      <c r="K17" s="92" t="s">
        <v>185</v>
      </c>
      <c r="L17" s="71" t="s">
        <v>190</v>
      </c>
      <c r="M17" s="71"/>
      <c r="N17" s="71"/>
      <c r="O17" s="71"/>
      <c r="P17" s="71" t="s">
        <v>380</v>
      </c>
      <c r="Q17" s="71" t="b">
        <f t="shared" si="1"/>
        <v>0</v>
      </c>
      <c r="R17" s="64"/>
      <c r="S17" s="64"/>
      <c r="T17" s="64"/>
      <c r="U17" s="97">
        <f>IF(OR($E$8="N/A",AND(AX17=0,'Cover Sheet'!$B$29="Streamlined Review"),AND(E17="Met",F17&lt;&gt;""),AND(E17="Not met",G17&lt;&gt;""),AND(E17="Unsure",G17&lt;&gt;""),AND(E17="N/A",H17&lt;&gt;""),AND(Y17=TRUE)),1,0)</f>
        <v>0</v>
      </c>
      <c r="X17" s="126" t="b">
        <f t="shared" si="2"/>
        <v>0</v>
      </c>
      <c r="Y17" s="126" t="b">
        <f t="shared" si="3"/>
        <v>0</v>
      </c>
      <c r="Z17" s="126">
        <f t="shared" si="4"/>
        <v>1</v>
      </c>
      <c r="AA17" s="126">
        <f t="shared" si="5"/>
        <v>0</v>
      </c>
      <c r="AB17" s="126">
        <f t="shared" si="6"/>
        <v>0</v>
      </c>
      <c r="AC17" s="126">
        <f t="shared" si="7"/>
        <v>0</v>
      </c>
      <c r="AD17" s="126">
        <f t="shared" si="8"/>
        <v>0</v>
      </c>
      <c r="AE17" s="126">
        <f t="shared" si="9"/>
        <v>0</v>
      </c>
      <c r="AF17" s="53" t="b">
        <f t="shared" si="0"/>
        <v>0</v>
      </c>
      <c r="AG17" s="54" t="b">
        <f t="shared" si="10"/>
        <v>0</v>
      </c>
      <c r="AH17" s="56" t="b">
        <f t="shared" si="11"/>
        <v>0</v>
      </c>
      <c r="AP17" s="69" t="str">
        <f t="shared" si="12"/>
        <v/>
      </c>
      <c r="AX17">
        <v>0</v>
      </c>
    </row>
    <row r="18" spans="1:50" ht="63.75" x14ac:dyDescent="0.25">
      <c r="A18" s="294" t="s">
        <v>1268</v>
      </c>
      <c r="B18" s="295" t="s">
        <v>1266</v>
      </c>
      <c r="C18" s="295" t="s">
        <v>1269</v>
      </c>
      <c r="D18" s="447">
        <v>1</v>
      </c>
      <c r="E18" s="297"/>
      <c r="F18" s="297"/>
      <c r="G18" s="297"/>
      <c r="H18" s="214"/>
      <c r="I18" s="92" t="s">
        <v>168</v>
      </c>
      <c r="J18" s="92" t="s">
        <v>178</v>
      </c>
      <c r="K18" s="92" t="s">
        <v>185</v>
      </c>
      <c r="L18" s="71" t="s">
        <v>190</v>
      </c>
      <c r="M18" s="71"/>
      <c r="N18" s="71"/>
      <c r="O18" s="71"/>
      <c r="P18" s="71" t="s">
        <v>380</v>
      </c>
      <c r="Q18" s="71" t="b">
        <f t="shared" si="1"/>
        <v>0</v>
      </c>
      <c r="R18" s="64"/>
      <c r="S18" s="64"/>
      <c r="T18" s="64"/>
      <c r="U18" s="97">
        <f>IF(OR($E$8="N/A",AND(AX18=0,'Cover Sheet'!$B$29="Streamlined Review"),AND(E18="Met",F18&lt;&gt;""),AND(E18="Not met",G18&lt;&gt;""),AND(E18="Unsure",G18&lt;&gt;""),AND(E18="N/A",H18&lt;&gt;""),AND(Y18=TRUE)),1,0)</f>
        <v>0</v>
      </c>
      <c r="X18" s="126" t="b">
        <f t="shared" si="2"/>
        <v>0</v>
      </c>
      <c r="Y18" s="126" t="b">
        <f t="shared" si="3"/>
        <v>0</v>
      </c>
      <c r="Z18" s="126">
        <f t="shared" si="4"/>
        <v>1</v>
      </c>
      <c r="AA18" s="126">
        <f t="shared" si="5"/>
        <v>0</v>
      </c>
      <c r="AB18" s="126">
        <f t="shared" si="6"/>
        <v>0</v>
      </c>
      <c r="AC18" s="126">
        <f t="shared" si="7"/>
        <v>0</v>
      </c>
      <c r="AD18" s="126">
        <f t="shared" si="8"/>
        <v>0</v>
      </c>
      <c r="AE18" s="126">
        <f t="shared" si="9"/>
        <v>0</v>
      </c>
      <c r="AF18" s="53" t="b">
        <f t="shared" si="0"/>
        <v>0</v>
      </c>
      <c r="AG18" s="54" t="b">
        <f t="shared" si="10"/>
        <v>0</v>
      </c>
      <c r="AH18" s="56" t="b">
        <f t="shared" si="11"/>
        <v>0</v>
      </c>
      <c r="AP18" s="69" t="str">
        <f t="shared" si="12"/>
        <v/>
      </c>
      <c r="AX18">
        <v>0</v>
      </c>
    </row>
    <row r="19" spans="1:50" ht="25.5" x14ac:dyDescent="0.25">
      <c r="A19" s="294" t="s">
        <v>1270</v>
      </c>
      <c r="B19" s="295" t="s">
        <v>1271</v>
      </c>
      <c r="C19" s="295" t="s">
        <v>1272</v>
      </c>
      <c r="D19" s="447">
        <v>1</v>
      </c>
      <c r="E19" s="297"/>
      <c r="F19" s="297"/>
      <c r="G19" s="297"/>
      <c r="H19" s="214"/>
      <c r="I19" s="92" t="s">
        <v>168</v>
      </c>
      <c r="J19" s="92" t="s">
        <v>178</v>
      </c>
      <c r="K19" s="92" t="s">
        <v>185</v>
      </c>
      <c r="L19" s="71" t="s">
        <v>190</v>
      </c>
      <c r="M19" s="71"/>
      <c r="N19" s="71"/>
      <c r="O19" s="71"/>
      <c r="P19" s="71" t="s">
        <v>380</v>
      </c>
      <c r="Q19" s="71" t="b">
        <f t="shared" si="1"/>
        <v>0</v>
      </c>
      <c r="R19" s="64"/>
      <c r="S19" s="64"/>
      <c r="T19" s="64"/>
      <c r="U19" s="97">
        <f>IF(OR($E$8="N/A",AND(AX19=0,'Cover Sheet'!$B$29="Streamlined Review"),AND(E19="Met",F19&lt;&gt;""),AND(E19="Not met",G19&lt;&gt;""),AND(E19="Unsure",G19&lt;&gt;""),AND(E19="N/A",H19&lt;&gt;""),AND(Y19=TRUE)),1,0)</f>
        <v>0</v>
      </c>
      <c r="X19" s="126" t="b">
        <f t="shared" si="2"/>
        <v>0</v>
      </c>
      <c r="Y19" s="126" t="b">
        <f t="shared" si="3"/>
        <v>0</v>
      </c>
      <c r="Z19" s="126">
        <f t="shared" si="4"/>
        <v>1</v>
      </c>
      <c r="AA19" s="126">
        <f t="shared" si="5"/>
        <v>0</v>
      </c>
      <c r="AB19" s="126">
        <f t="shared" si="6"/>
        <v>0</v>
      </c>
      <c r="AC19" s="126">
        <f t="shared" si="7"/>
        <v>0</v>
      </c>
      <c r="AD19" s="126">
        <f t="shared" si="8"/>
        <v>0</v>
      </c>
      <c r="AE19" s="126">
        <f t="shared" si="9"/>
        <v>0</v>
      </c>
      <c r="AF19" s="53" t="b">
        <f t="shared" si="0"/>
        <v>0</v>
      </c>
      <c r="AG19" s="54" t="b">
        <f t="shared" si="10"/>
        <v>0</v>
      </c>
      <c r="AH19" s="56" t="b">
        <f t="shared" si="11"/>
        <v>0</v>
      </c>
      <c r="AP19" s="69" t="str">
        <f t="shared" si="12"/>
        <v/>
      </c>
      <c r="AX19">
        <v>0</v>
      </c>
    </row>
    <row r="20" spans="1:50" ht="59.25" customHeight="1" x14ac:dyDescent="0.25">
      <c r="A20" s="294" t="s">
        <v>1273</v>
      </c>
      <c r="B20" s="295" t="s">
        <v>1274</v>
      </c>
      <c r="C20" s="295" t="s">
        <v>1275</v>
      </c>
      <c r="D20" s="447">
        <v>1</v>
      </c>
      <c r="E20" s="297"/>
      <c r="F20" s="297"/>
      <c r="G20" s="297"/>
      <c r="H20" s="214"/>
      <c r="I20" s="92" t="s">
        <v>168</v>
      </c>
      <c r="J20" s="92" t="s">
        <v>178</v>
      </c>
      <c r="K20" s="92" t="s">
        <v>185</v>
      </c>
      <c r="L20" s="71" t="s">
        <v>190</v>
      </c>
      <c r="M20" s="71"/>
      <c r="N20" s="71"/>
      <c r="O20" s="71"/>
      <c r="P20" s="71" t="s">
        <v>380</v>
      </c>
      <c r="Q20" s="71" t="b">
        <f t="shared" si="1"/>
        <v>0</v>
      </c>
      <c r="R20" s="64"/>
      <c r="S20" s="64"/>
      <c r="T20" s="64"/>
      <c r="U20" s="97">
        <f>IF(OR($E$8="N/A",AND(AX20=0,'Cover Sheet'!$B$29="Streamlined Review"),AND(E20="Met",F20&lt;&gt;""),AND(E20="Not met",G20&lt;&gt;""),AND(E20="Unsure",G20&lt;&gt;""),AND(E20="N/A",H20&lt;&gt;""),AND(Y20=TRUE)),1,0)</f>
        <v>0</v>
      </c>
      <c r="X20" s="126" t="b">
        <f t="shared" si="2"/>
        <v>0</v>
      </c>
      <c r="Y20" s="126" t="b">
        <f t="shared" si="3"/>
        <v>0</v>
      </c>
      <c r="Z20" s="126">
        <f t="shared" si="4"/>
        <v>1</v>
      </c>
      <c r="AA20" s="126">
        <f t="shared" si="5"/>
        <v>0</v>
      </c>
      <c r="AB20" s="126">
        <f t="shared" si="6"/>
        <v>0</v>
      </c>
      <c r="AC20" s="126">
        <f t="shared" si="7"/>
        <v>0</v>
      </c>
      <c r="AD20" s="126">
        <f t="shared" si="8"/>
        <v>0</v>
      </c>
      <c r="AE20" s="126">
        <f t="shared" si="9"/>
        <v>0</v>
      </c>
      <c r="AF20" s="53" t="b">
        <f t="shared" si="0"/>
        <v>0</v>
      </c>
      <c r="AG20" s="54" t="b">
        <f t="shared" si="10"/>
        <v>0</v>
      </c>
      <c r="AH20" s="56" t="b">
        <f t="shared" si="11"/>
        <v>0</v>
      </c>
      <c r="AP20" s="69" t="str">
        <f t="shared" si="12"/>
        <v/>
      </c>
      <c r="AX20">
        <v>0</v>
      </c>
    </row>
    <row r="21" spans="1:50" ht="57" customHeight="1" x14ac:dyDescent="0.25">
      <c r="A21" s="294" t="s">
        <v>1276</v>
      </c>
      <c r="B21" s="295" t="s">
        <v>1277</v>
      </c>
      <c r="C21" s="295" t="s">
        <v>1278</v>
      </c>
      <c r="D21" s="447">
        <v>1</v>
      </c>
      <c r="E21" s="297"/>
      <c r="F21" s="297"/>
      <c r="G21" s="297"/>
      <c r="H21" s="214"/>
      <c r="I21" s="92" t="s">
        <v>168</v>
      </c>
      <c r="J21" s="92" t="s">
        <v>178</v>
      </c>
      <c r="K21" s="92" t="s">
        <v>185</v>
      </c>
      <c r="L21" s="71" t="s">
        <v>190</v>
      </c>
      <c r="M21" s="71"/>
      <c r="N21" s="71"/>
      <c r="O21" s="71"/>
      <c r="P21" s="71" t="s">
        <v>380</v>
      </c>
      <c r="Q21" s="71" t="b">
        <f t="shared" si="1"/>
        <v>0</v>
      </c>
      <c r="R21" s="64"/>
      <c r="S21" s="64"/>
      <c r="T21" s="64"/>
      <c r="U21" s="97">
        <f>IF(OR($E$8="N/A",AND(AX21=0,'Cover Sheet'!$B$29="Streamlined Review"),AND(E21="Met",F21&lt;&gt;""),AND(E21="Not met",G21&lt;&gt;""),AND(E21="Unsure",G21&lt;&gt;""),AND(E21="N/A",H21&lt;&gt;""),AND(Y21=TRUE)),1,0)</f>
        <v>0</v>
      </c>
      <c r="X21" s="126" t="b">
        <f t="shared" si="2"/>
        <v>0</v>
      </c>
      <c r="Y21" s="126" t="b">
        <f t="shared" si="3"/>
        <v>0</v>
      </c>
      <c r="Z21" s="126">
        <f t="shared" si="4"/>
        <v>1</v>
      </c>
      <c r="AA21" s="126">
        <f t="shared" si="5"/>
        <v>0</v>
      </c>
      <c r="AB21" s="126">
        <f t="shared" si="6"/>
        <v>0</v>
      </c>
      <c r="AC21" s="126">
        <f t="shared" si="7"/>
        <v>0</v>
      </c>
      <c r="AD21" s="126">
        <f t="shared" si="8"/>
        <v>0</v>
      </c>
      <c r="AE21" s="126">
        <f t="shared" si="9"/>
        <v>0</v>
      </c>
      <c r="AF21" s="53" t="b">
        <f t="shared" si="0"/>
        <v>0</v>
      </c>
      <c r="AG21" s="54" t="b">
        <f t="shared" si="10"/>
        <v>0</v>
      </c>
      <c r="AH21" s="56" t="b">
        <f t="shared" si="11"/>
        <v>0</v>
      </c>
      <c r="AP21" s="69" t="str">
        <f t="shared" si="12"/>
        <v/>
      </c>
      <c r="AX21">
        <v>0</v>
      </c>
    </row>
    <row r="22" spans="1:50" ht="59.25" customHeight="1" x14ac:dyDescent="0.25">
      <c r="A22" s="294" t="s">
        <v>1279</v>
      </c>
      <c r="B22" s="295" t="s">
        <v>1280</v>
      </c>
      <c r="C22" s="295" t="s">
        <v>1281</v>
      </c>
      <c r="D22" s="447">
        <v>1</v>
      </c>
      <c r="E22" s="297"/>
      <c r="F22" s="297"/>
      <c r="G22" s="297"/>
      <c r="H22" s="214"/>
      <c r="I22" s="92" t="s">
        <v>168</v>
      </c>
      <c r="J22" s="92" t="s">
        <v>178</v>
      </c>
      <c r="K22" s="92" t="s">
        <v>185</v>
      </c>
      <c r="L22" s="71" t="s">
        <v>190</v>
      </c>
      <c r="M22" s="71"/>
      <c r="N22" s="71"/>
      <c r="O22" s="71"/>
      <c r="P22" s="71" t="s">
        <v>380</v>
      </c>
      <c r="Q22" s="71" t="b">
        <f t="shared" si="1"/>
        <v>0</v>
      </c>
      <c r="R22" s="64"/>
      <c r="S22" s="64"/>
      <c r="T22" s="64"/>
      <c r="U22" s="97">
        <f>IF(OR($E$8="N/A",AND(AX22=0,'Cover Sheet'!$B$29="Streamlined Review"),AND(E22="Met",F22&lt;&gt;""),AND(E22="Not met",G22&lt;&gt;""),AND(E22="Unsure",G22&lt;&gt;""),AND(E22="N/A",H22&lt;&gt;""),AND(Y22=TRUE)),1,0)</f>
        <v>0</v>
      </c>
      <c r="X22" s="126" t="b">
        <f t="shared" si="2"/>
        <v>0</v>
      </c>
      <c r="Y22" s="126" t="b">
        <f t="shared" si="3"/>
        <v>0</v>
      </c>
      <c r="Z22" s="126">
        <f t="shared" si="4"/>
        <v>1</v>
      </c>
      <c r="AA22" s="126">
        <f t="shared" si="5"/>
        <v>0</v>
      </c>
      <c r="AB22" s="126">
        <f t="shared" si="6"/>
        <v>0</v>
      </c>
      <c r="AC22" s="126">
        <f t="shared" si="7"/>
        <v>0</v>
      </c>
      <c r="AD22" s="126">
        <f t="shared" si="8"/>
        <v>0</v>
      </c>
      <c r="AE22" s="126">
        <f t="shared" si="9"/>
        <v>0</v>
      </c>
      <c r="AF22" s="53" t="b">
        <f t="shared" si="0"/>
        <v>0</v>
      </c>
      <c r="AG22" s="54" t="b">
        <f t="shared" si="10"/>
        <v>0</v>
      </c>
      <c r="AH22" s="56" t="b">
        <f t="shared" si="11"/>
        <v>0</v>
      </c>
      <c r="AP22" s="69" t="str">
        <f t="shared" si="12"/>
        <v/>
      </c>
      <c r="AX22">
        <v>0</v>
      </c>
    </row>
    <row r="23" spans="1:50" ht="72" customHeight="1" x14ac:dyDescent="0.25">
      <c r="A23" s="294" t="s">
        <v>1282</v>
      </c>
      <c r="B23" s="295" t="s">
        <v>1283</v>
      </c>
      <c r="C23" s="295" t="s">
        <v>1284</v>
      </c>
      <c r="D23" s="447">
        <v>1</v>
      </c>
      <c r="E23" s="297"/>
      <c r="F23" s="297"/>
      <c r="G23" s="297"/>
      <c r="H23" s="214"/>
      <c r="I23" s="92" t="s">
        <v>168</v>
      </c>
      <c r="J23" s="92" t="s">
        <v>178</v>
      </c>
      <c r="K23" s="92" t="s">
        <v>185</v>
      </c>
      <c r="L23" s="71" t="s">
        <v>190</v>
      </c>
      <c r="M23" s="71"/>
      <c r="N23" s="71"/>
      <c r="O23" s="71"/>
      <c r="P23" s="71" t="s">
        <v>380</v>
      </c>
      <c r="Q23" s="71" t="b">
        <f t="shared" si="1"/>
        <v>0</v>
      </c>
      <c r="R23" s="64"/>
      <c r="S23" s="64"/>
      <c r="T23" s="64"/>
      <c r="U23" s="97">
        <f>IF(OR($E$8="N/A",AND(AX23=0,'Cover Sheet'!$B$29="Streamlined Review"),AND(E23="Met",F23&lt;&gt;""),AND(E23="Not met",G23&lt;&gt;""),AND(E23="Unsure",G23&lt;&gt;""),AND(E23="N/A",H23&lt;&gt;""),AND(Y23=TRUE)),1,0)</f>
        <v>0</v>
      </c>
      <c r="X23" s="126" t="b">
        <f t="shared" si="2"/>
        <v>0</v>
      </c>
      <c r="Y23" s="126" t="b">
        <f t="shared" si="3"/>
        <v>0</v>
      </c>
      <c r="Z23" s="126">
        <f t="shared" si="4"/>
        <v>1</v>
      </c>
      <c r="AA23" s="126">
        <f t="shared" si="5"/>
        <v>0</v>
      </c>
      <c r="AB23" s="126">
        <f t="shared" si="6"/>
        <v>0</v>
      </c>
      <c r="AC23" s="126">
        <f t="shared" si="7"/>
        <v>0</v>
      </c>
      <c r="AD23" s="126">
        <f t="shared" si="8"/>
        <v>0</v>
      </c>
      <c r="AE23" s="126">
        <f t="shared" si="9"/>
        <v>0</v>
      </c>
      <c r="AF23" s="53" t="b">
        <f t="shared" si="0"/>
        <v>0</v>
      </c>
      <c r="AG23" s="54" t="b">
        <f t="shared" si="10"/>
        <v>0</v>
      </c>
      <c r="AH23" s="56" t="b">
        <f t="shared" si="11"/>
        <v>0</v>
      </c>
      <c r="AP23" s="69" t="str">
        <f t="shared" si="12"/>
        <v/>
      </c>
      <c r="AX23">
        <v>0</v>
      </c>
    </row>
    <row r="24" spans="1:50" ht="46.5" customHeight="1" x14ac:dyDescent="0.25">
      <c r="A24" s="294" t="s">
        <v>1285</v>
      </c>
      <c r="B24" s="295" t="s">
        <v>1286</v>
      </c>
      <c r="C24" s="295" t="s">
        <v>1287</v>
      </c>
      <c r="D24" s="447">
        <v>1</v>
      </c>
      <c r="E24" s="297"/>
      <c r="F24" s="297"/>
      <c r="G24" s="297"/>
      <c r="H24" s="214"/>
      <c r="I24" s="92" t="s">
        <v>168</v>
      </c>
      <c r="J24" s="92" t="s">
        <v>178</v>
      </c>
      <c r="K24" s="92" t="s">
        <v>185</v>
      </c>
      <c r="L24" s="71" t="s">
        <v>190</v>
      </c>
      <c r="M24" s="71"/>
      <c r="N24" s="71"/>
      <c r="O24" s="71"/>
      <c r="P24" s="71" t="s">
        <v>380</v>
      </c>
      <c r="Q24" s="71" t="b">
        <f t="shared" si="1"/>
        <v>0</v>
      </c>
      <c r="R24" s="64"/>
      <c r="S24" s="64"/>
      <c r="T24" s="64"/>
      <c r="U24" s="97">
        <f>IF(OR($E$8="N/A",AND(AX24=0,'Cover Sheet'!$B$29="Streamlined Review"),AND(E24="Met",F24&lt;&gt;""),AND(E24="Not met",G24&lt;&gt;""),AND(E24="Unsure",G24&lt;&gt;""),AND(E24="N/A",H24&lt;&gt;""),AND(Y24=TRUE)),1,0)</f>
        <v>0</v>
      </c>
      <c r="X24" s="126" t="b">
        <f t="shared" si="2"/>
        <v>0</v>
      </c>
      <c r="Y24" s="126" t="b">
        <f t="shared" si="3"/>
        <v>0</v>
      </c>
      <c r="Z24" s="126">
        <f t="shared" si="4"/>
        <v>1</v>
      </c>
      <c r="AA24" s="126">
        <f t="shared" si="5"/>
        <v>0</v>
      </c>
      <c r="AB24" s="126">
        <f t="shared" si="6"/>
        <v>0</v>
      </c>
      <c r="AC24" s="126">
        <f t="shared" si="7"/>
        <v>0</v>
      </c>
      <c r="AD24" s="126">
        <f t="shared" si="8"/>
        <v>0</v>
      </c>
      <c r="AE24" s="126">
        <f t="shared" si="9"/>
        <v>0</v>
      </c>
      <c r="AF24" s="53" t="b">
        <f t="shared" si="0"/>
        <v>0</v>
      </c>
      <c r="AG24" s="54" t="b">
        <f t="shared" si="10"/>
        <v>0</v>
      </c>
      <c r="AH24" s="56" t="b">
        <f t="shared" si="11"/>
        <v>0</v>
      </c>
      <c r="AP24" s="69" t="str">
        <f t="shared" si="12"/>
        <v/>
      </c>
      <c r="AX24">
        <v>0</v>
      </c>
    </row>
    <row r="25" spans="1:50" ht="51" x14ac:dyDescent="0.25">
      <c r="A25" s="294" t="s">
        <v>1288</v>
      </c>
      <c r="B25" s="295" t="s">
        <v>1289</v>
      </c>
      <c r="C25" s="295" t="s">
        <v>1290</v>
      </c>
      <c r="D25" s="447">
        <v>1</v>
      </c>
      <c r="E25" s="297"/>
      <c r="F25" s="297"/>
      <c r="G25" s="297"/>
      <c r="H25" s="214"/>
      <c r="I25" s="92" t="s">
        <v>168</v>
      </c>
      <c r="J25" s="92" t="s">
        <v>178</v>
      </c>
      <c r="K25" s="92" t="s">
        <v>185</v>
      </c>
      <c r="L25" s="71" t="s">
        <v>190</v>
      </c>
      <c r="M25" s="71"/>
      <c r="N25" s="71"/>
      <c r="O25" s="71"/>
      <c r="P25" s="71" t="s">
        <v>380</v>
      </c>
      <c r="Q25" s="71" t="b">
        <f t="shared" si="1"/>
        <v>0</v>
      </c>
      <c r="R25" s="64"/>
      <c r="S25" s="64"/>
      <c r="T25" s="64"/>
      <c r="U25" s="97">
        <f>IF(OR($E$8="N/A",AND(AX25=0,'Cover Sheet'!$B$29="Streamlined Review"),AND(E25="Met",F25&lt;&gt;""),AND(E25="Not met",G25&lt;&gt;""),AND(E25="Unsure",G25&lt;&gt;""),AND(E25="N/A",H25&lt;&gt;""),AND(Y25=TRUE)),1,0)</f>
        <v>0</v>
      </c>
      <c r="X25" s="126" t="b">
        <f t="shared" si="2"/>
        <v>0</v>
      </c>
      <c r="Y25" s="126" t="b">
        <f t="shared" si="3"/>
        <v>0</v>
      </c>
      <c r="Z25" s="126">
        <f t="shared" si="4"/>
        <v>1</v>
      </c>
      <c r="AA25" s="126">
        <f t="shared" si="5"/>
        <v>0</v>
      </c>
      <c r="AB25" s="126">
        <f t="shared" si="6"/>
        <v>0</v>
      </c>
      <c r="AC25" s="126">
        <f t="shared" si="7"/>
        <v>0</v>
      </c>
      <c r="AD25" s="126">
        <f t="shared" si="8"/>
        <v>0</v>
      </c>
      <c r="AE25" s="126">
        <f t="shared" si="9"/>
        <v>0</v>
      </c>
      <c r="AF25" s="53" t="b">
        <f t="shared" si="0"/>
        <v>0</v>
      </c>
      <c r="AG25" s="54" t="b">
        <f t="shared" si="10"/>
        <v>0</v>
      </c>
      <c r="AH25" s="56" t="b">
        <f t="shared" si="11"/>
        <v>0</v>
      </c>
      <c r="AP25" s="69" t="str">
        <f t="shared" si="12"/>
        <v/>
      </c>
      <c r="AX25">
        <v>0</v>
      </c>
    </row>
    <row r="26" spans="1:50" ht="51" x14ac:dyDescent="0.25">
      <c r="A26" s="294" t="s">
        <v>1291</v>
      </c>
      <c r="B26" s="295" t="s">
        <v>1292</v>
      </c>
      <c r="C26" s="295" t="s">
        <v>1293</v>
      </c>
      <c r="D26" s="447">
        <v>1</v>
      </c>
      <c r="E26" s="297"/>
      <c r="F26" s="297"/>
      <c r="G26" s="297"/>
      <c r="H26" s="214"/>
      <c r="I26" s="92" t="s">
        <v>168</v>
      </c>
      <c r="J26" s="92" t="s">
        <v>178</v>
      </c>
      <c r="K26" s="92" t="s">
        <v>185</v>
      </c>
      <c r="L26" s="71" t="s">
        <v>190</v>
      </c>
      <c r="M26" s="71"/>
      <c r="N26" s="71"/>
      <c r="O26" s="71"/>
      <c r="P26" s="71" t="s">
        <v>380</v>
      </c>
      <c r="Q26" s="71" t="b">
        <f t="shared" si="1"/>
        <v>0</v>
      </c>
      <c r="R26" s="64"/>
      <c r="S26" s="64"/>
      <c r="T26" s="64"/>
      <c r="U26" s="97">
        <f>IF(OR($E$8="N/A",AND(AX26=0,'Cover Sheet'!$B$29="Streamlined Review"),AND(E26="Met",F26&lt;&gt;""),AND(E26="Not met",G26&lt;&gt;""),AND(E26="Unsure",G26&lt;&gt;""),AND(E26="N/A",H26&lt;&gt;""),AND(Y26=TRUE)),1,0)</f>
        <v>0</v>
      </c>
      <c r="X26" s="126" t="b">
        <f t="shared" si="2"/>
        <v>0</v>
      </c>
      <c r="Y26" s="126" t="b">
        <f t="shared" si="3"/>
        <v>0</v>
      </c>
      <c r="Z26" s="126">
        <f t="shared" si="4"/>
        <v>1</v>
      </c>
      <c r="AA26" s="126">
        <f t="shared" si="5"/>
        <v>0</v>
      </c>
      <c r="AB26" s="126">
        <f t="shared" si="6"/>
        <v>0</v>
      </c>
      <c r="AC26" s="126">
        <f t="shared" si="7"/>
        <v>0</v>
      </c>
      <c r="AD26" s="126">
        <f t="shared" si="8"/>
        <v>0</v>
      </c>
      <c r="AE26" s="126">
        <f t="shared" si="9"/>
        <v>0</v>
      </c>
      <c r="AF26" s="53" t="b">
        <f t="shared" si="0"/>
        <v>0</v>
      </c>
      <c r="AG26" s="54" t="b">
        <f t="shared" si="10"/>
        <v>0</v>
      </c>
      <c r="AH26" s="56" t="b">
        <f t="shared" si="11"/>
        <v>0</v>
      </c>
      <c r="AP26" s="69" t="str">
        <f t="shared" si="12"/>
        <v/>
      </c>
      <c r="AX26">
        <v>0</v>
      </c>
    </row>
    <row r="27" spans="1:50" ht="51" x14ac:dyDescent="0.25">
      <c r="A27" s="294" t="s">
        <v>1294</v>
      </c>
      <c r="B27" s="295" t="s">
        <v>1295</v>
      </c>
      <c r="C27" s="295" t="s">
        <v>1296</v>
      </c>
      <c r="D27" s="447">
        <v>1</v>
      </c>
      <c r="E27" s="297"/>
      <c r="F27" s="297"/>
      <c r="G27" s="297"/>
      <c r="H27" s="214"/>
      <c r="I27" s="92" t="s">
        <v>168</v>
      </c>
      <c r="J27" s="92" t="s">
        <v>178</v>
      </c>
      <c r="K27" s="92" t="s">
        <v>185</v>
      </c>
      <c r="L27" s="71" t="s">
        <v>190</v>
      </c>
      <c r="M27" s="71"/>
      <c r="N27" s="71"/>
      <c r="O27" s="71"/>
      <c r="P27" s="71" t="s">
        <v>380</v>
      </c>
      <c r="Q27" s="71" t="b">
        <f t="shared" si="1"/>
        <v>0</v>
      </c>
      <c r="R27" s="64"/>
      <c r="S27" s="64"/>
      <c r="T27" s="64"/>
      <c r="U27" s="97">
        <f>IF(OR($E$8="N/A",AND(AX27=0,'Cover Sheet'!$B$29="Streamlined Review"),AND(E27="Met",F27&lt;&gt;""),AND(E27="Not met",G27&lt;&gt;""),AND(E27="Unsure",G27&lt;&gt;""),AND(E27="N/A",H27&lt;&gt;""),AND(Y27=TRUE)),1,0)</f>
        <v>0</v>
      </c>
      <c r="X27" s="126" t="b">
        <f t="shared" si="2"/>
        <v>0</v>
      </c>
      <c r="Y27" s="126" t="b">
        <f t="shared" si="3"/>
        <v>0</v>
      </c>
      <c r="Z27" s="126">
        <f t="shared" si="4"/>
        <v>1</v>
      </c>
      <c r="AA27" s="126">
        <f t="shared" si="5"/>
        <v>0</v>
      </c>
      <c r="AB27" s="126">
        <f t="shared" si="6"/>
        <v>0</v>
      </c>
      <c r="AC27" s="126">
        <f t="shared" si="7"/>
        <v>0</v>
      </c>
      <c r="AD27" s="126">
        <f t="shared" si="8"/>
        <v>0</v>
      </c>
      <c r="AE27" s="126">
        <f t="shared" si="9"/>
        <v>0</v>
      </c>
      <c r="AF27" s="53" t="b">
        <f t="shared" si="0"/>
        <v>0</v>
      </c>
      <c r="AG27" s="54" t="b">
        <f t="shared" si="10"/>
        <v>0</v>
      </c>
      <c r="AH27" s="56" t="b">
        <f t="shared" si="11"/>
        <v>0</v>
      </c>
      <c r="AP27" s="69" t="str">
        <f t="shared" si="12"/>
        <v/>
      </c>
      <c r="AX27">
        <v>0</v>
      </c>
    </row>
    <row r="28" spans="1:50" ht="38.25" x14ac:dyDescent="0.25">
      <c r="A28" s="294" t="s">
        <v>1297</v>
      </c>
      <c r="B28" s="295" t="s">
        <v>1298</v>
      </c>
      <c r="C28" s="295" t="s">
        <v>1299</v>
      </c>
      <c r="D28" s="447">
        <v>1</v>
      </c>
      <c r="E28" s="297"/>
      <c r="F28" s="297"/>
      <c r="G28" s="297"/>
      <c r="H28" s="214"/>
      <c r="I28" s="92" t="s">
        <v>168</v>
      </c>
      <c r="J28" s="92" t="s">
        <v>178</v>
      </c>
      <c r="K28" s="92" t="s">
        <v>185</v>
      </c>
      <c r="L28" s="71" t="s">
        <v>190</v>
      </c>
      <c r="M28" s="71"/>
      <c r="N28" s="71"/>
      <c r="O28" s="71"/>
      <c r="P28" s="71" t="s">
        <v>380</v>
      </c>
      <c r="Q28" s="71" t="b">
        <f t="shared" si="1"/>
        <v>0</v>
      </c>
      <c r="R28" s="64"/>
      <c r="S28" s="64"/>
      <c r="T28" s="64"/>
      <c r="U28" s="97">
        <f>IF(OR($E$8="N/A",AND(AX28=0,'Cover Sheet'!$B$29="Streamlined Review"),AND(E28="Met",F28&lt;&gt;""),AND(E28="Not met",G28&lt;&gt;""),AND(E28="Unsure",G28&lt;&gt;""),AND(E28="N/A",H28&lt;&gt;""),AND(Y28=TRUE)),1,0)</f>
        <v>0</v>
      </c>
      <c r="X28" s="126" t="b">
        <f t="shared" si="2"/>
        <v>0</v>
      </c>
      <c r="Y28" s="126" t="b">
        <f t="shared" si="3"/>
        <v>0</v>
      </c>
      <c r="Z28" s="126">
        <f t="shared" si="4"/>
        <v>1</v>
      </c>
      <c r="AA28" s="126">
        <f t="shared" si="5"/>
        <v>0</v>
      </c>
      <c r="AB28" s="126">
        <f t="shared" si="6"/>
        <v>0</v>
      </c>
      <c r="AC28" s="126">
        <f t="shared" si="7"/>
        <v>0</v>
      </c>
      <c r="AD28" s="126">
        <f t="shared" si="8"/>
        <v>0</v>
      </c>
      <c r="AE28" s="126">
        <f t="shared" si="9"/>
        <v>0</v>
      </c>
      <c r="AF28" s="53" t="b">
        <f t="shared" si="0"/>
        <v>0</v>
      </c>
      <c r="AG28" s="54" t="b">
        <f t="shared" si="10"/>
        <v>0</v>
      </c>
      <c r="AH28" s="56" t="b">
        <f t="shared" si="11"/>
        <v>0</v>
      </c>
      <c r="AP28" s="69" t="str">
        <f t="shared" si="12"/>
        <v/>
      </c>
      <c r="AX28">
        <v>0</v>
      </c>
    </row>
    <row r="29" spans="1:50" ht="15.75" thickBot="1" x14ac:dyDescent="0.3">
      <c r="A29" s="450"/>
      <c r="B29" s="451"/>
      <c r="C29" s="452" t="s">
        <v>1300</v>
      </c>
      <c r="D29" s="442"/>
      <c r="E29" s="443"/>
      <c r="F29" s="444"/>
      <c r="G29" s="444"/>
      <c r="H29" s="445"/>
      <c r="I29" s="74"/>
      <c r="J29" s="74"/>
      <c r="K29" s="74"/>
      <c r="L29" s="87"/>
      <c r="M29" s="87"/>
      <c r="R29" s="116"/>
      <c r="S29" s="116"/>
      <c r="T29" s="116"/>
      <c r="U29" s="126"/>
      <c r="AH29" s="68"/>
    </row>
    <row r="30" spans="1:50" ht="25.5" x14ac:dyDescent="0.25">
      <c r="A30" s="294" t="s">
        <v>1301</v>
      </c>
      <c r="B30" s="295" t="s">
        <v>1302</v>
      </c>
      <c r="C30" s="295" t="s">
        <v>1303</v>
      </c>
      <c r="D30" s="470">
        <v>4</v>
      </c>
      <c r="E30" s="297"/>
      <c r="F30" s="297"/>
      <c r="G30" s="297"/>
      <c r="H30" s="214"/>
      <c r="I30" s="92" t="s">
        <v>168</v>
      </c>
      <c r="J30" s="92" t="s">
        <v>178</v>
      </c>
      <c r="K30" s="92" t="s">
        <v>185</v>
      </c>
      <c r="L30" s="71" t="s">
        <v>190</v>
      </c>
      <c r="M30" s="71"/>
      <c r="N30" s="71"/>
      <c r="O30" s="71"/>
      <c r="P30" s="71" t="s">
        <v>380</v>
      </c>
      <c r="Q30" s="71" t="b">
        <f>IF(OR(AND($C$2="Base contract",$C$3="No, section requirements must be reviewed", $AF30=FALSE,$AG30=FALSE),AND($C$2="Contract amendment",$C$3="No, section requirements must be reviewed",$AF30=FALSE,$AG30=FALSE)),"MUNN")</f>
        <v>0</v>
      </c>
      <c r="R30" s="64"/>
      <c r="S30" s="64"/>
      <c r="T30" s="64"/>
      <c r="U30" s="97">
        <f>IF(OR($E$29="N/A",AND(AX30=0,'Cover Sheet'!$B$29="Streamlined Review"),AND(E30="Met",F30&lt;&gt;""),AND(E30="Not met",G30&lt;&gt;""),AND(E30="Unsure",G30&lt;&gt;""),AND(E30="N/A",H30&lt;&gt;""),AND(Y30=TRUE)),1,0)</f>
        <v>0</v>
      </c>
      <c r="X30" s="126" t="b">
        <f t="shared" si="2"/>
        <v>0</v>
      </c>
      <c r="Y30" s="126" t="b">
        <f>IF(SUM(Z30:AE30)&lt;1,TRUE,FALSE)</f>
        <v>0</v>
      </c>
      <c r="Z30" s="126">
        <f>IF($Z$2=I30,1,0)</f>
        <v>1</v>
      </c>
      <c r="AA30" s="126">
        <f>IF($AA$2=J30,1,0)</f>
        <v>0</v>
      </c>
      <c r="AB30" s="126">
        <f>IF($AB$2=K30,1,0)</f>
        <v>0</v>
      </c>
      <c r="AC30" s="126">
        <f>IF($AC$2=L30,1,0)</f>
        <v>0</v>
      </c>
      <c r="AD30" s="126">
        <f>IF($AD$2=M30,1,0)</f>
        <v>0</v>
      </c>
      <c r="AE30" s="126">
        <f>IF($AE$2=O30,1,0)</f>
        <v>0</v>
      </c>
      <c r="AF30" s="53" t="b">
        <f>IF($H$1&lt;&gt;0,IF($H$1&lt;&gt;I30,IF($H$1&lt;&gt;J30,IF($H$1&lt;&gt;K30,IF($H$1&lt;&gt;L30,IF($H$1&lt;&gt;M30,IF($H$1&lt;&gt;N30,IF($H$1&lt;&gt;O30,TRUE,FALSE))))))))</f>
        <v>0</v>
      </c>
      <c r="AG30" s="54" t="b">
        <f>IF(AH30=TRUE,TRUE,FALSE)</f>
        <v>0</v>
      </c>
      <c r="AH30" s="56" t="b">
        <f>IF(OR(AND($H$6="Medicaid",MID($A30,1,FIND(".",$A30,1)-1)="II"),AND($H$6="CHIP",MID($A30,1,FIND(".",$A30,1)-1)="I")),TRUE,FALSE)</f>
        <v>0</v>
      </c>
      <c r="AO30" s="69">
        <v>1</v>
      </c>
      <c r="AP30" s="69">
        <f>IF(AO30=1,1,"")</f>
        <v>1</v>
      </c>
      <c r="AX30">
        <v>1</v>
      </c>
    </row>
    <row r="31" spans="1:50" ht="15.75" thickBot="1" x14ac:dyDescent="0.3">
      <c r="A31" s="450"/>
      <c r="B31" s="451"/>
      <c r="C31" s="452" t="s">
        <v>45</v>
      </c>
      <c r="D31" s="442"/>
      <c r="E31" s="443"/>
      <c r="F31" s="444"/>
      <c r="G31" s="444"/>
      <c r="H31" s="445"/>
      <c r="I31" s="74"/>
      <c r="J31" s="74"/>
      <c r="K31" s="74"/>
      <c r="L31" s="87"/>
      <c r="M31" s="87"/>
      <c r="R31" s="116"/>
      <c r="S31" s="116"/>
      <c r="T31" s="116"/>
      <c r="U31" s="126"/>
      <c r="AH31" s="68"/>
    </row>
    <row r="32" spans="1:50" ht="102" x14ac:dyDescent="0.25">
      <c r="A32" s="294" t="s">
        <v>1304</v>
      </c>
      <c r="B32" s="295" t="s">
        <v>1305</v>
      </c>
      <c r="C32" s="295" t="s">
        <v>1306</v>
      </c>
      <c r="D32" s="446"/>
      <c r="E32" s="297"/>
      <c r="F32" s="297"/>
      <c r="G32" s="297"/>
      <c r="H32" s="214"/>
      <c r="I32" s="92" t="s">
        <v>168</v>
      </c>
      <c r="J32" s="92" t="s">
        <v>178</v>
      </c>
      <c r="K32" s="92" t="s">
        <v>185</v>
      </c>
      <c r="L32" s="71" t="s">
        <v>190</v>
      </c>
      <c r="M32" s="71"/>
      <c r="N32" s="71"/>
      <c r="O32" s="71"/>
      <c r="P32" s="71" t="s">
        <v>380</v>
      </c>
      <c r="Q32" s="71" t="b">
        <f>IF(OR(AND($C$2="Base contract",$C$3="No, section requirements must be reviewed", $AF32=FALSE,$AG32=FALSE),AND($C$2="Contract amendment",$C$3="No, section requirements must be reviewed",$AF32=FALSE,$AG32=FALSE)),"MUNN")</f>
        <v>0</v>
      </c>
      <c r="R32" s="64"/>
      <c r="S32" s="64"/>
      <c r="T32" s="64"/>
      <c r="U32" s="97">
        <f>IF(OR($E$31="N/A",AND(AX32=0,'Cover Sheet'!$B$29="Streamlined Review"),AND(E32="Met",F32&lt;&gt;""),AND(E32="Not met",G32&lt;&gt;""),AND(E32="Unsure",G32&lt;&gt;""),AND(E32="N/A",H32&lt;&gt;""),AND(Y32=TRUE)),1,0)</f>
        <v>0</v>
      </c>
      <c r="X32" s="126" t="b">
        <f t="shared" si="2"/>
        <v>0</v>
      </c>
      <c r="Y32" s="126" t="b">
        <f>IF(SUM(Z32:AE32)&lt;1,TRUE,FALSE)</f>
        <v>0</v>
      </c>
      <c r="Z32" s="126">
        <f>IF($Z$2=I32,1,0)</f>
        <v>1</v>
      </c>
      <c r="AA32" s="126">
        <f>IF($AA$2=J32,1,0)</f>
        <v>0</v>
      </c>
      <c r="AB32" s="126">
        <f>IF($AB$2=K32,1,0)</f>
        <v>0</v>
      </c>
      <c r="AC32" s="126">
        <f>IF($AC$2=L32,1,0)</f>
        <v>0</v>
      </c>
      <c r="AD32" s="126">
        <f>IF($AD$2=M32,1,0)</f>
        <v>0</v>
      </c>
      <c r="AE32" s="126">
        <f>IF($AE$2=O32,1,0)</f>
        <v>0</v>
      </c>
      <c r="AF32" s="53" t="b">
        <f>IF($H$1&lt;&gt;0,IF($H$1&lt;&gt;I32,IF($H$1&lt;&gt;J32,IF($H$1&lt;&gt;K32,IF($H$1&lt;&gt;L32,IF($H$1&lt;&gt;M32,IF($H$1&lt;&gt;N32,IF($H$1&lt;&gt;O32,TRUE,FALSE))))))))</f>
        <v>0</v>
      </c>
      <c r="AG32" s="54" t="b">
        <f>IF(AH32=TRUE,TRUE,FALSE)</f>
        <v>0</v>
      </c>
      <c r="AH32" s="56" t="b">
        <f>IF(OR(AND($H$6="Medicaid",MID($A32,1,FIND(".",$A32,1)-1)="II"),AND($H$6="CHIP",MID($A32,1,FIND(".",$A32,1)-1)="I")),TRUE,FALSE)</f>
        <v>0</v>
      </c>
      <c r="AO32" s="69">
        <v>1</v>
      </c>
      <c r="AP32" s="69">
        <f>IF(AO32=1,1,"")</f>
        <v>1</v>
      </c>
      <c r="AX32">
        <v>0</v>
      </c>
    </row>
    <row r="33" spans="1:50" ht="15.75" thickBot="1" x14ac:dyDescent="0.3">
      <c r="A33" s="450"/>
      <c r="B33" s="451"/>
      <c r="C33" s="452" t="s">
        <v>46</v>
      </c>
      <c r="D33" s="442"/>
      <c r="E33" s="443"/>
      <c r="F33" s="444"/>
      <c r="G33" s="444"/>
      <c r="H33" s="445"/>
      <c r="I33" s="74"/>
      <c r="J33" s="74"/>
      <c r="K33" s="74"/>
      <c r="L33" s="87"/>
      <c r="M33" s="87"/>
      <c r="R33" s="116"/>
      <c r="S33" s="116"/>
      <c r="T33" s="116"/>
      <c r="U33" s="126"/>
      <c r="AH33" s="68"/>
    </row>
    <row r="34" spans="1:50" ht="59.25" customHeight="1" x14ac:dyDescent="0.25">
      <c r="A34" s="294" t="s">
        <v>1307</v>
      </c>
      <c r="B34" s="295" t="s">
        <v>1308</v>
      </c>
      <c r="C34" s="295" t="s">
        <v>1309</v>
      </c>
      <c r="D34" s="470">
        <v>5</v>
      </c>
      <c r="E34" s="297"/>
      <c r="F34" s="297"/>
      <c r="G34" s="297"/>
      <c r="H34" s="214"/>
      <c r="I34" s="92" t="s">
        <v>168</v>
      </c>
      <c r="J34" s="92" t="s">
        <v>178</v>
      </c>
      <c r="K34" s="92" t="s">
        <v>185</v>
      </c>
      <c r="L34" s="71" t="s">
        <v>190</v>
      </c>
      <c r="M34" s="71"/>
      <c r="N34" s="71"/>
      <c r="O34" s="71"/>
      <c r="P34" s="71" t="s">
        <v>380</v>
      </c>
      <c r="Q34" s="71" t="b">
        <f>IF(OR(AND($C$2="Base contract",$C$3="No, section requirements must be reviewed", $AF34=FALSE,$AG34=FALSE),AND($C$2="Contract amendment",$C$3="No, section requirements must be reviewed",$AF34=FALSE,$AG34=FALSE)),"MUNN")</f>
        <v>0</v>
      </c>
      <c r="R34" s="64"/>
      <c r="S34" s="64"/>
      <c r="T34" s="64"/>
      <c r="U34" s="97">
        <f>IF(OR($E$33="N/A",AND(AX34=0,'Cover Sheet'!$B$29="Streamlined Review"),AND(E34="Met",F34&lt;&gt;""),AND(E34="Not met",G34&lt;&gt;""),AND(E34="Unsure",G34&lt;&gt;""),AND(E34="N/A",H34&lt;&gt;""),AND(Y34=TRUE)),1,0)</f>
        <v>0</v>
      </c>
      <c r="X34" s="126" t="b">
        <f t="shared" si="2"/>
        <v>0</v>
      </c>
      <c r="Y34" s="126" t="b">
        <f>IF(SUM(Z34:AE34)&lt;1,TRUE,FALSE)</f>
        <v>0</v>
      </c>
      <c r="Z34" s="126">
        <f>IF($Z$2=I34,1,0)</f>
        <v>1</v>
      </c>
      <c r="AA34" s="126">
        <f>IF($AA$2=J34,1,0)</f>
        <v>0</v>
      </c>
      <c r="AB34" s="126">
        <f>IF($AB$2=K34,1,0)</f>
        <v>0</v>
      </c>
      <c r="AC34" s="126">
        <f>IF($AC$2=L34,1,0)</f>
        <v>0</v>
      </c>
      <c r="AD34" s="126">
        <f>IF($AD$2=M34,1,0)</f>
        <v>0</v>
      </c>
      <c r="AE34" s="126">
        <f>IF($AE$2=O34,1,0)</f>
        <v>0</v>
      </c>
      <c r="AF34" s="53" t="b">
        <f>IF($H$1&lt;&gt;0,IF($H$1&lt;&gt;I34,IF($H$1&lt;&gt;J34,IF($H$1&lt;&gt;K34,IF($H$1&lt;&gt;L34,IF($H$1&lt;&gt;M34,IF($H$1&lt;&gt;N34,IF($H$1&lt;&gt;O34,TRUE,FALSE))))))))</f>
        <v>0</v>
      </c>
      <c r="AG34" s="54" t="b">
        <f>IF(AH34=TRUE,TRUE,FALSE)</f>
        <v>0</v>
      </c>
      <c r="AH34" s="56" t="b">
        <f>IF(OR(AND($H$6="Medicaid",MID($A34,1,FIND(".",$A34,1)-1)="II"),AND($H$6="CHIP",MID($A34,1,FIND(".",$A34,1)-1)="I")),TRUE,FALSE)</f>
        <v>0</v>
      </c>
      <c r="AP34" s="69" t="str">
        <f>IF(AO34=1,1,"")</f>
        <v/>
      </c>
      <c r="AX34">
        <v>1</v>
      </c>
    </row>
    <row r="35" spans="1:50" ht="46.5" customHeight="1" x14ac:dyDescent="0.25">
      <c r="A35" s="294" t="s">
        <v>1310</v>
      </c>
      <c r="B35" s="295" t="s">
        <v>1311</v>
      </c>
      <c r="C35" s="295" t="s">
        <v>1312</v>
      </c>
      <c r="D35" s="446"/>
      <c r="E35" s="297"/>
      <c r="F35" s="297"/>
      <c r="G35" s="297"/>
      <c r="H35" s="214"/>
      <c r="I35" s="92" t="s">
        <v>168</v>
      </c>
      <c r="J35" s="92" t="s">
        <v>178</v>
      </c>
      <c r="K35" s="92" t="s">
        <v>185</v>
      </c>
      <c r="L35" s="71" t="s">
        <v>190</v>
      </c>
      <c r="M35" s="71"/>
      <c r="N35" s="71"/>
      <c r="O35" s="71"/>
      <c r="P35" s="71" t="s">
        <v>380</v>
      </c>
      <c r="Q35" s="71" t="b">
        <f>IF(OR(AND($C$2="Base contract",$C$3="No, section requirements must be reviewed", $AF35=FALSE,$AG35=FALSE),AND($C$2="Contract amendment",$C$3="No, section requirements must be reviewed",$AF35=FALSE,$AG35=FALSE)),"MUNN")</f>
        <v>0</v>
      </c>
      <c r="R35" s="64"/>
      <c r="S35" s="64"/>
      <c r="T35" s="64"/>
      <c r="U35" s="97">
        <f>IF(OR($E$33="N/A",AND(AX35=0,'Cover Sheet'!$B$29="Streamlined Review"),AND(E35="Met",F35&lt;&gt;""),AND(E35="Not met",G35&lt;&gt;""),AND(E35="Unsure",G35&lt;&gt;""),AND(E35="N/A",H35&lt;&gt;""),AND(Y35=TRUE)),1,0)</f>
        <v>0</v>
      </c>
      <c r="X35" s="126" t="b">
        <f t="shared" si="2"/>
        <v>0</v>
      </c>
      <c r="Y35" s="126" t="b">
        <f>IF(SUM(Z35:AE35)&lt;1,TRUE,FALSE)</f>
        <v>0</v>
      </c>
      <c r="Z35" s="126">
        <f>IF($Z$2=I35,1,0)</f>
        <v>1</v>
      </c>
      <c r="AA35" s="126">
        <f>IF($AA$2=J35,1,0)</f>
        <v>0</v>
      </c>
      <c r="AB35" s="126">
        <f>IF($AB$2=K35,1,0)</f>
        <v>0</v>
      </c>
      <c r="AC35" s="126">
        <f>IF($AC$2=L35,1,0)</f>
        <v>0</v>
      </c>
      <c r="AD35" s="126">
        <f>IF($AD$2=M35,1,0)</f>
        <v>0</v>
      </c>
      <c r="AE35" s="126">
        <f>IF($AE$2=O35,1,0)</f>
        <v>0</v>
      </c>
      <c r="AF35" s="53" t="b">
        <f>IF($H$1&lt;&gt;0,IF($H$1&lt;&gt;I35,IF($H$1&lt;&gt;J35,IF($H$1&lt;&gt;K35,IF($H$1&lt;&gt;L35,IF($H$1&lt;&gt;M35,IF($H$1&lt;&gt;N35,IF($H$1&lt;&gt;O35,TRUE,FALSE))))))))</f>
        <v>0</v>
      </c>
      <c r="AG35" s="54" t="b">
        <f>IF(AH35=TRUE,TRUE,FALSE)</f>
        <v>0</v>
      </c>
      <c r="AH35" s="56" t="b">
        <f>IF(OR(AND($H$6="Medicaid",MID($A35,1,FIND(".",$A35,1)-1)="II"),AND($H$6="CHIP",MID($A35,1,FIND(".",$A35,1)-1)="I")),TRUE,FALSE)</f>
        <v>0</v>
      </c>
      <c r="AP35" s="69" t="str">
        <f>IF(AO35=1,1,"")</f>
        <v/>
      </c>
      <c r="AX35">
        <v>0</v>
      </c>
    </row>
    <row r="36" spans="1:50" ht="73.5" customHeight="1" x14ac:dyDescent="0.25">
      <c r="A36" s="294" t="s">
        <v>1313</v>
      </c>
      <c r="B36" s="295" t="s">
        <v>1314</v>
      </c>
      <c r="C36" s="295" t="s">
        <v>1315</v>
      </c>
      <c r="D36" s="446"/>
      <c r="E36" s="297"/>
      <c r="F36" s="297"/>
      <c r="G36" s="297"/>
      <c r="H36" s="214"/>
      <c r="I36" s="92" t="s">
        <v>168</v>
      </c>
      <c r="J36" s="92" t="s">
        <v>178</v>
      </c>
      <c r="K36" s="92" t="s">
        <v>185</v>
      </c>
      <c r="L36" s="71" t="s">
        <v>190</v>
      </c>
      <c r="M36" s="71"/>
      <c r="N36" s="71"/>
      <c r="O36" s="71"/>
      <c r="P36" s="71" t="s">
        <v>380</v>
      </c>
      <c r="Q36" s="71" t="b">
        <f>IF(OR(AND($C$2="Base contract",$C$3="No, section requirements must be reviewed", $AF36=FALSE,$AG36=FALSE),AND($C$2="Contract amendment",$C$3="No, section requirements must be reviewed",$AF36=FALSE,$AG36=FALSE)),"MUNN")</f>
        <v>0</v>
      </c>
      <c r="R36" s="64"/>
      <c r="S36" s="64"/>
      <c r="T36" s="64"/>
      <c r="U36" s="97">
        <f>IF(OR($E$33="N/A",AND(AX36=0,'Cover Sheet'!$B$29="Streamlined Review"),AND(E36="Met",F36&lt;&gt;""),AND(E36="Not met",G36&lt;&gt;""),AND(E36="Unsure",G36&lt;&gt;""),AND(E36="N/A",H36&lt;&gt;""),AND(Y36=TRUE)),1,0)</f>
        <v>0</v>
      </c>
      <c r="X36" s="126" t="b">
        <f t="shared" si="2"/>
        <v>0</v>
      </c>
      <c r="Y36" s="126" t="b">
        <f>IF(SUM(Z36:AE36)&lt;1,TRUE,FALSE)</f>
        <v>0</v>
      </c>
      <c r="Z36" s="126">
        <f>IF($Z$2=I36,1,0)</f>
        <v>1</v>
      </c>
      <c r="AA36" s="126">
        <f>IF($AA$2=J36,1,0)</f>
        <v>0</v>
      </c>
      <c r="AB36" s="126">
        <f>IF($AB$2=K36,1,0)</f>
        <v>0</v>
      </c>
      <c r="AC36" s="126">
        <f>IF($AC$2=L36,1,0)</f>
        <v>0</v>
      </c>
      <c r="AD36" s="126">
        <f>IF($AD$2=M36,1,0)</f>
        <v>0</v>
      </c>
      <c r="AE36" s="126">
        <f>IF($AE$2=O36,1,0)</f>
        <v>0</v>
      </c>
      <c r="AF36" s="53" t="b">
        <f>IF($H$1&lt;&gt;0,IF($H$1&lt;&gt;I36,IF($H$1&lt;&gt;J36,IF($H$1&lt;&gt;K36,IF($H$1&lt;&gt;L36,IF($H$1&lt;&gt;M36,IF($H$1&lt;&gt;N36,IF($H$1&lt;&gt;O36,TRUE,FALSE))))))))</f>
        <v>0</v>
      </c>
      <c r="AG36" s="54" t="b">
        <f>IF(AH36=TRUE,TRUE,FALSE)</f>
        <v>0</v>
      </c>
      <c r="AH36" s="56" t="b">
        <f>IF(OR(AND($H$6="Medicaid",MID($A36,1,FIND(".",$A36,1)-1)="II"),AND($H$6="CHIP",MID($A36,1,FIND(".",$A36,1)-1)="I")),TRUE,FALSE)</f>
        <v>0</v>
      </c>
      <c r="AP36" s="69" t="str">
        <f>IF(AO36=1,1,"")</f>
        <v/>
      </c>
      <c r="AX36">
        <v>1</v>
      </c>
    </row>
    <row r="37" spans="1:50" ht="69.75" customHeight="1" thickBot="1" x14ac:dyDescent="0.3">
      <c r="A37" s="294" t="s">
        <v>1316</v>
      </c>
      <c r="B37" s="295" t="s">
        <v>1317</v>
      </c>
      <c r="C37" s="295" t="s">
        <v>1318</v>
      </c>
      <c r="D37" s="470" t="s">
        <v>924</v>
      </c>
      <c r="E37" s="297"/>
      <c r="F37" s="297"/>
      <c r="G37" s="297"/>
      <c r="H37" s="214"/>
      <c r="I37" s="92" t="s">
        <v>168</v>
      </c>
      <c r="J37" s="92" t="s">
        <v>178</v>
      </c>
      <c r="K37" s="92" t="s">
        <v>185</v>
      </c>
      <c r="L37" s="71" t="s">
        <v>190</v>
      </c>
      <c r="M37" s="71"/>
      <c r="N37" s="71"/>
      <c r="O37" s="71"/>
      <c r="P37" s="71" t="s">
        <v>380</v>
      </c>
      <c r="Q37" s="71" t="b">
        <f>IF(OR(AND($C$2="Base contract",$C$3="No, section requirements must be reviewed", $AF37=FALSE,$AG37=FALSE),AND($C$2="Contract amendment",$C$3="No, section requirements must be reviewed",$AF37=FALSE,$AG37=FALSE)),"MUNN")</f>
        <v>0</v>
      </c>
      <c r="R37" s="64">
        <v>43010</v>
      </c>
      <c r="S37" s="64"/>
      <c r="T37" s="64"/>
      <c r="U37" s="97">
        <f>IF(OR($E$33="N/A",AND(AX37=0,'Cover Sheet'!$B$29="Streamlined Review"),AND(E37="Met",F37&lt;&gt;""),AND(E37="Not met",G37&lt;&gt;""),AND(E37="Unsure",G37&lt;&gt;""),AND(E37="N/A",H37&lt;&gt;""),AND(Y37=TRUE)),1,0)</f>
        <v>0</v>
      </c>
      <c r="X37" s="126" t="b">
        <f t="shared" si="2"/>
        <v>0</v>
      </c>
      <c r="Y37" s="126" t="b">
        <f>IF(SUM(Z37:AE37)&lt;1,TRUE,FALSE)</f>
        <v>0</v>
      </c>
      <c r="Z37" s="126">
        <f>IF($Z$2=I37,1,0)</f>
        <v>1</v>
      </c>
      <c r="AA37" s="126">
        <f>IF($AA$2=J37,1,0)</f>
        <v>0</v>
      </c>
      <c r="AB37" s="126">
        <f>IF($AB$2=K37,1,0)</f>
        <v>0</v>
      </c>
      <c r="AC37" s="126">
        <f>IF($AC$2=L37,1,0)</f>
        <v>0</v>
      </c>
      <c r="AD37" s="126">
        <f>IF($AD$2=M37,1,0)</f>
        <v>0</v>
      </c>
      <c r="AE37" s="126">
        <f>IF($AE$2=O37,1,0)</f>
        <v>0</v>
      </c>
      <c r="AF37" s="53" t="b">
        <f>IF($H$1&lt;&gt;0,IF($H$1&lt;&gt;I37,IF($H$1&lt;&gt;J37,IF($H$1&lt;&gt;K37,IF($H$1&lt;&gt;L37,IF($H$1&lt;&gt;M37,IF($H$1&lt;&gt;N37,IF($H$1&lt;&gt;O37,TRUE,FALSE))))))))</f>
        <v>0</v>
      </c>
      <c r="AG37" s="54" t="b">
        <f>IF(AH37=TRUE,TRUE,FALSE)</f>
        <v>0</v>
      </c>
      <c r="AH37" s="56" t="b">
        <f>IF(OR(AND($H$6="Medicaid",MID($A37,1,FIND(".",$A37,1)-1)="II"),AND($H$6="CHIP",MID($A37,1,FIND(".",$A37,1)-1)="I")),TRUE,FALSE)</f>
        <v>0</v>
      </c>
      <c r="AP37" s="69" t="str">
        <f>IF(AO37=1,1,"")</f>
        <v/>
      </c>
      <c r="AX37">
        <v>1</v>
      </c>
    </row>
    <row r="38" spans="1:50" ht="15.75" thickBot="1" x14ac:dyDescent="0.3">
      <c r="A38" s="450"/>
      <c r="B38" s="451"/>
      <c r="C38" s="452" t="s">
        <v>48</v>
      </c>
      <c r="D38" s="442"/>
      <c r="E38" s="443"/>
      <c r="F38" s="444"/>
      <c r="G38" s="444"/>
      <c r="H38" s="445"/>
      <c r="I38" s="74"/>
      <c r="J38" s="74"/>
      <c r="K38" s="74"/>
      <c r="L38" s="87"/>
      <c r="M38" s="87"/>
      <c r="R38" s="116"/>
      <c r="S38" s="116"/>
      <c r="T38" s="116"/>
      <c r="U38" s="126"/>
      <c r="AH38" s="68"/>
    </row>
    <row r="39" spans="1:50" ht="31.5" customHeight="1" x14ac:dyDescent="0.25">
      <c r="A39" s="294" t="s">
        <v>1319</v>
      </c>
      <c r="B39" s="295" t="s">
        <v>1320</v>
      </c>
      <c r="C39" s="295" t="s">
        <v>1321</v>
      </c>
      <c r="D39" s="446"/>
      <c r="E39" s="297"/>
      <c r="F39" s="297"/>
      <c r="G39" s="297"/>
      <c r="H39" s="214"/>
      <c r="I39" s="92" t="s">
        <v>168</v>
      </c>
      <c r="J39" s="92" t="s">
        <v>178</v>
      </c>
      <c r="K39" s="92" t="s">
        <v>185</v>
      </c>
      <c r="L39" s="71" t="s">
        <v>190</v>
      </c>
      <c r="M39" s="71" t="s">
        <v>195</v>
      </c>
      <c r="N39" s="71"/>
      <c r="O39" s="71"/>
      <c r="P39" s="71" t="s">
        <v>380</v>
      </c>
      <c r="Q39" s="71" t="b">
        <f t="shared" ref="Q39:Q51" si="13">IF(OR(AND($C$2="Base contract",$C$3="No, section requirements must be reviewed", $AF39=FALSE,$AG39=FALSE),AND($C$2="Contract amendment",$C$3="No, section requirements must be reviewed",$AF39=FALSE,$AG39=FALSE)),"MUNN")</f>
        <v>0</v>
      </c>
      <c r="R39" s="64"/>
      <c r="S39" s="64"/>
      <c r="T39" s="64"/>
      <c r="U39" s="97">
        <f>IF(OR($E$38="N/A",AND(AX39=0,'Cover Sheet'!$B$29="Streamlined Review"),AND(E39="Met",F39&lt;&gt;""),AND(E39="Not met",G39&lt;&gt;""),AND(E39="Unsure",G39&lt;&gt;""),AND(E39="N/A",H39&lt;&gt;""),AND(Y39=TRUE)),1,0)</f>
        <v>0</v>
      </c>
      <c r="X39" s="126" t="b">
        <f t="shared" si="2"/>
        <v>0</v>
      </c>
      <c r="Y39" s="126" t="b">
        <f>IF(SUM(Z39:AE39)&lt;1,TRUE,FALSE)</f>
        <v>0</v>
      </c>
      <c r="Z39" s="126">
        <f>IF($Z$2=I39,1,0)</f>
        <v>1</v>
      </c>
      <c r="AA39" s="126">
        <f>IF($AA$2=J39,1,0)</f>
        <v>0</v>
      </c>
      <c r="AB39" s="126">
        <f>IF($AB$2=K39,1,0)</f>
        <v>0</v>
      </c>
      <c r="AC39" s="126">
        <f>IF($AC$2=L39,1,0)</f>
        <v>0</v>
      </c>
      <c r="AD39" s="126">
        <f>IF($AD$2=M39,1,0)</f>
        <v>0</v>
      </c>
      <c r="AE39" s="126">
        <f>IF($AE$2=O39,1,0)</f>
        <v>0</v>
      </c>
      <c r="AF39" s="53" t="b">
        <f t="shared" ref="AF39:AF51" si="14">IF($H$1&lt;&gt;0,IF($H$1&lt;&gt;I39,IF($H$1&lt;&gt;J39,IF($H$1&lt;&gt;K39,IF($H$1&lt;&gt;L39,IF($H$1&lt;&gt;M39,IF($H$1&lt;&gt;N39,IF($H$1&lt;&gt;O39,TRUE,FALSE))))))))</f>
        <v>0</v>
      </c>
      <c r="AG39" s="54" t="b">
        <f t="shared" ref="AG39:AG51" si="15">IF(AH39=TRUE,TRUE,FALSE)</f>
        <v>0</v>
      </c>
      <c r="AH39" s="56" t="b">
        <f t="shared" ref="AH39:AH51" si="16">IF(OR(AND($H$6="Medicaid",MID($A39,1,FIND(".",$A39,1)-1)="II"),AND($H$6="CHIP",MID($A39,1,FIND(".",$A39,1)-1)="I")),TRUE,FALSE)</f>
        <v>0</v>
      </c>
      <c r="AP39" s="69" t="str">
        <f t="shared" ref="AP39:AP51" si="17">IF(AO39=1,1,"")</f>
        <v/>
      </c>
      <c r="AX39">
        <v>1</v>
      </c>
    </row>
    <row r="40" spans="1:50" ht="42.75" customHeight="1" x14ac:dyDescent="0.25">
      <c r="A40" s="294" t="s">
        <v>1322</v>
      </c>
      <c r="B40" s="295" t="s">
        <v>1323</v>
      </c>
      <c r="C40" s="295" t="s">
        <v>1324</v>
      </c>
      <c r="D40" s="470">
        <v>8</v>
      </c>
      <c r="E40" s="297"/>
      <c r="F40" s="297"/>
      <c r="G40" s="297"/>
      <c r="H40" s="214"/>
      <c r="I40" s="92" t="s">
        <v>168</v>
      </c>
      <c r="J40" s="92" t="s">
        <v>178</v>
      </c>
      <c r="K40" s="92" t="s">
        <v>185</v>
      </c>
      <c r="L40" s="71" t="s">
        <v>190</v>
      </c>
      <c r="M40" s="71" t="s">
        <v>195</v>
      </c>
      <c r="N40" s="71"/>
      <c r="O40" s="71"/>
      <c r="P40" s="71" t="s">
        <v>380</v>
      </c>
      <c r="Q40" s="71" t="b">
        <f t="shared" si="13"/>
        <v>0</v>
      </c>
      <c r="R40" s="64"/>
      <c r="S40" s="64"/>
      <c r="T40" s="64"/>
      <c r="U40" s="97">
        <f>IF(OR($E$38="N/A",AND(AX40=0,'Cover Sheet'!$B$29="Streamlined Review"),AND(E40="Met",F40&lt;&gt;""),AND(E40="Not met",G40&lt;&gt;""),AND(E40="Unsure",G40&lt;&gt;""),AND(E40="N/A",H40&lt;&gt;""),AND(Y40=TRUE)),1,0)</f>
        <v>0</v>
      </c>
      <c r="X40" s="126" t="b">
        <f t="shared" si="2"/>
        <v>0</v>
      </c>
      <c r="Y40" s="126" t="b">
        <f t="shared" ref="Y40:Y51" si="18">IF(SUM(Z40:AE40)&lt;1,TRUE,FALSE)</f>
        <v>0</v>
      </c>
      <c r="Z40" s="126">
        <f t="shared" ref="Z40:Z51" si="19">IF($Z$2=I40,1,0)</f>
        <v>1</v>
      </c>
      <c r="AA40" s="126">
        <f t="shared" ref="AA40:AA51" si="20">IF($AA$2=J40,1,0)</f>
        <v>0</v>
      </c>
      <c r="AB40" s="126">
        <f t="shared" ref="AB40:AB51" si="21">IF($AB$2=K40,1,0)</f>
        <v>0</v>
      </c>
      <c r="AC40" s="126">
        <f t="shared" ref="AC40:AC51" si="22">IF($AC$2=L40,1,0)</f>
        <v>0</v>
      </c>
      <c r="AD40" s="126">
        <f t="shared" ref="AD40:AD51" si="23">IF($AD$2=M40,1,0)</f>
        <v>0</v>
      </c>
      <c r="AE40" s="126">
        <f t="shared" ref="AE40:AE51" si="24">IF($AE$2=O40,1,0)</f>
        <v>0</v>
      </c>
      <c r="AF40" s="53" t="b">
        <f t="shared" si="14"/>
        <v>0</v>
      </c>
      <c r="AG40" s="54" t="b">
        <f t="shared" si="15"/>
        <v>0</v>
      </c>
      <c r="AH40" s="56" t="b">
        <f t="shared" si="16"/>
        <v>0</v>
      </c>
      <c r="AP40" s="69" t="str">
        <f t="shared" si="17"/>
        <v/>
      </c>
      <c r="AX40">
        <v>1</v>
      </c>
    </row>
    <row r="41" spans="1:50" ht="44.25" customHeight="1" x14ac:dyDescent="0.25">
      <c r="A41" s="294" t="s">
        <v>1325</v>
      </c>
      <c r="B41" s="295" t="s">
        <v>1323</v>
      </c>
      <c r="C41" s="295" t="s">
        <v>1326</v>
      </c>
      <c r="D41" s="470">
        <v>8</v>
      </c>
      <c r="E41" s="297"/>
      <c r="F41" s="297"/>
      <c r="G41" s="297"/>
      <c r="H41" s="214"/>
      <c r="I41" s="92" t="s">
        <v>168</v>
      </c>
      <c r="J41" s="92" t="s">
        <v>178</v>
      </c>
      <c r="K41" s="92" t="s">
        <v>185</v>
      </c>
      <c r="L41" s="71" t="s">
        <v>190</v>
      </c>
      <c r="M41" s="71" t="s">
        <v>195</v>
      </c>
      <c r="N41" s="71"/>
      <c r="O41" s="71"/>
      <c r="P41" s="71" t="s">
        <v>380</v>
      </c>
      <c r="Q41" s="71" t="b">
        <f t="shared" si="13"/>
        <v>0</v>
      </c>
      <c r="R41" s="64"/>
      <c r="S41" s="64"/>
      <c r="T41" s="64"/>
      <c r="U41" s="97">
        <f>IF(OR($E$38="N/A",AND(AX41=0,'Cover Sheet'!$B$29="Streamlined Review"),AND(E41="Met",F41&lt;&gt;""),AND(E41="Not met",G41&lt;&gt;""),AND(E41="Unsure",G41&lt;&gt;""),AND(E41="N/A",H41&lt;&gt;""),AND(Y41=TRUE)),1,0)</f>
        <v>0</v>
      </c>
      <c r="X41" s="126" t="b">
        <f t="shared" si="2"/>
        <v>0</v>
      </c>
      <c r="Y41" s="126" t="b">
        <f t="shared" si="18"/>
        <v>0</v>
      </c>
      <c r="Z41" s="126">
        <f t="shared" si="19"/>
        <v>1</v>
      </c>
      <c r="AA41" s="126">
        <f t="shared" si="20"/>
        <v>0</v>
      </c>
      <c r="AB41" s="126">
        <f t="shared" si="21"/>
        <v>0</v>
      </c>
      <c r="AC41" s="126">
        <f t="shared" si="22"/>
        <v>0</v>
      </c>
      <c r="AD41" s="126">
        <f t="shared" si="23"/>
        <v>0</v>
      </c>
      <c r="AE41" s="126">
        <f t="shared" si="24"/>
        <v>0</v>
      </c>
      <c r="AF41" s="53" t="b">
        <f t="shared" si="14"/>
        <v>0</v>
      </c>
      <c r="AG41" s="54" t="b">
        <f t="shared" si="15"/>
        <v>0</v>
      </c>
      <c r="AH41" s="56" t="b">
        <f t="shared" si="16"/>
        <v>0</v>
      </c>
      <c r="AP41" s="69" t="str">
        <f t="shared" si="17"/>
        <v/>
      </c>
      <c r="AX41">
        <v>1</v>
      </c>
    </row>
    <row r="42" spans="1:50" ht="54" customHeight="1" x14ac:dyDescent="0.25">
      <c r="A42" s="294" t="s">
        <v>1327</v>
      </c>
      <c r="B42" s="295" t="s">
        <v>1328</v>
      </c>
      <c r="C42" s="295" t="s">
        <v>1329</v>
      </c>
      <c r="D42" s="446"/>
      <c r="E42" s="297"/>
      <c r="F42" s="297"/>
      <c r="G42" s="297"/>
      <c r="H42" s="214"/>
      <c r="I42" s="92" t="s">
        <v>168</v>
      </c>
      <c r="J42" s="92" t="s">
        <v>178</v>
      </c>
      <c r="K42" s="92" t="s">
        <v>185</v>
      </c>
      <c r="L42" s="71" t="s">
        <v>190</v>
      </c>
      <c r="M42" s="71" t="s">
        <v>195</v>
      </c>
      <c r="N42" s="71"/>
      <c r="O42" s="71"/>
      <c r="P42" s="71" t="s">
        <v>380</v>
      </c>
      <c r="Q42" s="71" t="b">
        <f t="shared" si="13"/>
        <v>0</v>
      </c>
      <c r="R42" s="64"/>
      <c r="S42" s="64"/>
      <c r="T42" s="64"/>
      <c r="U42" s="97">
        <f>IF(OR($E$38="N/A",AND(AX42=0,'Cover Sheet'!$B$29="Streamlined Review"),AND(E42="Met",F42&lt;&gt;""),AND(E42="Not met",G42&lt;&gt;""),AND(E42="Unsure",G42&lt;&gt;""),AND(E42="N/A",H42&lt;&gt;""),AND(Y42=TRUE)),1,0)</f>
        <v>0</v>
      </c>
      <c r="X42" s="126" t="b">
        <f t="shared" si="2"/>
        <v>0</v>
      </c>
      <c r="Y42" s="126" t="b">
        <f t="shared" si="18"/>
        <v>0</v>
      </c>
      <c r="Z42" s="126">
        <f t="shared" si="19"/>
        <v>1</v>
      </c>
      <c r="AA42" s="126">
        <f t="shared" si="20"/>
        <v>0</v>
      </c>
      <c r="AB42" s="126">
        <f t="shared" si="21"/>
        <v>0</v>
      </c>
      <c r="AC42" s="126">
        <f t="shared" si="22"/>
        <v>0</v>
      </c>
      <c r="AD42" s="126">
        <f t="shared" si="23"/>
        <v>0</v>
      </c>
      <c r="AE42" s="126">
        <f t="shared" si="24"/>
        <v>0</v>
      </c>
      <c r="AF42" s="53" t="b">
        <f t="shared" si="14"/>
        <v>0</v>
      </c>
      <c r="AG42" s="54" t="b">
        <f t="shared" si="15"/>
        <v>0</v>
      </c>
      <c r="AH42" s="56" t="b">
        <f t="shared" si="16"/>
        <v>0</v>
      </c>
      <c r="AP42" s="69" t="str">
        <f t="shared" si="17"/>
        <v/>
      </c>
      <c r="AX42">
        <v>1</v>
      </c>
    </row>
    <row r="43" spans="1:50" ht="50.45" customHeight="1" x14ac:dyDescent="0.25">
      <c r="A43" s="294" t="s">
        <v>1330</v>
      </c>
      <c r="B43" s="295" t="s">
        <v>1331</v>
      </c>
      <c r="C43" s="295" t="s">
        <v>1332</v>
      </c>
      <c r="D43" s="446"/>
      <c r="E43" s="297"/>
      <c r="F43" s="297"/>
      <c r="G43" s="297"/>
      <c r="H43" s="214"/>
      <c r="I43" s="92" t="s">
        <v>168</v>
      </c>
      <c r="J43" s="92" t="s">
        <v>178</v>
      </c>
      <c r="K43" s="92" t="s">
        <v>185</v>
      </c>
      <c r="L43" s="71" t="s">
        <v>190</v>
      </c>
      <c r="M43" s="71" t="s">
        <v>195</v>
      </c>
      <c r="N43" s="71"/>
      <c r="O43" s="71"/>
      <c r="P43" s="71" t="s">
        <v>380</v>
      </c>
      <c r="Q43" s="71" t="b">
        <f t="shared" si="13"/>
        <v>0</v>
      </c>
      <c r="R43" s="64"/>
      <c r="S43" s="64"/>
      <c r="T43" s="64"/>
      <c r="U43" s="97">
        <f>IF(OR($E$38="N/A",AND(AX43=0,'Cover Sheet'!$B$29="Streamlined Review"),AND(E43="Met",F43&lt;&gt;""),AND(E43="Not met",G43&lt;&gt;""),AND(E43="Unsure",G43&lt;&gt;""),AND(E43="N/A",H43&lt;&gt;""),AND(Y43=TRUE)),1,0)</f>
        <v>0</v>
      </c>
      <c r="X43" s="126" t="b">
        <f t="shared" si="2"/>
        <v>0</v>
      </c>
      <c r="Y43" s="126" t="b">
        <f t="shared" si="18"/>
        <v>0</v>
      </c>
      <c r="Z43" s="126">
        <f t="shared" si="19"/>
        <v>1</v>
      </c>
      <c r="AA43" s="126">
        <f t="shared" si="20"/>
        <v>0</v>
      </c>
      <c r="AB43" s="126">
        <f t="shared" si="21"/>
        <v>0</v>
      </c>
      <c r="AC43" s="126">
        <f t="shared" si="22"/>
        <v>0</v>
      </c>
      <c r="AD43" s="126">
        <f t="shared" si="23"/>
        <v>0</v>
      </c>
      <c r="AE43" s="126">
        <f t="shared" si="24"/>
        <v>0</v>
      </c>
      <c r="AF43" s="53" t="b">
        <f t="shared" si="14"/>
        <v>0</v>
      </c>
      <c r="AG43" s="54" t="b">
        <f t="shared" si="15"/>
        <v>0</v>
      </c>
      <c r="AH43" s="56" t="b">
        <f t="shared" si="16"/>
        <v>0</v>
      </c>
      <c r="AP43" s="69" t="str">
        <f t="shared" si="17"/>
        <v/>
      </c>
      <c r="AX43">
        <v>1</v>
      </c>
    </row>
    <row r="44" spans="1:50" ht="57" customHeight="1" x14ac:dyDescent="0.25">
      <c r="A44" s="294" t="s">
        <v>1333</v>
      </c>
      <c r="B44" s="295" t="s">
        <v>1334</v>
      </c>
      <c r="C44" s="295" t="s">
        <v>1335</v>
      </c>
      <c r="D44" s="446"/>
      <c r="E44" s="297"/>
      <c r="F44" s="297"/>
      <c r="G44" s="297"/>
      <c r="H44" s="214"/>
      <c r="I44" s="92" t="s">
        <v>168</v>
      </c>
      <c r="J44" s="92" t="s">
        <v>178</v>
      </c>
      <c r="K44" s="92" t="s">
        <v>185</v>
      </c>
      <c r="L44" s="71" t="s">
        <v>190</v>
      </c>
      <c r="M44" s="71" t="s">
        <v>195</v>
      </c>
      <c r="N44" s="71"/>
      <c r="O44" s="71"/>
      <c r="P44" s="71" t="s">
        <v>380</v>
      </c>
      <c r="Q44" s="71" t="b">
        <f t="shared" si="13"/>
        <v>0</v>
      </c>
      <c r="R44" s="64">
        <v>42917</v>
      </c>
      <c r="S44" s="64"/>
      <c r="T44" s="64"/>
      <c r="U44" s="97">
        <f>IF(OR($E$38="N/A",AND(AX44=0,'Cover Sheet'!$B$29="Streamlined Review"),AND(E44="Met",F44&lt;&gt;""),AND(E44="Not met",G44&lt;&gt;""),AND(E44="Unsure",G44&lt;&gt;""),AND(E44="N/A",H44&lt;&gt;""),AND(Y44=TRUE)),1,0)</f>
        <v>0</v>
      </c>
      <c r="X44" s="126" t="b">
        <f t="shared" si="2"/>
        <v>0</v>
      </c>
      <c r="Y44" s="126" t="b">
        <f t="shared" si="18"/>
        <v>0</v>
      </c>
      <c r="Z44" s="126">
        <f t="shared" si="19"/>
        <v>1</v>
      </c>
      <c r="AA44" s="126">
        <f t="shared" si="20"/>
        <v>0</v>
      </c>
      <c r="AB44" s="126">
        <f t="shared" si="21"/>
        <v>0</v>
      </c>
      <c r="AC44" s="126">
        <f t="shared" si="22"/>
        <v>0</v>
      </c>
      <c r="AD44" s="126">
        <f t="shared" si="23"/>
        <v>0</v>
      </c>
      <c r="AE44" s="126">
        <f t="shared" si="24"/>
        <v>0</v>
      </c>
      <c r="AF44" s="53" t="b">
        <f t="shared" si="14"/>
        <v>0</v>
      </c>
      <c r="AG44" s="54" t="b">
        <f t="shared" si="15"/>
        <v>0</v>
      </c>
      <c r="AH44" s="56" t="b">
        <f t="shared" si="16"/>
        <v>0</v>
      </c>
      <c r="AP44" s="69" t="str">
        <f t="shared" si="17"/>
        <v/>
      </c>
      <c r="AX44">
        <v>0</v>
      </c>
    </row>
    <row r="45" spans="1:50" ht="42" customHeight="1" x14ac:dyDescent="0.25">
      <c r="A45" s="294" t="s">
        <v>1336</v>
      </c>
      <c r="B45" s="295" t="s">
        <v>1337</v>
      </c>
      <c r="C45" s="295" t="s">
        <v>1338</v>
      </c>
      <c r="D45" s="446"/>
      <c r="E45" s="297"/>
      <c r="F45" s="297"/>
      <c r="G45" s="297"/>
      <c r="H45" s="214"/>
      <c r="I45" s="92" t="s">
        <v>168</v>
      </c>
      <c r="J45" s="92" t="s">
        <v>178</v>
      </c>
      <c r="K45" s="92" t="s">
        <v>185</v>
      </c>
      <c r="L45" s="71" t="s">
        <v>190</v>
      </c>
      <c r="M45" s="71"/>
      <c r="N45" s="71"/>
      <c r="O45" s="71"/>
      <c r="P45" s="71" t="s">
        <v>380</v>
      </c>
      <c r="Q45" s="71" t="b">
        <f t="shared" si="13"/>
        <v>0</v>
      </c>
      <c r="R45" s="64">
        <v>42917</v>
      </c>
      <c r="S45" s="64"/>
      <c r="T45" s="64"/>
      <c r="U45" s="97">
        <f>IF(OR($E$38="N/A",AND(AX45=0,'Cover Sheet'!$B$29="Streamlined Review"),AND(E45="Met",F45&lt;&gt;""),AND(E45="Not met",G45&lt;&gt;""),AND(E45="Unsure",G45&lt;&gt;""),AND(E45="N/A",H45&lt;&gt;""),AND(Y45=TRUE)),1,0)</f>
        <v>0</v>
      </c>
      <c r="X45" s="126" t="b">
        <f t="shared" si="2"/>
        <v>0</v>
      </c>
      <c r="Y45" s="126" t="b">
        <f t="shared" si="18"/>
        <v>0</v>
      </c>
      <c r="Z45" s="126">
        <f t="shared" si="19"/>
        <v>1</v>
      </c>
      <c r="AA45" s="126">
        <f t="shared" si="20"/>
        <v>0</v>
      </c>
      <c r="AB45" s="126">
        <f t="shared" si="21"/>
        <v>0</v>
      </c>
      <c r="AC45" s="126">
        <f t="shared" si="22"/>
        <v>0</v>
      </c>
      <c r="AD45" s="126">
        <f t="shared" si="23"/>
        <v>0</v>
      </c>
      <c r="AE45" s="126">
        <f t="shared" si="24"/>
        <v>0</v>
      </c>
      <c r="AF45" s="53" t="b">
        <f t="shared" si="14"/>
        <v>0</v>
      </c>
      <c r="AG45" s="54" t="b">
        <f t="shared" si="15"/>
        <v>0</v>
      </c>
      <c r="AH45" s="56" t="b">
        <f t="shared" si="16"/>
        <v>0</v>
      </c>
      <c r="AP45" s="69" t="str">
        <f t="shared" si="17"/>
        <v/>
      </c>
      <c r="AX45">
        <v>0</v>
      </c>
    </row>
    <row r="46" spans="1:50" ht="59.25" customHeight="1" x14ac:dyDescent="0.25">
      <c r="A46" s="294" t="s">
        <v>1339</v>
      </c>
      <c r="B46" s="295" t="s">
        <v>1340</v>
      </c>
      <c r="C46" s="295" t="s">
        <v>1341</v>
      </c>
      <c r="D46" s="470" t="s">
        <v>1342</v>
      </c>
      <c r="E46" s="297"/>
      <c r="F46" s="297"/>
      <c r="G46" s="297"/>
      <c r="H46" s="214"/>
      <c r="I46" s="92" t="s">
        <v>168</v>
      </c>
      <c r="J46" s="92" t="s">
        <v>178</v>
      </c>
      <c r="K46" s="92" t="s">
        <v>185</v>
      </c>
      <c r="L46" s="71" t="s">
        <v>190</v>
      </c>
      <c r="M46" s="71" t="s">
        <v>195</v>
      </c>
      <c r="N46" s="71"/>
      <c r="O46" s="71"/>
      <c r="P46" s="71" t="s">
        <v>380</v>
      </c>
      <c r="Q46" s="71" t="b">
        <f t="shared" si="13"/>
        <v>0</v>
      </c>
      <c r="R46" s="64"/>
      <c r="S46" s="64"/>
      <c r="T46" s="64"/>
      <c r="U46" s="97">
        <f>IF(OR($E$38="N/A",AND(AX46=0,'Cover Sheet'!$B$29="Streamlined Review"),AND(E46="Met",F46&lt;&gt;""),AND(E46="Not met",G46&lt;&gt;""),AND(E46="Unsure",G46&lt;&gt;""),AND(E46="N/A",H46&lt;&gt;""),AND(Y46=TRUE)),1,0)</f>
        <v>0</v>
      </c>
      <c r="X46" s="126" t="b">
        <f t="shared" si="2"/>
        <v>0</v>
      </c>
      <c r="Y46" s="126" t="b">
        <f t="shared" si="18"/>
        <v>0</v>
      </c>
      <c r="Z46" s="126">
        <f t="shared" si="19"/>
        <v>1</v>
      </c>
      <c r="AA46" s="126">
        <f t="shared" si="20"/>
        <v>0</v>
      </c>
      <c r="AB46" s="126">
        <f t="shared" si="21"/>
        <v>0</v>
      </c>
      <c r="AC46" s="126">
        <f t="shared" si="22"/>
        <v>0</v>
      </c>
      <c r="AD46" s="126">
        <f t="shared" si="23"/>
        <v>0</v>
      </c>
      <c r="AE46" s="126">
        <f t="shared" si="24"/>
        <v>0</v>
      </c>
      <c r="AF46" s="53" t="b">
        <f t="shared" si="14"/>
        <v>0</v>
      </c>
      <c r="AG46" s="54" t="b">
        <f t="shared" si="15"/>
        <v>0</v>
      </c>
      <c r="AH46" s="56" t="b">
        <f t="shared" si="16"/>
        <v>0</v>
      </c>
      <c r="AO46" s="69">
        <v>1</v>
      </c>
      <c r="AP46" s="69">
        <f t="shared" si="17"/>
        <v>1</v>
      </c>
      <c r="AX46">
        <v>1</v>
      </c>
    </row>
    <row r="47" spans="1:50" ht="105.95" customHeight="1" x14ac:dyDescent="0.25">
      <c r="A47" s="294" t="s">
        <v>1343</v>
      </c>
      <c r="B47" s="295" t="s">
        <v>1344</v>
      </c>
      <c r="C47" s="295" t="s">
        <v>1345</v>
      </c>
      <c r="D47" s="470">
        <v>10</v>
      </c>
      <c r="E47" s="297"/>
      <c r="F47" s="297"/>
      <c r="G47" s="297"/>
      <c r="H47" s="214"/>
      <c r="I47" s="92" t="s">
        <v>168</v>
      </c>
      <c r="J47" s="92" t="s">
        <v>178</v>
      </c>
      <c r="K47" s="92" t="s">
        <v>185</v>
      </c>
      <c r="L47" s="71" t="s">
        <v>190</v>
      </c>
      <c r="M47" s="71" t="s">
        <v>195</v>
      </c>
      <c r="N47" s="71"/>
      <c r="O47" s="71"/>
      <c r="P47" s="71" t="s">
        <v>380</v>
      </c>
      <c r="Q47" s="71" t="b">
        <f t="shared" si="13"/>
        <v>0</v>
      </c>
      <c r="R47" s="64">
        <v>42917</v>
      </c>
      <c r="S47" s="64"/>
      <c r="T47" s="64"/>
      <c r="U47" s="97">
        <f>IF(OR($E$38="N/A",AND(AX47=0,'Cover Sheet'!$B$29="Streamlined Review"),AND(E47="Met",F47&lt;&gt;""),AND(E47="Not met",G47&lt;&gt;""),AND(E47="Unsure",G47&lt;&gt;""),AND(E47="N/A",H47&lt;&gt;""),AND(Y47=TRUE)),1,0)</f>
        <v>0</v>
      </c>
      <c r="X47" s="126" t="b">
        <f t="shared" si="2"/>
        <v>0</v>
      </c>
      <c r="Y47" s="126" t="b">
        <f t="shared" si="18"/>
        <v>0</v>
      </c>
      <c r="Z47" s="126">
        <f t="shared" si="19"/>
        <v>1</v>
      </c>
      <c r="AA47" s="126">
        <f t="shared" si="20"/>
        <v>0</v>
      </c>
      <c r="AB47" s="126">
        <f t="shared" si="21"/>
        <v>0</v>
      </c>
      <c r="AC47" s="126">
        <f t="shared" si="22"/>
        <v>0</v>
      </c>
      <c r="AD47" s="126">
        <f t="shared" si="23"/>
        <v>0</v>
      </c>
      <c r="AE47" s="126">
        <f t="shared" si="24"/>
        <v>0</v>
      </c>
      <c r="AF47" s="53" t="b">
        <f t="shared" si="14"/>
        <v>0</v>
      </c>
      <c r="AG47" s="54" t="b">
        <f t="shared" si="15"/>
        <v>0</v>
      </c>
      <c r="AH47" s="56" t="b">
        <f t="shared" si="16"/>
        <v>0</v>
      </c>
      <c r="AO47" s="69">
        <v>1</v>
      </c>
      <c r="AP47" s="69">
        <f t="shared" si="17"/>
        <v>1</v>
      </c>
      <c r="AX47">
        <v>1</v>
      </c>
    </row>
    <row r="48" spans="1:50" ht="69.75" customHeight="1" x14ac:dyDescent="0.25">
      <c r="A48" s="294" t="s">
        <v>1346</v>
      </c>
      <c r="B48" s="295" t="s">
        <v>1347</v>
      </c>
      <c r="C48" s="295" t="s">
        <v>1348</v>
      </c>
      <c r="D48" s="470">
        <v>11</v>
      </c>
      <c r="E48" s="297"/>
      <c r="F48" s="297"/>
      <c r="G48" s="297"/>
      <c r="H48" s="214"/>
      <c r="I48" s="92" t="s">
        <v>168</v>
      </c>
      <c r="J48" s="92" t="s">
        <v>178</v>
      </c>
      <c r="K48" s="92" t="s">
        <v>185</v>
      </c>
      <c r="L48" s="71" t="s">
        <v>190</v>
      </c>
      <c r="M48" s="71"/>
      <c r="N48" s="71"/>
      <c r="O48" s="71"/>
      <c r="P48" s="71" t="s">
        <v>380</v>
      </c>
      <c r="Q48" s="71" t="b">
        <f t="shared" si="13"/>
        <v>0</v>
      </c>
      <c r="R48" s="64">
        <v>43010</v>
      </c>
      <c r="S48" s="64"/>
      <c r="T48" s="64"/>
      <c r="U48" s="97">
        <f>IF(OR($E$38="N/A",AND(AX48=0,'Cover Sheet'!$B$29="Streamlined Review"),AND(E48="Met",F48&lt;&gt;""),AND(E48="Not met",G48&lt;&gt;""),AND(E48="Unsure",G48&lt;&gt;""),AND(E48="N/A",H48&lt;&gt;""),AND(Y48=TRUE)),1,0)</f>
        <v>0</v>
      </c>
      <c r="X48" s="126" t="b">
        <f t="shared" si="2"/>
        <v>0</v>
      </c>
      <c r="Y48" s="126" t="b">
        <f t="shared" si="18"/>
        <v>0</v>
      </c>
      <c r="Z48" s="126">
        <f t="shared" si="19"/>
        <v>1</v>
      </c>
      <c r="AA48" s="126">
        <f t="shared" si="20"/>
        <v>0</v>
      </c>
      <c r="AB48" s="126">
        <f t="shared" si="21"/>
        <v>0</v>
      </c>
      <c r="AC48" s="126">
        <f t="shared" si="22"/>
        <v>0</v>
      </c>
      <c r="AD48" s="126">
        <f t="shared" si="23"/>
        <v>0</v>
      </c>
      <c r="AE48" s="126">
        <f t="shared" si="24"/>
        <v>0</v>
      </c>
      <c r="AF48" s="53" t="b">
        <f t="shared" si="14"/>
        <v>0</v>
      </c>
      <c r="AG48" s="54" t="b">
        <f t="shared" si="15"/>
        <v>0</v>
      </c>
      <c r="AH48" s="56" t="b">
        <f t="shared" si="16"/>
        <v>0</v>
      </c>
      <c r="AI48" s="117"/>
      <c r="AM48" s="117"/>
      <c r="AP48" s="69" t="str">
        <f t="shared" si="17"/>
        <v/>
      </c>
      <c r="AX48">
        <v>1</v>
      </c>
    </row>
    <row r="49" spans="1:51" ht="51.6" customHeight="1" x14ac:dyDescent="0.25">
      <c r="A49" s="294" t="s">
        <v>1349</v>
      </c>
      <c r="B49" s="295" t="s">
        <v>1350</v>
      </c>
      <c r="C49" s="295" t="s">
        <v>1351</v>
      </c>
      <c r="D49" s="470" t="s">
        <v>1352</v>
      </c>
      <c r="E49" s="297"/>
      <c r="F49" s="297"/>
      <c r="G49" s="297"/>
      <c r="H49" s="214"/>
      <c r="I49" s="92" t="s">
        <v>168</v>
      </c>
      <c r="J49" s="92" t="s">
        <v>178</v>
      </c>
      <c r="K49" s="92" t="s">
        <v>185</v>
      </c>
      <c r="L49" s="71" t="s">
        <v>190</v>
      </c>
      <c r="M49" s="71" t="s">
        <v>195</v>
      </c>
      <c r="N49" s="71"/>
      <c r="O49" s="71"/>
      <c r="P49" s="71" t="s">
        <v>380</v>
      </c>
      <c r="Q49" s="71" t="b">
        <f t="shared" si="13"/>
        <v>0</v>
      </c>
      <c r="R49" s="64"/>
      <c r="S49" s="64"/>
      <c r="T49" s="64"/>
      <c r="U49" s="97">
        <f>IF(OR($E$38="N/A",AND(AX49=0,'Cover Sheet'!$B$29="Streamlined Review"),AND(E49="Met",F49&lt;&gt;""),AND(E49="Not met",G49&lt;&gt;""),AND(E49="Unsure",G49&lt;&gt;""),AND(E49="N/A",H49&lt;&gt;""),AND(Y49=TRUE),X49=TRUE),1,0)</f>
        <v>0</v>
      </c>
      <c r="X49" s="126" t="b">
        <f>IF(OR(Y49=TRUE,AY49=0),TRUE,FALSE)</f>
        <v>0</v>
      </c>
      <c r="Y49" s="126" t="b">
        <f t="shared" ref="Y49" si="25">IF(SUM(Z49:AE49)&lt;1,TRUE,FALSE)</f>
        <v>0</v>
      </c>
      <c r="Z49" s="126">
        <f t="shared" ref="Z49" si="26">IF($Z$2=I49,1,0)</f>
        <v>1</v>
      </c>
      <c r="AA49" s="126">
        <f t="shared" ref="AA49" si="27">IF($AA$2=J49,1,0)</f>
        <v>0</v>
      </c>
      <c r="AB49" s="126">
        <f t="shared" ref="AB49" si="28">IF($AB$2=K49,1,0)</f>
        <v>0</v>
      </c>
      <c r="AC49" s="126">
        <f t="shared" ref="AC49" si="29">IF($AC$2=L49,1,0)</f>
        <v>0</v>
      </c>
      <c r="AD49" s="126">
        <f t="shared" ref="AD49" si="30">IF($AD$2=M49,1,0)</f>
        <v>0</v>
      </c>
      <c r="AE49" s="126">
        <f t="shared" ref="AE49" si="31">IF($AE$2=O49,1,0)</f>
        <v>0</v>
      </c>
      <c r="AF49" s="53" t="b">
        <f t="shared" ref="AF49" si="32">IF($H$1&lt;&gt;0,IF($H$1&lt;&gt;I49,IF($H$1&lt;&gt;J49,IF($H$1&lt;&gt;K49,IF($H$1&lt;&gt;L49,IF($H$1&lt;&gt;M49,IF($H$1&lt;&gt;N49,IF($H$1&lt;&gt;O49,TRUE,FALSE))))))))</f>
        <v>0</v>
      </c>
      <c r="AG49" s="54" t="b">
        <f t="shared" ref="AG49" si="33">IF(AH49=TRUE,TRUE,FALSE)</f>
        <v>0</v>
      </c>
      <c r="AH49" s="56" t="b">
        <f t="shared" si="16"/>
        <v>0</v>
      </c>
      <c r="AP49" s="69" t="str">
        <f t="shared" ref="AP49" si="34">IF(AO49=1,1,"")</f>
        <v/>
      </c>
      <c r="AX49">
        <v>1</v>
      </c>
      <c r="AY49">
        <f>IF(AY50=1,0,1)</f>
        <v>1</v>
      </c>
    </row>
    <row r="50" spans="1:51" ht="141.75" customHeight="1" x14ac:dyDescent="0.25">
      <c r="A50" s="294" t="s">
        <v>1349</v>
      </c>
      <c r="B50" s="295" t="s">
        <v>1350</v>
      </c>
      <c r="C50" s="295" t="s">
        <v>1353</v>
      </c>
      <c r="D50" s="470" t="s">
        <v>1352</v>
      </c>
      <c r="E50" s="297"/>
      <c r="F50" s="297"/>
      <c r="G50" s="297"/>
      <c r="H50" s="214"/>
      <c r="I50" s="92" t="s">
        <v>168</v>
      </c>
      <c r="J50" s="92" t="s">
        <v>178</v>
      </c>
      <c r="K50" s="92" t="s">
        <v>185</v>
      </c>
      <c r="L50" s="71" t="s">
        <v>190</v>
      </c>
      <c r="M50" s="71" t="s">
        <v>195</v>
      </c>
      <c r="N50" s="71"/>
      <c r="O50" s="71"/>
      <c r="P50" s="71" t="s">
        <v>380</v>
      </c>
      <c r="Q50" s="71" t="b">
        <f t="shared" si="13"/>
        <v>0</v>
      </c>
      <c r="R50" s="64">
        <v>45482</v>
      </c>
      <c r="S50" s="64"/>
      <c r="T50" s="64"/>
      <c r="U50" s="97">
        <f>IF(OR($E$38="N/A",AND(AX50=0,'Cover Sheet'!$B$29="Streamlined Review"),AND(E50="Met",F50&lt;&gt;""),AND(E50="Not met",G50&lt;&gt;""),AND(E50="Unsure",G50&lt;&gt;""),AND(E50="N/A",H50&lt;&gt;""),AND(Y50=TRUE),X50=TRUE),1,0)</f>
        <v>1</v>
      </c>
      <c r="X50" s="126" t="b">
        <f>IF(OR(Y50=TRUE,AY50=0),TRUE,FALSE)</f>
        <v>1</v>
      </c>
      <c r="Y50" s="126" t="b">
        <f t="shared" si="18"/>
        <v>0</v>
      </c>
      <c r="Z50" s="126">
        <f t="shared" si="19"/>
        <v>1</v>
      </c>
      <c r="AA50" s="126">
        <f t="shared" si="20"/>
        <v>0</v>
      </c>
      <c r="AB50" s="126">
        <f t="shared" si="21"/>
        <v>0</v>
      </c>
      <c r="AC50" s="126">
        <f t="shared" si="22"/>
        <v>0</v>
      </c>
      <c r="AD50" s="126">
        <f t="shared" si="23"/>
        <v>0</v>
      </c>
      <c r="AE50" s="126">
        <f t="shared" si="24"/>
        <v>0</v>
      </c>
      <c r="AF50" s="53" t="b">
        <f t="shared" si="14"/>
        <v>0</v>
      </c>
      <c r="AG50" s="54" t="b">
        <f t="shared" si="15"/>
        <v>0</v>
      </c>
      <c r="AH50" s="56" t="b">
        <f t="shared" si="16"/>
        <v>0</v>
      </c>
      <c r="AP50" s="69" t="str">
        <f t="shared" si="17"/>
        <v/>
      </c>
      <c r="AX50">
        <v>1</v>
      </c>
      <c r="AY50">
        <f>IF('Cover Sheet'!$B$25&gt;=R50,1,0)</f>
        <v>0</v>
      </c>
    </row>
    <row r="51" spans="1:51" ht="120" customHeight="1" x14ac:dyDescent="0.25">
      <c r="A51" s="294" t="s">
        <v>1354</v>
      </c>
      <c r="B51" s="295" t="s">
        <v>1355</v>
      </c>
      <c r="C51" s="295" t="s">
        <v>1356</v>
      </c>
      <c r="D51" s="470" t="s">
        <v>1352</v>
      </c>
      <c r="E51" s="297"/>
      <c r="F51" s="297"/>
      <c r="G51" s="297"/>
      <c r="H51" s="214"/>
      <c r="I51" s="92" t="s">
        <v>168</v>
      </c>
      <c r="J51" s="92" t="s">
        <v>178</v>
      </c>
      <c r="K51" s="92" t="s">
        <v>185</v>
      </c>
      <c r="L51" s="71" t="s">
        <v>190</v>
      </c>
      <c r="M51" s="71" t="s">
        <v>195</v>
      </c>
      <c r="N51" s="71"/>
      <c r="O51" s="71"/>
      <c r="P51" s="71" t="s">
        <v>380</v>
      </c>
      <c r="Q51" s="71" t="b">
        <f t="shared" si="13"/>
        <v>0</v>
      </c>
      <c r="R51" s="64">
        <v>45482</v>
      </c>
      <c r="S51" s="64"/>
      <c r="T51" s="64"/>
      <c r="U51" s="97">
        <f>IF(OR($E$38="N/A",AND(AX51=0,'Cover Sheet'!$B$29="Streamlined Review"),AND(E51="Met",F51&lt;&gt;""),AND(E51="Not met",G51&lt;&gt;""),AND(E51="Unsure",G51&lt;&gt;""),AND(E51="N/A",H51&lt;&gt;""),AND(Y51=TRUE),AND(X51=TRUE)),1,0)</f>
        <v>1</v>
      </c>
      <c r="X51" s="126" t="b">
        <f>IF(OR(Y51=TRUE,AY51=0),TRUE,FALSE)</f>
        <v>1</v>
      </c>
      <c r="Y51" s="126" t="b">
        <f t="shared" si="18"/>
        <v>0</v>
      </c>
      <c r="Z51" s="126">
        <f t="shared" si="19"/>
        <v>1</v>
      </c>
      <c r="AA51" s="126">
        <f t="shared" si="20"/>
        <v>0</v>
      </c>
      <c r="AB51" s="126">
        <f t="shared" si="21"/>
        <v>0</v>
      </c>
      <c r="AC51" s="126">
        <f t="shared" si="22"/>
        <v>0</v>
      </c>
      <c r="AD51" s="126">
        <f t="shared" si="23"/>
        <v>0</v>
      </c>
      <c r="AE51" s="126">
        <f t="shared" si="24"/>
        <v>0</v>
      </c>
      <c r="AF51" s="53" t="b">
        <f t="shared" si="14"/>
        <v>0</v>
      </c>
      <c r="AG51" s="54" t="b">
        <f t="shared" si="15"/>
        <v>0</v>
      </c>
      <c r="AH51" s="56" t="b">
        <f t="shared" si="16"/>
        <v>0</v>
      </c>
      <c r="AP51" s="69" t="str">
        <f t="shared" si="17"/>
        <v/>
      </c>
      <c r="AX51">
        <v>1</v>
      </c>
      <c r="AY51">
        <f>IF('Cover Sheet'!B25&gt;=R51,1,0)</f>
        <v>0</v>
      </c>
    </row>
    <row r="52" spans="1:51" ht="15.75" thickBot="1" x14ac:dyDescent="0.3">
      <c r="A52" s="450"/>
      <c r="B52" s="451"/>
      <c r="C52" s="452" t="s">
        <v>49</v>
      </c>
      <c r="D52" s="442"/>
      <c r="E52" s="443"/>
      <c r="F52" s="444"/>
      <c r="G52" s="444"/>
      <c r="H52" s="445"/>
      <c r="I52" s="74"/>
      <c r="J52" s="74"/>
      <c r="K52" s="74"/>
      <c r="L52" s="87"/>
      <c r="M52" s="87"/>
      <c r="R52" s="116"/>
      <c r="S52" s="116"/>
      <c r="T52" s="116"/>
      <c r="U52" s="126"/>
      <c r="AH52" s="68"/>
    </row>
    <row r="53" spans="1:51" ht="153" x14ac:dyDescent="0.25">
      <c r="A53" s="294" t="s">
        <v>1357</v>
      </c>
      <c r="B53" s="295" t="s">
        <v>1358</v>
      </c>
      <c r="C53" s="295" t="s">
        <v>1359</v>
      </c>
      <c r="D53" s="447">
        <v>14</v>
      </c>
      <c r="E53" s="297"/>
      <c r="F53" s="297"/>
      <c r="G53" s="297"/>
      <c r="H53" s="214"/>
      <c r="I53" s="92" t="s">
        <v>168</v>
      </c>
      <c r="J53" s="92" t="s">
        <v>178</v>
      </c>
      <c r="K53" s="92" t="s">
        <v>185</v>
      </c>
      <c r="L53" s="71" t="s">
        <v>190</v>
      </c>
      <c r="M53" s="71"/>
      <c r="N53" s="71"/>
      <c r="O53" s="71"/>
      <c r="P53" s="71" t="s">
        <v>380</v>
      </c>
      <c r="Q53" s="71" t="b">
        <f>IF(OR(AND($C$2="Base contract",$C$3="No, section requirements must be reviewed", $AF53=FALSE,$AG53=FALSE),AND($C$2="Contract amendment",$C$3="No, section requirements must be reviewed",$AF53=FALSE,$AG53=FALSE)),"MUNN")</f>
        <v>0</v>
      </c>
      <c r="R53" s="64"/>
      <c r="S53" s="64"/>
      <c r="T53" s="64"/>
      <c r="U53" s="97">
        <f>IF(OR($E$52="N/A",AND(AX53=0,'Cover Sheet'!$B$29="Streamlined Review"),AND(E53="Met",F53&lt;&gt;""),AND(E53="Not met",G53&lt;&gt;""),AND(E53="Unsure",G53&lt;&gt;""),AND(E53="N/A",H53&lt;&gt;""),AND(Y53=TRUE)),1,0)</f>
        <v>0</v>
      </c>
      <c r="X53" s="126" t="b">
        <f t="shared" si="2"/>
        <v>0</v>
      </c>
      <c r="Y53" s="126" t="b">
        <f>IF(SUM(Z53:AE53)&lt;1,TRUE,FALSE)</f>
        <v>0</v>
      </c>
      <c r="Z53" s="126">
        <f>IF($Z$2=I53,1,0)</f>
        <v>1</v>
      </c>
      <c r="AA53" s="126">
        <f>IF($AA$2=J53,1,0)</f>
        <v>0</v>
      </c>
      <c r="AB53" s="126">
        <f>IF($AB$2=K53,1,0)</f>
        <v>0</v>
      </c>
      <c r="AC53" s="126">
        <f>IF($AC$2=L53,1,0)</f>
        <v>0</v>
      </c>
      <c r="AD53" s="126">
        <f>IF($AD$2=M53,1,0)</f>
        <v>0</v>
      </c>
      <c r="AE53" s="126">
        <f>IF($AE$2=O53,1,0)</f>
        <v>0</v>
      </c>
      <c r="AF53" s="53" t="b">
        <f>IF($H$1&lt;&gt;0,IF($H$1&lt;&gt;I53,IF($H$1&lt;&gt;J53,IF($H$1&lt;&gt;K53,IF($H$1&lt;&gt;L53,IF($H$1&lt;&gt;M53,IF($H$1&lt;&gt;N53,IF($H$1&lt;&gt;O53,TRUE,FALSE))))))))</f>
        <v>0</v>
      </c>
      <c r="AG53" s="54" t="b">
        <f>IF(AH53=TRUE,TRUE,FALSE)</f>
        <v>0</v>
      </c>
      <c r="AH53" s="56" t="b">
        <f>IF(OR(AND($H$6="Medicaid",MID($A53,1,FIND(".",$A53,1)-1)="II"),AND($H$6="CHIP",MID($A53,1,FIND(".",$A53,1)-1)="I")),TRUE,FALSE)</f>
        <v>0</v>
      </c>
      <c r="AO53" s="69">
        <v>1</v>
      </c>
      <c r="AP53" s="69">
        <f>IF(AO53=1,1,"")</f>
        <v>1</v>
      </c>
      <c r="AX53">
        <v>0</v>
      </c>
    </row>
    <row r="54" spans="1:51" ht="45" customHeight="1" x14ac:dyDescent="0.25">
      <c r="A54" s="294" t="s">
        <v>1360</v>
      </c>
      <c r="B54" s="295" t="s">
        <v>1361</v>
      </c>
      <c r="C54" s="295" t="s">
        <v>1362</v>
      </c>
      <c r="D54" s="446"/>
      <c r="E54" s="297"/>
      <c r="F54" s="297"/>
      <c r="G54" s="297"/>
      <c r="H54" s="214"/>
      <c r="I54" s="92" t="s">
        <v>168</v>
      </c>
      <c r="J54" s="92" t="s">
        <v>178</v>
      </c>
      <c r="K54" s="92" t="s">
        <v>185</v>
      </c>
      <c r="L54" s="71" t="s">
        <v>190</v>
      </c>
      <c r="M54" s="71"/>
      <c r="N54" s="71"/>
      <c r="O54" s="71"/>
      <c r="P54" s="71" t="s">
        <v>380</v>
      </c>
      <c r="Q54" s="71" t="b">
        <f>IF(OR(AND($C$2="Base contract",$C$3="No, section requirements must be reviewed", $AF54=FALSE,$AG54=FALSE),AND($C$2="Contract amendment",$C$3="No, section requirements must be reviewed",$AF54=FALSE,$AG54=FALSE)),"MUNN")</f>
        <v>0</v>
      </c>
      <c r="R54" s="64"/>
      <c r="S54" s="64"/>
      <c r="T54" s="64"/>
      <c r="U54" s="97">
        <f>IF(OR($E$52="N/A",AND(AX54=0,'Cover Sheet'!$B$29="Streamlined Review"),AND(E54="Met",F54&lt;&gt;""),AND(E54="Not met",G54&lt;&gt;""),AND(E54="Unsure",G54&lt;&gt;""),AND(E54="N/A",H54&lt;&gt;""),AND(Y54=TRUE)),1,0)</f>
        <v>0</v>
      </c>
      <c r="X54" s="126" t="b">
        <f t="shared" si="2"/>
        <v>0</v>
      </c>
      <c r="Y54" s="126" t="b">
        <f>IF(SUM(Z54:AE54)&lt;1,TRUE,FALSE)</f>
        <v>0</v>
      </c>
      <c r="Z54" s="126">
        <f>IF($Z$2=I54,1,0)</f>
        <v>1</v>
      </c>
      <c r="AA54" s="126">
        <f>IF($AA$2=J54,1,0)</f>
        <v>0</v>
      </c>
      <c r="AB54" s="126">
        <f>IF($AB$2=K54,1,0)</f>
        <v>0</v>
      </c>
      <c r="AC54" s="126">
        <f>IF($AC$2=L54,1,0)</f>
        <v>0</v>
      </c>
      <c r="AD54" s="126">
        <f>IF($AD$2=M54,1,0)</f>
        <v>0</v>
      </c>
      <c r="AE54" s="126">
        <f>IF($AE$2=O54,1,0)</f>
        <v>0</v>
      </c>
      <c r="AF54" s="53" t="b">
        <f>IF($H$1&lt;&gt;0,IF($H$1&lt;&gt;I54,IF($H$1&lt;&gt;J54,IF($H$1&lt;&gt;K54,IF($H$1&lt;&gt;L54,IF($H$1&lt;&gt;M54,IF($H$1&lt;&gt;N54,IF($H$1&lt;&gt;O54,TRUE,FALSE))))))))</f>
        <v>0</v>
      </c>
      <c r="AG54" s="54" t="b">
        <f>IF(AH54=TRUE,TRUE,FALSE)</f>
        <v>0</v>
      </c>
      <c r="AH54" s="56" t="b">
        <f>IF(OR(AND($H$6="Medicaid",MID($A54,1,FIND(".",$A54,1)-1)="II"),AND($H$6="CHIP",MID($A54,1,FIND(".",$A54,1)-1)="I")),TRUE,FALSE)</f>
        <v>0</v>
      </c>
      <c r="AO54" s="69">
        <v>1</v>
      </c>
      <c r="AP54" s="69">
        <f>IF(AO54=1,1,"")</f>
        <v>1</v>
      </c>
      <c r="AX54">
        <v>0</v>
      </c>
    </row>
    <row r="55" spans="1:51" ht="33.75" customHeight="1" thickBot="1" x14ac:dyDescent="0.3">
      <c r="A55" s="294" t="s">
        <v>1363</v>
      </c>
      <c r="B55" s="295" t="s">
        <v>1364</v>
      </c>
      <c r="C55" s="295" t="s">
        <v>1365</v>
      </c>
      <c r="D55" s="446"/>
      <c r="E55" s="297"/>
      <c r="F55" s="297"/>
      <c r="G55" s="297"/>
      <c r="H55" s="214"/>
      <c r="I55" s="92" t="s">
        <v>168</v>
      </c>
      <c r="J55" s="92" t="s">
        <v>178</v>
      </c>
      <c r="K55" s="92" t="s">
        <v>185</v>
      </c>
      <c r="L55" s="71" t="s">
        <v>190</v>
      </c>
      <c r="M55" s="71"/>
      <c r="N55" s="71"/>
      <c r="O55" s="71"/>
      <c r="P55" s="71" t="s">
        <v>380</v>
      </c>
      <c r="Q55" s="71" t="b">
        <f>IF(OR(AND($C$2="Base contract",$C$3="No, section requirements must be reviewed", $AF55=FALSE,$AG55=FALSE),AND($C$2="Contract amendment",$C$3="No, section requirements must be reviewed",$AF55=FALSE,$AG55=FALSE)),"MUNN")</f>
        <v>0</v>
      </c>
      <c r="R55" s="64"/>
      <c r="S55" s="64"/>
      <c r="T55" s="64"/>
      <c r="U55" s="97">
        <f>IF(OR($E$52="N/A",AND(AX55=0,'Cover Sheet'!$B$29="Streamlined Review"),AND(E55="Met",F55&lt;&gt;""),AND(E55="Not met",G55&lt;&gt;""),AND(E55="Unsure",G55&lt;&gt;""),AND(E55="N/A",H55&lt;&gt;""),AND(Y55=TRUE)),1,0)</f>
        <v>0</v>
      </c>
      <c r="X55" s="126" t="b">
        <f t="shared" si="2"/>
        <v>0</v>
      </c>
      <c r="Y55" s="126" t="b">
        <f>IF(SUM(Z55:AE55)&lt;1,TRUE,FALSE)</f>
        <v>0</v>
      </c>
      <c r="Z55" s="126">
        <f>IF($Z$2=I55,1,0)</f>
        <v>1</v>
      </c>
      <c r="AA55" s="126">
        <f>IF($AA$2=J55,1,0)</f>
        <v>0</v>
      </c>
      <c r="AB55" s="126">
        <f>IF($AB$2=K55,1,0)</f>
        <v>0</v>
      </c>
      <c r="AC55" s="126">
        <f>IF($AC$2=L55,1,0)</f>
        <v>0</v>
      </c>
      <c r="AD55" s="126">
        <f>IF($AD$2=M55,1,0)</f>
        <v>0</v>
      </c>
      <c r="AE55" s="126">
        <f>IF($AE$2=O55,1,0)</f>
        <v>0</v>
      </c>
      <c r="AF55" s="53" t="b">
        <f>IF($H$1&lt;&gt;0,IF($H$1&lt;&gt;I55,IF($H$1&lt;&gt;J55,IF($H$1&lt;&gt;K55,IF($H$1&lt;&gt;L55,IF($H$1&lt;&gt;M55,IF($H$1&lt;&gt;N55,IF($H$1&lt;&gt;O55,TRUE,FALSE))))))))</f>
        <v>0</v>
      </c>
      <c r="AG55" s="54" t="b">
        <f>IF(AH55=TRUE,TRUE,FALSE)</f>
        <v>0</v>
      </c>
      <c r="AH55" s="56" t="b">
        <f>IF(OR(AND($H$6="Medicaid",MID($A55,1,FIND(".",$A55,1)-1)="II"),AND($H$6="CHIP",MID($A55,1,FIND(".",$A55,1)-1)="I")),TRUE,FALSE)</f>
        <v>0</v>
      </c>
      <c r="AO55" s="69">
        <v>1</v>
      </c>
      <c r="AP55" s="69">
        <f>IF(AO55=1,1,"")</f>
        <v>1</v>
      </c>
      <c r="AX55">
        <v>0</v>
      </c>
    </row>
    <row r="56" spans="1:51" ht="15.75" thickBot="1" x14ac:dyDescent="0.3">
      <c r="A56" s="450"/>
      <c r="B56" s="451"/>
      <c r="C56" s="452" t="s">
        <v>50</v>
      </c>
      <c r="D56" s="442"/>
      <c r="E56" s="443"/>
      <c r="F56" s="444"/>
      <c r="G56" s="444"/>
      <c r="H56" s="445"/>
      <c r="I56" s="74"/>
      <c r="J56" s="74"/>
      <c r="K56" s="74"/>
      <c r="L56" s="87"/>
      <c r="M56" s="87"/>
      <c r="R56" s="116"/>
      <c r="S56" s="116"/>
      <c r="T56" s="116"/>
      <c r="U56" s="126"/>
      <c r="AH56" s="68"/>
    </row>
    <row r="57" spans="1:51" ht="51" x14ac:dyDescent="0.25">
      <c r="A57" s="294" t="s">
        <v>1366</v>
      </c>
      <c r="B57" s="295" t="s">
        <v>1367</v>
      </c>
      <c r="C57" s="295" t="s">
        <v>1368</v>
      </c>
      <c r="D57" s="446"/>
      <c r="E57" s="297"/>
      <c r="F57" s="297"/>
      <c r="G57" s="297"/>
      <c r="H57" s="214"/>
      <c r="I57" s="92" t="s">
        <v>168</v>
      </c>
      <c r="J57" s="92" t="s">
        <v>178</v>
      </c>
      <c r="K57" s="92" t="s">
        <v>185</v>
      </c>
      <c r="L57" s="71" t="s">
        <v>190</v>
      </c>
      <c r="M57" s="71" t="s">
        <v>195</v>
      </c>
      <c r="N57" s="71"/>
      <c r="O57" s="71"/>
      <c r="P57" s="71" t="s">
        <v>380</v>
      </c>
      <c r="Q57" s="71" t="b">
        <f>IF(OR(AND($C$2="Base contract",$C$3="No, section requirements must be reviewed", $AF57=FALSE,$AG57=FALSE),AND($C$2="Contract amendment",$C$3="No, section requirements must be reviewed",$AF57=FALSE,$AG57=FALSE)),"MUNN")</f>
        <v>0</v>
      </c>
      <c r="R57" s="64">
        <v>42556</v>
      </c>
      <c r="S57" s="64"/>
      <c r="T57" s="64"/>
      <c r="U57" s="97">
        <f>IF(OR($E$56="N/A",AND(AX57=0,'Cover Sheet'!$B$29="Streamlined Review"),AND(E57="Met",F57&lt;&gt;""),AND(E57="Not met",G57&lt;&gt;""),AND(E57="Unsure",G57&lt;&gt;""),AND(E57="N/A",H57&lt;&gt;""),AND(Y57=TRUE)),1,0)</f>
        <v>0</v>
      </c>
      <c r="X57" s="126" t="b">
        <f t="shared" si="2"/>
        <v>0</v>
      </c>
      <c r="Y57" s="126" t="b">
        <f>IF(SUM(Z57:AE57)&lt;1,TRUE,FALSE)</f>
        <v>0</v>
      </c>
      <c r="Z57" s="126">
        <f>IF($Z$2=I57,1,0)</f>
        <v>1</v>
      </c>
      <c r="AA57" s="126">
        <f>IF($AA$2=J57,1,0)</f>
        <v>0</v>
      </c>
      <c r="AB57" s="126">
        <f>IF($AB$2=K57,1,0)</f>
        <v>0</v>
      </c>
      <c r="AC57" s="126">
        <f>IF($AC$2=L57,1,0)</f>
        <v>0</v>
      </c>
      <c r="AD57" s="126">
        <f>IF($AD$2=M57,1,0)</f>
        <v>0</v>
      </c>
      <c r="AE57" s="126">
        <f>IF($AE$2=O57,1,0)</f>
        <v>0</v>
      </c>
      <c r="AF57" s="53" t="b">
        <f>IF($H$1&lt;&gt;0,IF($H$1&lt;&gt;I57,IF($H$1&lt;&gt;J57,IF($H$1&lt;&gt;K57,IF($H$1&lt;&gt;L57,IF($H$1&lt;&gt;M57,IF($H$1&lt;&gt;N57,IF($H$1&lt;&gt;O57,TRUE,FALSE))))))))</f>
        <v>0</v>
      </c>
      <c r="AG57" s="54" t="b">
        <f>IF(AH57=TRUE,TRUE,FALSE)</f>
        <v>0</v>
      </c>
      <c r="AH57" s="56" t="b">
        <f>IF(OR(AND($H$6="Medicaid",MID($A57,1,FIND(".",$A57,1)-1)="II"),AND($H$6="CHIP",MID($A57,1,FIND(".",$A57,1)-1)="I")),TRUE,FALSE)</f>
        <v>0</v>
      </c>
      <c r="AO57" s="69">
        <v>1</v>
      </c>
      <c r="AP57" s="69">
        <f>IF(AO57=1,1,"")</f>
        <v>1</v>
      </c>
      <c r="AX57">
        <v>0</v>
      </c>
    </row>
    <row r="58" spans="1:51" ht="51" x14ac:dyDescent="0.25">
      <c r="A58" s="294" t="s">
        <v>1369</v>
      </c>
      <c r="B58" s="295" t="s">
        <v>1370</v>
      </c>
      <c r="C58" s="295" t="s">
        <v>1371</v>
      </c>
      <c r="D58" s="446"/>
      <c r="E58" s="297"/>
      <c r="F58" s="297"/>
      <c r="G58" s="297"/>
      <c r="H58" s="214"/>
      <c r="I58" s="92" t="s">
        <v>168</v>
      </c>
      <c r="J58" s="92" t="s">
        <v>178</v>
      </c>
      <c r="K58" s="92" t="s">
        <v>185</v>
      </c>
      <c r="L58" s="71" t="s">
        <v>190</v>
      </c>
      <c r="M58" s="71" t="s">
        <v>195</v>
      </c>
      <c r="N58" s="71"/>
      <c r="O58" s="71"/>
      <c r="P58" s="71" t="s">
        <v>380</v>
      </c>
      <c r="Q58" s="71" t="b">
        <f>IF(OR(AND($C$2="Base contract",$C$3="No, section requirements must be reviewed", $AF58=FALSE,$AG58=FALSE),AND($C$2="Contract amendment",$C$3="No, section requirements must be reviewed",$AF58=FALSE,$AG58=FALSE)),"MUNN")</f>
        <v>0</v>
      </c>
      <c r="R58" s="64"/>
      <c r="S58" s="64"/>
      <c r="T58" s="64"/>
      <c r="U58" s="97">
        <f>IF(OR($E$56="N/A",AND(AX58=0,'Cover Sheet'!$B$29="Streamlined Review"),AND(E58="Met",F58&lt;&gt;""),AND(E58="Not met",G58&lt;&gt;""),AND(E58="Unsure",G58&lt;&gt;""),AND(E58="N/A",H58&lt;&gt;""),AND(Y58=TRUE)),1,0)</f>
        <v>0</v>
      </c>
      <c r="X58" s="126" t="b">
        <f t="shared" si="2"/>
        <v>0</v>
      </c>
      <c r="Y58" s="126" t="b">
        <f>IF(SUM(Z58:AE58)&lt;1,TRUE,FALSE)</f>
        <v>0</v>
      </c>
      <c r="Z58" s="126">
        <f>IF($Z$2=I58,1,0)</f>
        <v>1</v>
      </c>
      <c r="AA58" s="126">
        <f>IF($AA$2=J58,1,0)</f>
        <v>0</v>
      </c>
      <c r="AB58" s="126">
        <f>IF($AB$2=K58,1,0)</f>
        <v>0</v>
      </c>
      <c r="AC58" s="126">
        <f>IF($AC$2=L58,1,0)</f>
        <v>0</v>
      </c>
      <c r="AD58" s="126">
        <f>IF($AD$2=M58,1,0)</f>
        <v>0</v>
      </c>
      <c r="AE58" s="126">
        <f>IF($AE$2=O58,1,0)</f>
        <v>0</v>
      </c>
      <c r="AF58" s="53" t="b">
        <f>IF($H$1&lt;&gt;0,IF($H$1&lt;&gt;I58,IF($H$1&lt;&gt;J58,IF($H$1&lt;&gt;K58,IF($H$1&lt;&gt;L58,IF($H$1&lt;&gt;M58,IF($H$1&lt;&gt;N58,IF($H$1&lt;&gt;O58,TRUE,FALSE))))))))</f>
        <v>0</v>
      </c>
      <c r="AG58" s="54" t="b">
        <f>IF(AH58=TRUE,TRUE,FALSE)</f>
        <v>0</v>
      </c>
      <c r="AH58" s="56" t="b">
        <f>IF(OR(AND($H$6="Medicaid",MID($A58,1,FIND(".",$A58,1)-1)="II"),AND($H$6="CHIP",MID($A58,1,FIND(".",$A58,1)-1)="I")),TRUE,FALSE)</f>
        <v>0</v>
      </c>
      <c r="AO58" s="69">
        <v>1</v>
      </c>
      <c r="AP58" s="69">
        <f>IF(AO58=1,1,"")</f>
        <v>1</v>
      </c>
      <c r="AX58">
        <v>0</v>
      </c>
    </row>
    <row r="59" spans="1:51" ht="51" x14ac:dyDescent="0.25">
      <c r="A59" s="294" t="s">
        <v>1372</v>
      </c>
      <c r="B59" s="295" t="s">
        <v>1370</v>
      </c>
      <c r="C59" s="295" t="s">
        <v>1373</v>
      </c>
      <c r="D59" s="446"/>
      <c r="E59" s="297"/>
      <c r="F59" s="297"/>
      <c r="G59" s="297"/>
      <c r="H59" s="214"/>
      <c r="I59" s="92" t="s">
        <v>168</v>
      </c>
      <c r="J59" s="92" t="s">
        <v>178</v>
      </c>
      <c r="K59" s="92" t="s">
        <v>185</v>
      </c>
      <c r="L59" s="71" t="s">
        <v>190</v>
      </c>
      <c r="M59" s="71" t="s">
        <v>195</v>
      </c>
      <c r="N59" s="71"/>
      <c r="O59" s="71"/>
      <c r="P59" s="71" t="s">
        <v>380</v>
      </c>
      <c r="Q59" s="71" t="b">
        <f>IF(OR(AND($C$2="Base contract",$C$3="No, section requirements must be reviewed", $AF59=FALSE,$AG59=FALSE),AND($C$2="Contract amendment",$C$3="No, section requirements must be reviewed",$AF59=FALSE,$AG59=FALSE)),"MUNN")</f>
        <v>0</v>
      </c>
      <c r="R59" s="64"/>
      <c r="S59" s="64"/>
      <c r="T59" s="64"/>
      <c r="U59" s="97">
        <f>IF(OR($E$56="N/A",AND(AX59=0,'Cover Sheet'!$B$29="Streamlined Review"),AND(E59="Met",F59&lt;&gt;""),AND(E59="Not met",G59&lt;&gt;""),AND(E59="Unsure",G59&lt;&gt;""),AND(E59="N/A",H59&lt;&gt;""),AND(Y59=TRUE)),1,0)</f>
        <v>0</v>
      </c>
      <c r="X59" s="126" t="b">
        <f t="shared" si="2"/>
        <v>0</v>
      </c>
      <c r="Y59" s="126" t="b">
        <f>IF(SUM(Z59:AE59)&lt;1,TRUE,FALSE)</f>
        <v>0</v>
      </c>
      <c r="Z59" s="126">
        <f>IF($Z$2=I59,1,0)</f>
        <v>1</v>
      </c>
      <c r="AA59" s="126">
        <f>IF($AA$2=J59,1,0)</f>
        <v>0</v>
      </c>
      <c r="AB59" s="126">
        <f>IF($AB$2=K59,1,0)</f>
        <v>0</v>
      </c>
      <c r="AC59" s="126">
        <f>IF($AC$2=L59,1,0)</f>
        <v>0</v>
      </c>
      <c r="AD59" s="126">
        <f>IF($AD$2=M59,1,0)</f>
        <v>0</v>
      </c>
      <c r="AE59" s="126">
        <f>IF($AE$2=O59,1,0)</f>
        <v>0</v>
      </c>
      <c r="AF59" s="53" t="b">
        <f>IF($H$1&lt;&gt;0,IF($H$1&lt;&gt;I59,IF($H$1&lt;&gt;J59,IF($H$1&lt;&gt;K59,IF($H$1&lt;&gt;L59,IF($H$1&lt;&gt;M59,IF($H$1&lt;&gt;N59,IF($H$1&lt;&gt;O59,TRUE,FALSE))))))))</f>
        <v>0</v>
      </c>
      <c r="AG59" s="54" t="b">
        <f>IF(AH59=TRUE,TRUE,FALSE)</f>
        <v>0</v>
      </c>
      <c r="AH59" s="56" t="b">
        <f>IF(OR(AND($H$6="Medicaid",MID($A59,1,FIND(".",$A59,1)-1)="II"),AND($H$6="CHIP",MID($A59,1,FIND(".",$A59,1)-1)="I")),TRUE,FALSE)</f>
        <v>0</v>
      </c>
      <c r="AO59" s="69">
        <v>1</v>
      </c>
      <c r="AP59" s="69">
        <f>IF(AO59=1,1,"")</f>
        <v>1</v>
      </c>
      <c r="AX59">
        <v>0</v>
      </c>
    </row>
    <row r="60" spans="1:51" ht="15.75" thickBot="1" x14ac:dyDescent="0.3">
      <c r="A60" s="450"/>
      <c r="B60" s="451"/>
      <c r="C60" s="452" t="s">
        <v>51</v>
      </c>
      <c r="D60" s="442"/>
      <c r="E60" s="443"/>
      <c r="F60" s="444"/>
      <c r="G60" s="444"/>
      <c r="H60" s="445"/>
      <c r="I60" s="74"/>
      <c r="J60" s="74"/>
      <c r="K60" s="74"/>
      <c r="L60" s="87"/>
      <c r="M60" s="87"/>
      <c r="R60" s="116"/>
      <c r="S60" s="116"/>
      <c r="T60" s="116"/>
      <c r="U60" s="126"/>
      <c r="AH60" s="68"/>
    </row>
    <row r="61" spans="1:51" ht="56.25" customHeight="1" x14ac:dyDescent="0.25">
      <c r="A61" s="294" t="s">
        <v>1374</v>
      </c>
      <c r="B61" s="295" t="s">
        <v>1375</v>
      </c>
      <c r="C61" s="295" t="s">
        <v>1376</v>
      </c>
      <c r="D61" s="447">
        <v>15</v>
      </c>
      <c r="E61" s="297"/>
      <c r="F61" s="297"/>
      <c r="G61" s="297"/>
      <c r="H61" s="214"/>
      <c r="I61" s="92" t="s">
        <v>168</v>
      </c>
      <c r="J61" s="92"/>
      <c r="K61" s="92"/>
      <c r="L61" s="71"/>
      <c r="M61" s="71"/>
      <c r="N61" s="71"/>
      <c r="O61" s="71"/>
      <c r="P61" s="71" t="s">
        <v>380</v>
      </c>
      <c r="Q61" s="71" t="b">
        <f t="shared" ref="Q61:Q66" si="35">IF(OR(AND($C$2="Base contract",$C$3="No, section requirements must be reviewed", $AF61=FALSE,$AG61=FALSE),AND($C$2="Contract amendment",$C$3="No, section requirements must be reviewed",$AF61=FALSE,$AG61=FALSE)),"MUNN")</f>
        <v>0</v>
      </c>
      <c r="R61" s="64"/>
      <c r="S61" s="64"/>
      <c r="T61" s="64"/>
      <c r="U61" s="97">
        <f>IF(OR($E$60="N/A",AND(AX61=0,'Cover Sheet'!$B$29="Streamlined Review"),AND(E61="Met",F61&lt;&gt;""),AND(E61="Not met",G61&lt;&gt;""),AND(E61="Unsure",G61&lt;&gt;""),AND(E61="N/A",H61&lt;&gt;""),AND(Y61=TRUE)),1,0)</f>
        <v>0</v>
      </c>
      <c r="X61" s="126" t="b">
        <f t="shared" si="2"/>
        <v>0</v>
      </c>
      <c r="Y61" s="126" t="b">
        <f t="shared" ref="Y61:Y66" si="36">IF(SUM(Z61:AE61)&lt;1,TRUE,FALSE)</f>
        <v>0</v>
      </c>
      <c r="Z61" s="126">
        <f t="shared" ref="Z61:Z66" si="37">IF($Z$2=I61,1,0)</f>
        <v>1</v>
      </c>
      <c r="AA61" s="126">
        <f t="shared" ref="AA61:AA66" si="38">IF($AA$2=J61,1,0)</f>
        <v>0</v>
      </c>
      <c r="AB61" s="126">
        <f t="shared" ref="AB61:AB66" si="39">IF($AB$2=K61,1,0)</f>
        <v>0</v>
      </c>
      <c r="AC61" s="126">
        <f t="shared" ref="AC61:AC66" si="40">IF($AC$2=L61,1,0)</f>
        <v>0</v>
      </c>
      <c r="AD61" s="126">
        <f t="shared" ref="AD61:AD66" si="41">IF($AD$2=M61,1,0)</f>
        <v>0</v>
      </c>
      <c r="AE61" s="126">
        <f t="shared" ref="AE61:AE66" si="42">IF($AE$2=O61,1,0)</f>
        <v>0</v>
      </c>
      <c r="AF61" s="53" t="b">
        <f t="shared" ref="AF61:AF66" si="43">IF($H$1&lt;&gt;0,IF($H$1&lt;&gt;I61,IF($H$1&lt;&gt;J61,IF($H$1&lt;&gt;K61,IF($H$1&lt;&gt;L61,IF($H$1&lt;&gt;M61,IF($H$1&lt;&gt;N61,IF($H$1&lt;&gt;O61,TRUE,FALSE))))))))</f>
        <v>0</v>
      </c>
      <c r="AG61" s="54" t="b">
        <f t="shared" ref="AG61:AG66" si="44">IF(AH61=TRUE,TRUE,FALSE)</f>
        <v>0</v>
      </c>
      <c r="AH61" s="56" t="b">
        <f t="shared" ref="AH61:AH66" si="45">IF(OR(AND($H$6="Medicaid",MID($A61,1,FIND(".",$A61,1)-1)="II"),AND($H$6="CHIP",MID($A61,1,FIND(".",$A61,1)-1)="I")),TRUE,FALSE)</f>
        <v>0</v>
      </c>
      <c r="AO61" s="69">
        <v>1</v>
      </c>
      <c r="AP61" s="69">
        <f t="shared" ref="AP61:AP66" si="46">IF(AO61=1,1,"")</f>
        <v>1</v>
      </c>
      <c r="AX61">
        <v>0</v>
      </c>
    </row>
    <row r="62" spans="1:51" ht="69" customHeight="1" x14ac:dyDescent="0.25">
      <c r="A62" s="294" t="s">
        <v>1377</v>
      </c>
      <c r="B62" s="295" t="s">
        <v>1378</v>
      </c>
      <c r="C62" s="295" t="s">
        <v>1379</v>
      </c>
      <c r="D62" s="446"/>
      <c r="E62" s="297"/>
      <c r="F62" s="297"/>
      <c r="G62" s="297"/>
      <c r="H62" s="214"/>
      <c r="I62" s="92" t="s">
        <v>168</v>
      </c>
      <c r="J62" s="92"/>
      <c r="K62" s="92"/>
      <c r="L62" s="71"/>
      <c r="M62" s="71"/>
      <c r="N62" s="71"/>
      <c r="O62" s="71"/>
      <c r="P62" s="71" t="s">
        <v>380</v>
      </c>
      <c r="Q62" s="71" t="b">
        <f t="shared" si="35"/>
        <v>0</v>
      </c>
      <c r="R62" s="64"/>
      <c r="S62" s="64"/>
      <c r="T62" s="64"/>
      <c r="U62" s="97">
        <f>IF(OR($E$60="N/A",AND(AX62=0,'Cover Sheet'!$B$29="Streamlined Review"),AND(E62="Met",F62&lt;&gt;""),AND(E62="Not met",G62&lt;&gt;""),AND(E62="Unsure",G62&lt;&gt;""),AND(E62="N/A",H62&lt;&gt;""),AND(Y62=TRUE)),1,0)</f>
        <v>0</v>
      </c>
      <c r="X62" s="126" t="b">
        <f t="shared" si="2"/>
        <v>0</v>
      </c>
      <c r="Y62" s="126" t="b">
        <f t="shared" si="36"/>
        <v>0</v>
      </c>
      <c r="Z62" s="126">
        <f t="shared" si="37"/>
        <v>1</v>
      </c>
      <c r="AA62" s="126">
        <f t="shared" si="38"/>
        <v>0</v>
      </c>
      <c r="AB62" s="126">
        <f t="shared" si="39"/>
        <v>0</v>
      </c>
      <c r="AC62" s="126">
        <f t="shared" si="40"/>
        <v>0</v>
      </c>
      <c r="AD62" s="126">
        <f t="shared" si="41"/>
        <v>0</v>
      </c>
      <c r="AE62" s="126">
        <f t="shared" si="42"/>
        <v>0</v>
      </c>
      <c r="AF62" s="53" t="b">
        <f t="shared" si="43"/>
        <v>0</v>
      </c>
      <c r="AG62" s="54" t="b">
        <f t="shared" si="44"/>
        <v>0</v>
      </c>
      <c r="AH62" s="56" t="b">
        <f t="shared" si="45"/>
        <v>0</v>
      </c>
      <c r="AO62" s="69">
        <v>1</v>
      </c>
      <c r="AP62" s="69">
        <f t="shared" si="46"/>
        <v>1</v>
      </c>
      <c r="AX62">
        <v>0</v>
      </c>
    </row>
    <row r="63" spans="1:51" ht="89.25" x14ac:dyDescent="0.25">
      <c r="A63" s="294" t="s">
        <v>1380</v>
      </c>
      <c r="B63" s="295" t="s">
        <v>1381</v>
      </c>
      <c r="C63" s="295" t="s">
        <v>1382</v>
      </c>
      <c r="D63" s="446"/>
      <c r="E63" s="297"/>
      <c r="F63" s="297"/>
      <c r="G63" s="297"/>
      <c r="H63" s="214"/>
      <c r="I63" s="92" t="s">
        <v>168</v>
      </c>
      <c r="J63" s="92"/>
      <c r="K63" s="92"/>
      <c r="L63" s="71"/>
      <c r="M63" s="71"/>
      <c r="N63" s="71"/>
      <c r="O63" s="71"/>
      <c r="P63" s="71" t="s">
        <v>380</v>
      </c>
      <c r="Q63" s="71" t="b">
        <f t="shared" si="35"/>
        <v>0</v>
      </c>
      <c r="R63" s="64"/>
      <c r="S63" s="64"/>
      <c r="T63" s="64"/>
      <c r="U63" s="97">
        <f>IF(OR($E$60="N/A",AND(AX63=0,'Cover Sheet'!$B$29="Streamlined Review"),AND(E63="Met",F63&lt;&gt;""),AND(E63="Not met",G63&lt;&gt;""),AND(E63="Unsure",G63&lt;&gt;""),AND(E63="N/A",H63&lt;&gt;""),AND(Y63=TRUE)),1,0)</f>
        <v>0</v>
      </c>
      <c r="X63" s="126" t="b">
        <f t="shared" si="2"/>
        <v>0</v>
      </c>
      <c r="Y63" s="126" t="b">
        <f t="shared" si="36"/>
        <v>0</v>
      </c>
      <c r="Z63" s="126">
        <f t="shared" si="37"/>
        <v>1</v>
      </c>
      <c r="AA63" s="126">
        <f t="shared" si="38"/>
        <v>0</v>
      </c>
      <c r="AB63" s="126">
        <f t="shared" si="39"/>
        <v>0</v>
      </c>
      <c r="AC63" s="126">
        <f t="shared" si="40"/>
        <v>0</v>
      </c>
      <c r="AD63" s="126">
        <f t="shared" si="41"/>
        <v>0</v>
      </c>
      <c r="AE63" s="126">
        <f t="shared" si="42"/>
        <v>0</v>
      </c>
      <c r="AF63" s="53" t="b">
        <f t="shared" si="43"/>
        <v>0</v>
      </c>
      <c r="AG63" s="54" t="b">
        <f t="shared" si="44"/>
        <v>0</v>
      </c>
      <c r="AH63" s="56" t="b">
        <f t="shared" si="45"/>
        <v>0</v>
      </c>
      <c r="AO63" s="69">
        <v>1</v>
      </c>
      <c r="AP63" s="69">
        <f t="shared" si="46"/>
        <v>1</v>
      </c>
      <c r="AX63">
        <v>0</v>
      </c>
    </row>
    <row r="64" spans="1:51" ht="84.75" customHeight="1" x14ac:dyDescent="0.25">
      <c r="A64" s="294" t="s">
        <v>1383</v>
      </c>
      <c r="B64" s="295" t="s">
        <v>1384</v>
      </c>
      <c r="C64" s="295" t="s">
        <v>1385</v>
      </c>
      <c r="D64" s="446"/>
      <c r="E64" s="297"/>
      <c r="F64" s="297"/>
      <c r="G64" s="297"/>
      <c r="H64" s="214"/>
      <c r="I64" s="92" t="s">
        <v>168</v>
      </c>
      <c r="J64" s="92"/>
      <c r="K64" s="92"/>
      <c r="L64" s="71"/>
      <c r="M64" s="71"/>
      <c r="N64" s="71"/>
      <c r="O64" s="71"/>
      <c r="P64" s="71" t="s">
        <v>380</v>
      </c>
      <c r="Q64" s="71" t="b">
        <f t="shared" si="35"/>
        <v>0</v>
      </c>
      <c r="R64" s="64"/>
      <c r="S64" s="64"/>
      <c r="T64" s="64"/>
      <c r="U64" s="97">
        <f>IF(OR($E$60="N/A",AND(AX64=0,'Cover Sheet'!$B$29="Streamlined Review"),AND(E64="Met",F64&lt;&gt;""),AND(E64="Not met",G64&lt;&gt;""),AND(E64="Unsure",G64&lt;&gt;""),AND(E64="N/A",H64&lt;&gt;""),AND(Y64=TRUE)),1,0)</f>
        <v>0</v>
      </c>
      <c r="X64" s="126" t="b">
        <f t="shared" si="2"/>
        <v>0</v>
      </c>
      <c r="Y64" s="126" t="b">
        <f t="shared" si="36"/>
        <v>0</v>
      </c>
      <c r="Z64" s="126">
        <f t="shared" si="37"/>
        <v>1</v>
      </c>
      <c r="AA64" s="126">
        <f t="shared" si="38"/>
        <v>0</v>
      </c>
      <c r="AB64" s="126">
        <f t="shared" si="39"/>
        <v>0</v>
      </c>
      <c r="AC64" s="126">
        <f t="shared" si="40"/>
        <v>0</v>
      </c>
      <c r="AD64" s="126">
        <f t="shared" si="41"/>
        <v>0</v>
      </c>
      <c r="AE64" s="126">
        <f t="shared" si="42"/>
        <v>0</v>
      </c>
      <c r="AF64" s="53" t="b">
        <f t="shared" si="43"/>
        <v>0</v>
      </c>
      <c r="AG64" s="54" t="b">
        <f t="shared" si="44"/>
        <v>0</v>
      </c>
      <c r="AH64" s="56" t="b">
        <f t="shared" si="45"/>
        <v>0</v>
      </c>
      <c r="AO64" s="69">
        <v>1</v>
      </c>
      <c r="AP64" s="69">
        <f t="shared" si="46"/>
        <v>1</v>
      </c>
      <c r="AX64">
        <v>0</v>
      </c>
    </row>
    <row r="65" spans="1:50" ht="56.25" customHeight="1" x14ac:dyDescent="0.25">
      <c r="A65" s="294" t="s">
        <v>1386</v>
      </c>
      <c r="B65" s="295" t="s">
        <v>1387</v>
      </c>
      <c r="C65" s="295" t="s">
        <v>1388</v>
      </c>
      <c r="D65" s="446"/>
      <c r="E65" s="297"/>
      <c r="F65" s="297"/>
      <c r="G65" s="297"/>
      <c r="H65" s="214"/>
      <c r="I65" s="92" t="s">
        <v>168</v>
      </c>
      <c r="J65" s="92"/>
      <c r="K65" s="92"/>
      <c r="L65" s="71"/>
      <c r="M65" s="71"/>
      <c r="N65" s="71"/>
      <c r="O65" s="71"/>
      <c r="P65" s="71" t="s">
        <v>380</v>
      </c>
      <c r="Q65" s="71" t="b">
        <f t="shared" si="35"/>
        <v>0</v>
      </c>
      <c r="R65" s="64"/>
      <c r="S65" s="64"/>
      <c r="T65" s="64"/>
      <c r="U65" s="97">
        <f>IF(OR($E$60="N/A",AND(AX65=0,'Cover Sheet'!$B$29="Streamlined Review"),AND(E65="Met",F65&lt;&gt;""),AND(E65="Not met",G65&lt;&gt;""),AND(E65="Unsure",G65&lt;&gt;""),AND(E65="N/A",H65&lt;&gt;""),AND(Y65=TRUE)),1,0)</f>
        <v>0</v>
      </c>
      <c r="X65" s="126" t="b">
        <f t="shared" si="2"/>
        <v>0</v>
      </c>
      <c r="Y65" s="126" t="b">
        <f t="shared" si="36"/>
        <v>0</v>
      </c>
      <c r="Z65" s="126">
        <f t="shared" si="37"/>
        <v>1</v>
      </c>
      <c r="AA65" s="126">
        <f t="shared" si="38"/>
        <v>0</v>
      </c>
      <c r="AB65" s="126">
        <f t="shared" si="39"/>
        <v>0</v>
      </c>
      <c r="AC65" s="126">
        <f t="shared" si="40"/>
        <v>0</v>
      </c>
      <c r="AD65" s="126">
        <f t="shared" si="41"/>
        <v>0</v>
      </c>
      <c r="AE65" s="126">
        <f t="shared" si="42"/>
        <v>0</v>
      </c>
      <c r="AF65" s="53" t="b">
        <f t="shared" si="43"/>
        <v>0</v>
      </c>
      <c r="AG65" s="54" t="b">
        <f t="shared" si="44"/>
        <v>0</v>
      </c>
      <c r="AH65" s="56" t="b">
        <f t="shared" si="45"/>
        <v>0</v>
      </c>
      <c r="AO65" s="69">
        <v>1</v>
      </c>
      <c r="AP65" s="69">
        <f t="shared" si="46"/>
        <v>1</v>
      </c>
      <c r="AX65">
        <v>0</v>
      </c>
    </row>
    <row r="66" spans="1:50" ht="57.75" customHeight="1" thickBot="1" x14ac:dyDescent="0.3">
      <c r="A66" s="294" t="s">
        <v>1389</v>
      </c>
      <c r="B66" s="295" t="s">
        <v>1390</v>
      </c>
      <c r="C66" s="295" t="s">
        <v>1391</v>
      </c>
      <c r="D66" s="446"/>
      <c r="E66" s="297"/>
      <c r="F66" s="297"/>
      <c r="G66" s="297"/>
      <c r="H66" s="214"/>
      <c r="I66" s="92" t="s">
        <v>168</v>
      </c>
      <c r="J66" s="92"/>
      <c r="K66" s="92"/>
      <c r="L66" s="71"/>
      <c r="M66" s="71"/>
      <c r="N66" s="71"/>
      <c r="O66" s="71"/>
      <c r="P66" s="71" t="s">
        <v>380</v>
      </c>
      <c r="Q66" s="71" t="b">
        <f t="shared" si="35"/>
        <v>0</v>
      </c>
      <c r="R66" s="64"/>
      <c r="S66" s="64"/>
      <c r="T66" s="64"/>
      <c r="U66" s="97">
        <f>IF(OR($E$60="N/A",AND(AX66=0,'Cover Sheet'!$B$29="Streamlined Review"),AND(E66="Met",F66&lt;&gt;""),AND(E66="Not met",G66&lt;&gt;""),AND(E66="Unsure",G66&lt;&gt;""),AND(E66="N/A",H66&lt;&gt;""),AND(Y66=TRUE)),1,0)</f>
        <v>0</v>
      </c>
      <c r="X66" s="126" t="b">
        <f t="shared" si="2"/>
        <v>0</v>
      </c>
      <c r="Y66" s="126" t="b">
        <f t="shared" si="36"/>
        <v>0</v>
      </c>
      <c r="Z66" s="126">
        <f t="shared" si="37"/>
        <v>1</v>
      </c>
      <c r="AA66" s="126">
        <f t="shared" si="38"/>
        <v>0</v>
      </c>
      <c r="AB66" s="126">
        <f t="shared" si="39"/>
        <v>0</v>
      </c>
      <c r="AC66" s="126">
        <f t="shared" si="40"/>
        <v>0</v>
      </c>
      <c r="AD66" s="126">
        <f t="shared" si="41"/>
        <v>0</v>
      </c>
      <c r="AE66" s="126">
        <f t="shared" si="42"/>
        <v>0</v>
      </c>
      <c r="AF66" s="53" t="b">
        <f t="shared" si="43"/>
        <v>0</v>
      </c>
      <c r="AG66" s="54" t="b">
        <f t="shared" si="44"/>
        <v>0</v>
      </c>
      <c r="AH66" s="56" t="b">
        <f t="shared" si="45"/>
        <v>0</v>
      </c>
      <c r="AO66" s="69">
        <v>1</v>
      </c>
      <c r="AP66" s="69">
        <f t="shared" si="46"/>
        <v>1</v>
      </c>
      <c r="AX66">
        <v>0</v>
      </c>
    </row>
    <row r="67" spans="1:50" ht="15.75" thickBot="1" x14ac:dyDescent="0.3">
      <c r="A67" s="450"/>
      <c r="B67" s="451"/>
      <c r="C67" s="452" t="s">
        <v>52</v>
      </c>
      <c r="D67" s="442"/>
      <c r="E67" s="443"/>
      <c r="F67" s="444"/>
      <c r="G67" s="444"/>
      <c r="H67" s="445"/>
      <c r="I67" s="74"/>
      <c r="J67" s="74"/>
      <c r="K67" s="74"/>
      <c r="L67" s="87"/>
      <c r="M67" s="87"/>
      <c r="R67" s="116"/>
      <c r="S67" s="116"/>
      <c r="T67" s="116"/>
      <c r="U67" s="126"/>
      <c r="AH67" s="68"/>
    </row>
    <row r="68" spans="1:50" ht="55.5" customHeight="1" thickBot="1" x14ac:dyDescent="0.3">
      <c r="A68" s="294" t="s">
        <v>1392</v>
      </c>
      <c r="B68" s="295" t="s">
        <v>1393</v>
      </c>
      <c r="C68" s="295" t="s">
        <v>1394</v>
      </c>
      <c r="D68" s="446"/>
      <c r="E68" s="297"/>
      <c r="F68" s="297"/>
      <c r="G68" s="297"/>
      <c r="H68" s="214"/>
      <c r="I68" s="92" t="s">
        <v>168</v>
      </c>
      <c r="J68" s="92"/>
      <c r="K68" s="92"/>
      <c r="L68" s="71"/>
      <c r="M68" s="71"/>
      <c r="N68" s="71"/>
      <c r="O68" s="71"/>
      <c r="P68" s="71" t="s">
        <v>380</v>
      </c>
      <c r="Q68" s="71" t="b">
        <f>IF(OR(AND($C$2="Base contract",$C$3="No, section requirements must be reviewed", $AF68=FALSE,$AG68=FALSE),AND($C$2="Contract amendment",$C$3="No, section requirements must be reviewed",$AF68=FALSE,$AG68=FALSE)),"MUNN")</f>
        <v>0</v>
      </c>
      <c r="R68" s="64"/>
      <c r="S68" s="64"/>
      <c r="T68" s="64"/>
      <c r="U68" s="97">
        <f>IF(OR($E$67="N/A",AND(AX68=0,'Cover Sheet'!$B$29="Streamlined Review"),AND(E68="Met",F68&lt;&gt;""),AND(E68="Not met",G68&lt;&gt;""),AND(E68="Unsure",G68&lt;&gt;""),AND(E68="N/A",H68&lt;&gt;""),AND(Y68=TRUE)),1,0)</f>
        <v>0</v>
      </c>
      <c r="X68" s="126" t="b">
        <f t="shared" si="2"/>
        <v>0</v>
      </c>
      <c r="Y68" s="126" t="b">
        <f>IF(SUM(Z68:AE68)&lt;1,TRUE,FALSE)</f>
        <v>0</v>
      </c>
      <c r="Z68" s="126">
        <f>IF($Z$2=I68,1,0)</f>
        <v>1</v>
      </c>
      <c r="AA68" s="126">
        <f>IF($AA$2=J68,1,0)</f>
        <v>0</v>
      </c>
      <c r="AB68" s="126">
        <f>IF($AB$2=K68,1,0)</f>
        <v>0</v>
      </c>
      <c r="AC68" s="126">
        <f>IF($AC$2=L68,1,0)</f>
        <v>0</v>
      </c>
      <c r="AD68" s="126">
        <f>IF($AD$2=M68,1,0)</f>
        <v>0</v>
      </c>
      <c r="AE68" s="126">
        <f>IF($AE$2=O68,1,0)</f>
        <v>0</v>
      </c>
      <c r="AF68" s="53" t="b">
        <f>IF($H$1&lt;&gt;0,IF($H$1&lt;&gt;I68,IF($H$1&lt;&gt;J68,IF($H$1&lt;&gt;K68,IF($H$1&lt;&gt;L68,IF($H$1&lt;&gt;M68,IF($H$1&lt;&gt;N68,IF($H$1&lt;&gt;O68,TRUE,FALSE))))))))</f>
        <v>0</v>
      </c>
      <c r="AG68" s="54" t="b">
        <f>IF(AH68=TRUE,TRUE,FALSE)</f>
        <v>0</v>
      </c>
      <c r="AH68" s="56" t="b">
        <f>IF(OR(AND($H$6="Medicaid",MID($A68,1,FIND(".",$A68,1)-1)="II"),AND($H$6="CHIP",MID($A68,1,FIND(".",$A68,1)-1)="I")),TRUE,FALSE)</f>
        <v>0</v>
      </c>
      <c r="AO68" s="69">
        <v>1</v>
      </c>
      <c r="AP68" s="69">
        <f>IF(AO68=1,1,"")</f>
        <v>1</v>
      </c>
      <c r="AX68">
        <v>0</v>
      </c>
    </row>
    <row r="69" spans="1:50" ht="15.75" thickBot="1" x14ac:dyDescent="0.3">
      <c r="A69" s="450"/>
      <c r="B69" s="451"/>
      <c r="C69" s="452" t="s">
        <v>53</v>
      </c>
      <c r="D69" s="442"/>
      <c r="E69" s="443"/>
      <c r="F69" s="444"/>
      <c r="G69" s="444"/>
      <c r="H69" s="445"/>
      <c r="I69" s="74"/>
      <c r="J69" s="74"/>
      <c r="K69" s="74"/>
      <c r="L69" s="87"/>
      <c r="M69" s="87"/>
      <c r="R69" s="116"/>
      <c r="S69" s="116"/>
      <c r="T69" s="116"/>
      <c r="U69" s="126"/>
      <c r="AH69" s="68"/>
    </row>
    <row r="70" spans="1:50" ht="48.75" customHeight="1" x14ac:dyDescent="0.25">
      <c r="A70" s="294" t="s">
        <v>1395</v>
      </c>
      <c r="B70" s="295" t="s">
        <v>1396</v>
      </c>
      <c r="C70" s="295" t="s">
        <v>1397</v>
      </c>
      <c r="D70" s="446"/>
      <c r="E70" s="297"/>
      <c r="F70" s="297"/>
      <c r="G70" s="297"/>
      <c r="H70" s="214"/>
      <c r="I70" s="92" t="s">
        <v>168</v>
      </c>
      <c r="J70" s="92" t="s">
        <v>178</v>
      </c>
      <c r="K70" s="92" t="s">
        <v>185</v>
      </c>
      <c r="L70" s="71" t="s">
        <v>190</v>
      </c>
      <c r="M70" s="71"/>
      <c r="N70" s="71"/>
      <c r="O70" s="71"/>
      <c r="P70" s="71" t="s">
        <v>380</v>
      </c>
      <c r="Q70" s="71" t="b">
        <f t="shared" ref="Q70:Q77" si="47">IF(OR(AND($C$2="Base contract",$C$3="No, section requirements must be reviewed", $AF70=FALSE,$AG70=FALSE),AND($C$2="Contract amendment",$C$3="No, section requirements must be reviewed",$AF70=FALSE,$AG70=FALSE)),"MUNN")</f>
        <v>0</v>
      </c>
      <c r="R70" s="64">
        <v>42917</v>
      </c>
      <c r="S70" s="64"/>
      <c r="T70" s="64"/>
      <c r="U70" s="97">
        <f>IF(OR($E$69="N/A",AND(AX70=0,'Cover Sheet'!$B$29="Streamlined Review"),AND(E70="Met",F70&lt;&gt;""),AND(E70="Not met",G70&lt;&gt;""),AND(E70="Unsure",G70&lt;&gt;""),AND(E70="N/A",H70&lt;&gt;""),AND(Y70=TRUE)),1,0)</f>
        <v>0</v>
      </c>
      <c r="X70" s="126" t="b">
        <f t="shared" si="2"/>
        <v>0</v>
      </c>
      <c r="Y70" s="126" t="b">
        <f t="shared" ref="Y70:Y77" si="48">IF(SUM(Z70:AE70)&lt;1,TRUE,FALSE)</f>
        <v>0</v>
      </c>
      <c r="Z70" s="126">
        <f>IF($Z$2=I70,1,0)</f>
        <v>1</v>
      </c>
      <c r="AA70" s="126">
        <f>IF($AA$2=J70,1,0)</f>
        <v>0</v>
      </c>
      <c r="AB70" s="126">
        <f>IF($AB$2=K70,1,0)</f>
        <v>0</v>
      </c>
      <c r="AC70" s="126">
        <f>IF($AC$2=L70,1,0)</f>
        <v>0</v>
      </c>
      <c r="AD70" s="126">
        <f>IF($AD$2=M70,1,0)</f>
        <v>0</v>
      </c>
      <c r="AE70" s="126">
        <f>IF($AE$2=O70,1,0)</f>
        <v>0</v>
      </c>
      <c r="AF70" s="53" t="b">
        <f t="shared" ref="AF70:AF77" si="49">IF($H$1&lt;&gt;0,IF($H$1&lt;&gt;I70,IF($H$1&lt;&gt;J70,IF($H$1&lt;&gt;K70,IF($H$1&lt;&gt;L70,IF($H$1&lt;&gt;M70,IF($H$1&lt;&gt;N70,IF($H$1&lt;&gt;O70,TRUE,FALSE))))))))</f>
        <v>0</v>
      </c>
      <c r="AG70" s="54" t="b">
        <f t="shared" ref="AG70:AG77" si="50">IF(AH70=TRUE,TRUE,FALSE)</f>
        <v>0</v>
      </c>
      <c r="AH70" s="56" t="b">
        <f t="shared" ref="AH70:AH77" si="51">IF(OR(AND($H$6="Medicaid",MID($A70,1,FIND(".",$A70,1)-1)="II"),AND($H$6="CHIP",MID($A70,1,FIND(".",$A70,1)-1)="I")),TRUE,FALSE)</f>
        <v>0</v>
      </c>
      <c r="AO70" s="69">
        <v>1</v>
      </c>
      <c r="AP70" s="69">
        <f t="shared" ref="AP70:AP77" si="52">IF(AO70=1,1,"")</f>
        <v>1</v>
      </c>
      <c r="AX70">
        <v>1</v>
      </c>
    </row>
    <row r="71" spans="1:50" ht="78" customHeight="1" x14ac:dyDescent="0.25">
      <c r="A71" s="294" t="s">
        <v>1398</v>
      </c>
      <c r="B71" s="295" t="s">
        <v>1399</v>
      </c>
      <c r="C71" s="295" t="s">
        <v>1400</v>
      </c>
      <c r="D71" s="446"/>
      <c r="E71" s="297"/>
      <c r="F71" s="297"/>
      <c r="G71" s="297"/>
      <c r="H71" s="214"/>
      <c r="I71" s="92" t="s">
        <v>168</v>
      </c>
      <c r="J71" s="92" t="s">
        <v>178</v>
      </c>
      <c r="K71" s="92" t="s">
        <v>185</v>
      </c>
      <c r="L71" s="71" t="s">
        <v>190</v>
      </c>
      <c r="M71" s="71"/>
      <c r="N71" s="71"/>
      <c r="O71" s="71"/>
      <c r="P71" s="71" t="s">
        <v>380</v>
      </c>
      <c r="Q71" s="71" t="b">
        <f t="shared" si="47"/>
        <v>0</v>
      </c>
      <c r="R71" s="64">
        <v>42917</v>
      </c>
      <c r="S71" s="64"/>
      <c r="T71" s="64"/>
      <c r="U71" s="97">
        <f>IF(OR($E$69="N/A",AND(AX71=0,'Cover Sheet'!$B$29="Streamlined Review"),AND(E71="Met",F71&lt;&gt;""),AND(E71="Not met",G71&lt;&gt;""),AND(E71="Unsure",G71&lt;&gt;""),AND(E71="N/A",H71&lt;&gt;""),AND(Y71=TRUE)),1,0)</f>
        <v>0</v>
      </c>
      <c r="X71" s="126" t="b">
        <f t="shared" si="2"/>
        <v>0</v>
      </c>
      <c r="Y71" s="126" t="b">
        <f t="shared" si="48"/>
        <v>0</v>
      </c>
      <c r="Z71" s="126">
        <f t="shared" ref="Z71:Z77" si="53">IF($Z$2=I71,1,0)</f>
        <v>1</v>
      </c>
      <c r="AA71" s="126">
        <f t="shared" ref="AA71:AA77" si="54">IF($AA$2=J71,1,0)</f>
        <v>0</v>
      </c>
      <c r="AB71" s="126">
        <f t="shared" ref="AB71:AB77" si="55">IF($AB$2=K71,1,0)</f>
        <v>0</v>
      </c>
      <c r="AC71" s="126">
        <f t="shared" ref="AC71:AC77" si="56">IF($AC$2=L71,1,0)</f>
        <v>0</v>
      </c>
      <c r="AD71" s="126">
        <f t="shared" ref="AD71:AD77" si="57">IF($AD$2=M71,1,0)</f>
        <v>0</v>
      </c>
      <c r="AE71" s="126">
        <f t="shared" ref="AE71:AE77" si="58">IF($AE$2=O71,1,0)</f>
        <v>0</v>
      </c>
      <c r="AF71" s="53" t="b">
        <f t="shared" si="49"/>
        <v>0</v>
      </c>
      <c r="AG71" s="54" t="b">
        <f t="shared" si="50"/>
        <v>0</v>
      </c>
      <c r="AH71" s="56" t="b">
        <f t="shared" si="51"/>
        <v>0</v>
      </c>
      <c r="AO71" s="69">
        <v>1</v>
      </c>
      <c r="AP71" s="69">
        <f t="shared" si="52"/>
        <v>1</v>
      </c>
      <c r="AX71">
        <v>1</v>
      </c>
    </row>
    <row r="72" spans="1:50" ht="61.5" customHeight="1" x14ac:dyDescent="0.25">
      <c r="A72" s="294" t="s">
        <v>1401</v>
      </c>
      <c r="B72" s="295" t="s">
        <v>1402</v>
      </c>
      <c r="C72" s="295" t="s">
        <v>1403</v>
      </c>
      <c r="D72" s="446"/>
      <c r="E72" s="297"/>
      <c r="F72" s="297"/>
      <c r="G72" s="297"/>
      <c r="H72" s="214"/>
      <c r="I72" s="92" t="s">
        <v>168</v>
      </c>
      <c r="J72" s="92" t="s">
        <v>178</v>
      </c>
      <c r="K72" s="92" t="s">
        <v>185</v>
      </c>
      <c r="L72" s="71" t="s">
        <v>190</v>
      </c>
      <c r="M72" s="71"/>
      <c r="N72" s="71"/>
      <c r="O72" s="71"/>
      <c r="P72" s="71" t="s">
        <v>380</v>
      </c>
      <c r="Q72" s="71" t="b">
        <f t="shared" si="47"/>
        <v>0</v>
      </c>
      <c r="R72" s="64">
        <v>42917</v>
      </c>
      <c r="S72" s="64"/>
      <c r="T72" s="64"/>
      <c r="U72" s="97">
        <f>IF(OR($E$69="N/A",AND(AX72=0,'Cover Sheet'!$B$29="Streamlined Review"),AND(E72="Met",F72&lt;&gt;""),AND(E72="Not met",G72&lt;&gt;""),AND(E72="Unsure",G72&lt;&gt;""),AND(E72="N/A",H72&lt;&gt;""),AND(Y72=TRUE)),1,0)</f>
        <v>0</v>
      </c>
      <c r="X72" s="126" t="b">
        <f t="shared" si="2"/>
        <v>0</v>
      </c>
      <c r="Y72" s="126" t="b">
        <f t="shared" si="48"/>
        <v>0</v>
      </c>
      <c r="Z72" s="126">
        <f t="shared" si="53"/>
        <v>1</v>
      </c>
      <c r="AA72" s="126">
        <f t="shared" si="54"/>
        <v>0</v>
      </c>
      <c r="AB72" s="126">
        <f t="shared" si="55"/>
        <v>0</v>
      </c>
      <c r="AC72" s="126">
        <f t="shared" si="56"/>
        <v>0</v>
      </c>
      <c r="AD72" s="126">
        <f t="shared" si="57"/>
        <v>0</v>
      </c>
      <c r="AE72" s="126">
        <f t="shared" si="58"/>
        <v>0</v>
      </c>
      <c r="AF72" s="53" t="b">
        <f t="shared" si="49"/>
        <v>0</v>
      </c>
      <c r="AG72" s="54" t="b">
        <f t="shared" si="50"/>
        <v>0</v>
      </c>
      <c r="AH72" s="56" t="b">
        <f t="shared" si="51"/>
        <v>0</v>
      </c>
      <c r="AO72" s="69">
        <v>1</v>
      </c>
      <c r="AP72" s="69">
        <f t="shared" si="52"/>
        <v>1</v>
      </c>
      <c r="AX72">
        <v>1</v>
      </c>
    </row>
    <row r="73" spans="1:50" ht="98.25" customHeight="1" x14ac:dyDescent="0.25">
      <c r="A73" s="294" t="s">
        <v>1404</v>
      </c>
      <c r="B73" s="295" t="s">
        <v>1405</v>
      </c>
      <c r="C73" s="295" t="s">
        <v>1406</v>
      </c>
      <c r="D73" s="446"/>
      <c r="E73" s="297"/>
      <c r="F73" s="297"/>
      <c r="G73" s="297"/>
      <c r="H73" s="214"/>
      <c r="I73" s="92" t="s">
        <v>168</v>
      </c>
      <c r="J73" s="92" t="s">
        <v>178</v>
      </c>
      <c r="K73" s="92" t="s">
        <v>185</v>
      </c>
      <c r="L73" s="71" t="s">
        <v>190</v>
      </c>
      <c r="M73" s="71"/>
      <c r="N73" s="71"/>
      <c r="O73" s="71"/>
      <c r="P73" s="71" t="s">
        <v>380</v>
      </c>
      <c r="Q73" s="71" t="b">
        <f t="shared" si="47"/>
        <v>0</v>
      </c>
      <c r="R73" s="64">
        <v>42917</v>
      </c>
      <c r="S73" s="64"/>
      <c r="T73" s="64"/>
      <c r="U73" s="97">
        <f>IF(OR($E$69="N/A",AND(AX73=0,'Cover Sheet'!$B$29="Streamlined Review"),AND(E73="Met",F73&lt;&gt;""),AND(E73="Not met",G73&lt;&gt;""),AND(E73="Unsure",G73&lt;&gt;""),AND(E73="N/A",H73&lt;&gt;""),AND(Y73=TRUE)),1,0)</f>
        <v>0</v>
      </c>
      <c r="X73" s="126" t="b">
        <f t="shared" si="2"/>
        <v>0</v>
      </c>
      <c r="Y73" s="126" t="b">
        <f t="shared" si="48"/>
        <v>0</v>
      </c>
      <c r="Z73" s="126">
        <f t="shared" si="53"/>
        <v>1</v>
      </c>
      <c r="AA73" s="126">
        <f t="shared" si="54"/>
        <v>0</v>
      </c>
      <c r="AB73" s="126">
        <f t="shared" si="55"/>
        <v>0</v>
      </c>
      <c r="AC73" s="126">
        <f t="shared" si="56"/>
        <v>0</v>
      </c>
      <c r="AD73" s="126">
        <f t="shared" si="57"/>
        <v>0</v>
      </c>
      <c r="AE73" s="126">
        <f t="shared" si="58"/>
        <v>0</v>
      </c>
      <c r="AF73" s="53" t="b">
        <f t="shared" si="49"/>
        <v>0</v>
      </c>
      <c r="AG73" s="54" t="b">
        <f t="shared" si="50"/>
        <v>0</v>
      </c>
      <c r="AH73" s="56" t="b">
        <f t="shared" si="51"/>
        <v>0</v>
      </c>
      <c r="AO73" s="69">
        <v>1</v>
      </c>
      <c r="AP73" s="69">
        <f t="shared" si="52"/>
        <v>1</v>
      </c>
      <c r="AX73">
        <v>1</v>
      </c>
    </row>
    <row r="74" spans="1:50" ht="54.6" customHeight="1" x14ac:dyDescent="0.25">
      <c r="A74" s="294" t="s">
        <v>1407</v>
      </c>
      <c r="B74" s="295" t="s">
        <v>1408</v>
      </c>
      <c r="C74" s="295" t="s">
        <v>1409</v>
      </c>
      <c r="D74" s="446"/>
      <c r="E74" s="297"/>
      <c r="F74" s="297"/>
      <c r="G74" s="297"/>
      <c r="H74" s="214"/>
      <c r="I74" s="92" t="s">
        <v>168</v>
      </c>
      <c r="J74" s="92" t="s">
        <v>178</v>
      </c>
      <c r="K74" s="92" t="s">
        <v>185</v>
      </c>
      <c r="L74" s="71" t="s">
        <v>190</v>
      </c>
      <c r="M74" s="71"/>
      <c r="N74" s="71"/>
      <c r="O74" s="71"/>
      <c r="P74" s="71" t="s">
        <v>380</v>
      </c>
      <c r="Q74" s="71" t="b">
        <f t="shared" si="47"/>
        <v>0</v>
      </c>
      <c r="R74" s="64">
        <v>42917</v>
      </c>
      <c r="S74" s="64"/>
      <c r="T74" s="64"/>
      <c r="U74" s="97">
        <f>IF(OR($E$69="N/A",AND(AX74=0,'Cover Sheet'!$B$29="Streamlined Review"),AND(E74="Met",F74&lt;&gt;""),AND(E74="Not met",G74&lt;&gt;""),AND(E74="Unsure",G74&lt;&gt;""),AND(E74="N/A",H74&lt;&gt;""),AND(Y74=TRUE)),1,0)</f>
        <v>0</v>
      </c>
      <c r="X74" s="126" t="b">
        <f t="shared" si="2"/>
        <v>0</v>
      </c>
      <c r="Y74" s="126" t="b">
        <f t="shared" si="48"/>
        <v>0</v>
      </c>
      <c r="Z74" s="126">
        <f t="shared" si="53"/>
        <v>1</v>
      </c>
      <c r="AA74" s="126">
        <f t="shared" si="54"/>
        <v>0</v>
      </c>
      <c r="AB74" s="126">
        <f t="shared" si="55"/>
        <v>0</v>
      </c>
      <c r="AC74" s="126">
        <f t="shared" si="56"/>
        <v>0</v>
      </c>
      <c r="AD74" s="126">
        <f t="shared" si="57"/>
        <v>0</v>
      </c>
      <c r="AE74" s="126">
        <f t="shared" si="58"/>
        <v>0</v>
      </c>
      <c r="AF74" s="53" t="b">
        <f t="shared" si="49"/>
        <v>0</v>
      </c>
      <c r="AG74" s="54" t="b">
        <f t="shared" si="50"/>
        <v>0</v>
      </c>
      <c r="AH74" s="56" t="b">
        <f t="shared" si="51"/>
        <v>0</v>
      </c>
      <c r="AO74" s="69">
        <v>1</v>
      </c>
      <c r="AP74" s="69">
        <f t="shared" si="52"/>
        <v>1</v>
      </c>
      <c r="AX74">
        <v>1</v>
      </c>
    </row>
    <row r="75" spans="1:50" ht="103.5" customHeight="1" x14ac:dyDescent="0.25">
      <c r="A75" s="295" t="s">
        <v>1410</v>
      </c>
      <c r="B75" s="295" t="s">
        <v>1411</v>
      </c>
      <c r="C75" s="295" t="s">
        <v>1412</v>
      </c>
      <c r="D75" s="470" t="s">
        <v>1413</v>
      </c>
      <c r="E75" s="297"/>
      <c r="F75" s="297"/>
      <c r="G75" s="297"/>
      <c r="H75" s="214"/>
      <c r="I75" s="92" t="s">
        <v>168</v>
      </c>
      <c r="J75" s="92"/>
      <c r="K75" s="92"/>
      <c r="L75" s="71"/>
      <c r="M75" s="71"/>
      <c r="N75" s="71"/>
      <c r="O75" s="71" t="s">
        <v>200</v>
      </c>
      <c r="P75" s="71" t="s">
        <v>380</v>
      </c>
      <c r="Q75" s="71" t="b">
        <f t="shared" si="47"/>
        <v>0</v>
      </c>
      <c r="R75" s="64">
        <v>43739</v>
      </c>
      <c r="S75" s="64"/>
      <c r="T75" s="64"/>
      <c r="U75" s="97">
        <f>IF(OR($E$69="N/A",AND(AX75=0,'Cover Sheet'!$B$29="Streamlined Review"),AND(E75="Met",F75&lt;&gt;""),AND(E75="Not met",G75&lt;&gt;""),AND(E75="Unsure",G75&lt;&gt;""),AND(E75="N/A",H75&lt;&gt;""),AND(Y75=TRUE)),1,0)</f>
        <v>0</v>
      </c>
      <c r="X75" s="126" t="b">
        <f t="shared" si="2"/>
        <v>0</v>
      </c>
      <c r="Y75" s="126" t="b">
        <f t="shared" si="48"/>
        <v>0</v>
      </c>
      <c r="Z75" s="126">
        <f t="shared" si="53"/>
        <v>1</v>
      </c>
      <c r="AA75" s="126">
        <f t="shared" si="54"/>
        <v>0</v>
      </c>
      <c r="AB75" s="126">
        <f t="shared" si="55"/>
        <v>0</v>
      </c>
      <c r="AC75" s="126">
        <f t="shared" si="56"/>
        <v>0</v>
      </c>
      <c r="AD75" s="126">
        <f t="shared" si="57"/>
        <v>0</v>
      </c>
      <c r="AE75" s="126">
        <f t="shared" si="58"/>
        <v>0</v>
      </c>
      <c r="AF75" s="53" t="b">
        <f t="shared" si="49"/>
        <v>0</v>
      </c>
      <c r="AG75" s="54" t="b">
        <f t="shared" si="50"/>
        <v>0</v>
      </c>
      <c r="AH75" s="56" t="b">
        <f t="shared" si="51"/>
        <v>0</v>
      </c>
      <c r="AO75" s="69">
        <v>1</v>
      </c>
      <c r="AP75" s="69">
        <f t="shared" si="52"/>
        <v>1</v>
      </c>
      <c r="AX75">
        <v>1</v>
      </c>
    </row>
    <row r="76" spans="1:50" ht="44.25" customHeight="1" x14ac:dyDescent="0.25">
      <c r="A76" s="295" t="s">
        <v>1414</v>
      </c>
      <c r="B76" s="295" t="s">
        <v>1411</v>
      </c>
      <c r="C76" s="295" t="s">
        <v>1415</v>
      </c>
      <c r="D76" s="470" t="s">
        <v>1416</v>
      </c>
      <c r="E76" s="297"/>
      <c r="F76" s="297"/>
      <c r="G76" s="297"/>
      <c r="H76" s="214"/>
      <c r="I76" s="92" t="s">
        <v>168</v>
      </c>
      <c r="J76" s="92"/>
      <c r="K76" s="92"/>
      <c r="L76" s="71"/>
      <c r="M76" s="71"/>
      <c r="N76" s="71"/>
      <c r="O76" s="71" t="s">
        <v>200</v>
      </c>
      <c r="P76" s="71" t="s">
        <v>380</v>
      </c>
      <c r="Q76" s="71" t="b">
        <f t="shared" si="47"/>
        <v>0</v>
      </c>
      <c r="R76" s="64">
        <v>43739</v>
      </c>
      <c r="S76" s="64"/>
      <c r="T76" s="64"/>
      <c r="U76" s="97">
        <f>IF(OR($E$69="N/A",AND(AX76=0,'Cover Sheet'!$B$29="Streamlined Review"),AND(E76="Met",F76&lt;&gt;""),AND(E76="Not met",G76&lt;&gt;""),AND(E76="Unsure",G76&lt;&gt;""),AND(E76="N/A",H76&lt;&gt;""),AND(Y76=TRUE)),1,0)</f>
        <v>0</v>
      </c>
      <c r="X76" s="126" t="b">
        <f t="shared" si="2"/>
        <v>0</v>
      </c>
      <c r="Y76" s="126" t="b">
        <f t="shared" si="48"/>
        <v>0</v>
      </c>
      <c r="Z76" s="126">
        <f t="shared" si="53"/>
        <v>1</v>
      </c>
      <c r="AA76" s="126">
        <f t="shared" si="54"/>
        <v>0</v>
      </c>
      <c r="AB76" s="126">
        <f t="shared" si="55"/>
        <v>0</v>
      </c>
      <c r="AC76" s="126">
        <f t="shared" si="56"/>
        <v>0</v>
      </c>
      <c r="AD76" s="126">
        <f t="shared" si="57"/>
        <v>0</v>
      </c>
      <c r="AE76" s="126">
        <f t="shared" si="58"/>
        <v>0</v>
      </c>
      <c r="AF76" s="53" t="b">
        <f t="shared" si="49"/>
        <v>0</v>
      </c>
      <c r="AG76" s="54" t="b">
        <f t="shared" si="50"/>
        <v>0</v>
      </c>
      <c r="AH76" s="56" t="b">
        <f t="shared" si="51"/>
        <v>0</v>
      </c>
      <c r="AO76" s="69">
        <v>1</v>
      </c>
      <c r="AP76" s="69">
        <f t="shared" si="52"/>
        <v>1</v>
      </c>
      <c r="AX76">
        <v>1</v>
      </c>
    </row>
    <row r="77" spans="1:50" ht="42.75" customHeight="1" thickBot="1" x14ac:dyDescent="0.3">
      <c r="A77" s="339" t="s">
        <v>1417</v>
      </c>
      <c r="B77" s="339" t="s">
        <v>1411</v>
      </c>
      <c r="C77" s="339" t="s">
        <v>1418</v>
      </c>
      <c r="D77" s="447" t="s">
        <v>1416</v>
      </c>
      <c r="E77" s="297"/>
      <c r="F77" s="340"/>
      <c r="G77" s="340"/>
      <c r="H77" s="215"/>
      <c r="I77" s="92" t="s">
        <v>168</v>
      </c>
      <c r="J77" s="92"/>
      <c r="K77" s="92"/>
      <c r="L77" s="71"/>
      <c r="M77" s="71"/>
      <c r="N77" s="71"/>
      <c r="O77" s="71" t="s">
        <v>200</v>
      </c>
      <c r="P77" s="71" t="s">
        <v>380</v>
      </c>
      <c r="Q77" s="71" t="b">
        <f t="shared" si="47"/>
        <v>0</v>
      </c>
      <c r="R77" s="64">
        <v>43739</v>
      </c>
      <c r="S77" s="64"/>
      <c r="T77" s="64"/>
      <c r="U77" s="97">
        <f>IF(OR($E$69="N/A",AND(AX77=0,'Cover Sheet'!$B$29="Streamlined Review"),AND(E77="Met",F77&lt;&gt;""),AND(E77="Not met",G77&lt;&gt;""),AND(E77="Unsure",G77&lt;&gt;""),AND(E77="N/A",H77&lt;&gt;""),AND(Y77=TRUE)),1,0)</f>
        <v>0</v>
      </c>
      <c r="X77" s="126" t="b">
        <f t="shared" si="2"/>
        <v>0</v>
      </c>
      <c r="Y77" s="126" t="b">
        <f t="shared" si="48"/>
        <v>0</v>
      </c>
      <c r="Z77" s="126">
        <f t="shared" si="53"/>
        <v>1</v>
      </c>
      <c r="AA77" s="126">
        <f t="shared" si="54"/>
        <v>0</v>
      </c>
      <c r="AB77" s="126">
        <f t="shared" si="55"/>
        <v>0</v>
      </c>
      <c r="AC77" s="126">
        <f t="shared" si="56"/>
        <v>0</v>
      </c>
      <c r="AD77" s="126">
        <f t="shared" si="57"/>
        <v>0</v>
      </c>
      <c r="AE77" s="126">
        <f t="shared" si="58"/>
        <v>0</v>
      </c>
      <c r="AF77" s="53" t="b">
        <f t="shared" si="49"/>
        <v>0</v>
      </c>
      <c r="AG77" s="54" t="b">
        <f t="shared" si="50"/>
        <v>0</v>
      </c>
      <c r="AH77" s="56" t="b">
        <f t="shared" si="51"/>
        <v>0</v>
      </c>
      <c r="AO77" s="69">
        <v>1</v>
      </c>
      <c r="AP77" s="69">
        <f t="shared" si="52"/>
        <v>1</v>
      </c>
      <c r="AX77">
        <v>0</v>
      </c>
    </row>
    <row r="78" spans="1:50" ht="15.75" thickBot="1" x14ac:dyDescent="0.3">
      <c r="A78" s="488"/>
      <c r="B78" s="489"/>
      <c r="C78" s="490" t="s">
        <v>54</v>
      </c>
      <c r="D78" s="491"/>
      <c r="E78" s="443"/>
      <c r="F78" s="492"/>
      <c r="G78" s="492"/>
      <c r="H78" s="493"/>
      <c r="I78" s="74"/>
      <c r="J78" s="74"/>
      <c r="K78" s="74"/>
      <c r="L78" s="87"/>
      <c r="M78" s="87"/>
      <c r="R78" s="116"/>
      <c r="S78" s="116"/>
      <c r="T78" s="116"/>
      <c r="U78" s="126"/>
      <c r="AH78" s="68"/>
    </row>
    <row r="79" spans="1:50" ht="70.5" customHeight="1" x14ac:dyDescent="0.25">
      <c r="A79" s="294" t="s">
        <v>1419</v>
      </c>
      <c r="B79" s="295" t="s">
        <v>1420</v>
      </c>
      <c r="C79" s="295" t="s">
        <v>1421</v>
      </c>
      <c r="D79" s="470" t="s">
        <v>1422</v>
      </c>
      <c r="E79" s="297"/>
      <c r="F79" s="297"/>
      <c r="G79" s="297"/>
      <c r="H79" s="214"/>
      <c r="I79" s="92" t="s">
        <v>168</v>
      </c>
      <c r="J79" s="92" t="s">
        <v>178</v>
      </c>
      <c r="K79" s="92" t="s">
        <v>185</v>
      </c>
      <c r="L79" s="71" t="s">
        <v>190</v>
      </c>
      <c r="M79" s="71"/>
      <c r="N79" s="71"/>
      <c r="O79" s="71"/>
      <c r="P79" s="71" t="s">
        <v>380</v>
      </c>
      <c r="Q79" s="71" t="b">
        <f t="shared" ref="Q79:Q86" si="59">IF(OR(AND($C$2="Base contract",$C$3="No, section requirements must be reviewed", $AF79=FALSE,$AG79=FALSE),AND($C$2="Contract amendment",$C$3="No, section requirements must be reviewed",$AF79=FALSE,$AG79=FALSE)),"MUNN")</f>
        <v>0</v>
      </c>
      <c r="R79" s="64">
        <v>43010</v>
      </c>
      <c r="S79" s="64"/>
      <c r="T79" s="64"/>
      <c r="U79" s="97">
        <f>IF(OR($E$78="N/A",AND(AX79=0,'Cover Sheet'!$B$29="Streamlined Review"),AND(E79="Met",F79&lt;&gt;""),AND(E79="Not met",G79&lt;&gt;""),AND(E79="Unsure",G79&lt;&gt;""),AND(E79="N/A",H79&lt;&gt;""),AND(Y79=TRUE)),1,0)</f>
        <v>0</v>
      </c>
      <c r="X79" s="126" t="b">
        <f t="shared" si="2"/>
        <v>0</v>
      </c>
      <c r="Y79" s="126" t="b">
        <f t="shared" ref="Y79:Y86" si="60">IF(SUM(Z79:AE79)&lt;1,TRUE,FALSE)</f>
        <v>0</v>
      </c>
      <c r="Z79" s="126">
        <f>IF($Z$2=I79,1,0)</f>
        <v>1</v>
      </c>
      <c r="AA79" s="126">
        <f>IF($AA$2=J79,1,0)</f>
        <v>0</v>
      </c>
      <c r="AB79" s="126">
        <f>IF($AB$2=K79,1,0)</f>
        <v>0</v>
      </c>
      <c r="AC79" s="126">
        <f>IF($AC$2=L79,1,0)</f>
        <v>0</v>
      </c>
      <c r="AD79" s="126">
        <f>IF($AD$2=M79,1,0)</f>
        <v>0</v>
      </c>
      <c r="AE79" s="126">
        <f>IF($AE$2=O79,1,0)</f>
        <v>0</v>
      </c>
      <c r="AF79" s="53" t="b">
        <f t="shared" ref="AF79:AF86" si="61">IF($H$1&lt;&gt;0,IF($H$1&lt;&gt;I79,IF($H$1&lt;&gt;J79,IF($H$1&lt;&gt;K79,IF($H$1&lt;&gt;L79,IF($H$1&lt;&gt;M79,IF($H$1&lt;&gt;N79,IF($H$1&lt;&gt;O79,TRUE,FALSE))))))))</f>
        <v>0</v>
      </c>
      <c r="AG79" s="54" t="b">
        <f t="shared" ref="AG79:AG86" si="62">IF(AH79=TRUE,TRUE,FALSE)</f>
        <v>0</v>
      </c>
      <c r="AH79" s="56" t="b">
        <f t="shared" ref="AH79:AH86" si="63">IF(OR(AND($H$6="Medicaid",MID($A79,1,FIND(".",$A79,1)-1)="II"),AND($H$6="CHIP",MID($A79,1,FIND(".",$A79,1)-1)="I")),TRUE,FALSE)</f>
        <v>0</v>
      </c>
      <c r="AP79" s="69" t="str">
        <f t="shared" ref="AP79:AP86" si="64">IF(AO79=1,1,"")</f>
        <v/>
      </c>
      <c r="AX79">
        <v>1</v>
      </c>
    </row>
    <row r="80" spans="1:50" ht="120.75" customHeight="1" x14ac:dyDescent="0.25">
      <c r="A80" s="294" t="s">
        <v>1423</v>
      </c>
      <c r="B80" s="295" t="s">
        <v>1424</v>
      </c>
      <c r="C80" s="295" t="s">
        <v>1425</v>
      </c>
      <c r="D80" s="470" t="s">
        <v>1422</v>
      </c>
      <c r="E80" s="297"/>
      <c r="F80" s="297"/>
      <c r="G80" s="297"/>
      <c r="H80" s="214"/>
      <c r="I80" s="92" t="s">
        <v>168</v>
      </c>
      <c r="J80" s="92" t="s">
        <v>178</v>
      </c>
      <c r="K80" s="92" t="s">
        <v>185</v>
      </c>
      <c r="L80" s="71" t="s">
        <v>190</v>
      </c>
      <c r="M80" s="71"/>
      <c r="N80" s="71"/>
      <c r="O80" s="71"/>
      <c r="P80" s="71" t="s">
        <v>380</v>
      </c>
      <c r="Q80" s="71" t="b">
        <f t="shared" si="59"/>
        <v>0</v>
      </c>
      <c r="R80" s="64">
        <v>43010</v>
      </c>
      <c r="S80" s="64"/>
      <c r="T80" s="64"/>
      <c r="U80" s="97">
        <f>IF(OR($E$78="N/A",AND(AX80=0,'Cover Sheet'!$B$29="Streamlined Review"),AND(E80="Met",F80&lt;&gt;""),AND(E80="Not met",G80&lt;&gt;""),AND(E80="Unsure",G80&lt;&gt;""),AND(E80="N/A",H80&lt;&gt;""),AND(Y80=TRUE)),1,0)</f>
        <v>0</v>
      </c>
      <c r="X80" s="126" t="b">
        <f t="shared" si="2"/>
        <v>0</v>
      </c>
      <c r="Y80" s="126" t="b">
        <f t="shared" si="60"/>
        <v>0</v>
      </c>
      <c r="Z80" s="126">
        <f t="shared" ref="Z80:Z85" si="65">IF($Z$2=I80,1,0)</f>
        <v>1</v>
      </c>
      <c r="AA80" s="126">
        <f t="shared" ref="AA80:AA85" si="66">IF($AA$2=J80,1,0)</f>
        <v>0</v>
      </c>
      <c r="AB80" s="126">
        <f t="shared" ref="AB80:AB85" si="67">IF($AB$2=K80,1,0)</f>
        <v>0</v>
      </c>
      <c r="AC80" s="126">
        <f t="shared" ref="AC80:AC85" si="68">IF($AC$2=L80,1,0)</f>
        <v>0</v>
      </c>
      <c r="AD80" s="126">
        <f t="shared" ref="AD80:AD85" si="69">IF($AD$2=M80,1,0)</f>
        <v>0</v>
      </c>
      <c r="AE80" s="126">
        <f t="shared" ref="AE80:AE85" si="70">IF($AE$2=O80,1,0)</f>
        <v>0</v>
      </c>
      <c r="AF80" s="53" t="b">
        <f t="shared" si="61"/>
        <v>0</v>
      </c>
      <c r="AG80" s="54" t="b">
        <f t="shared" si="62"/>
        <v>0</v>
      </c>
      <c r="AH80" s="56" t="b">
        <f t="shared" si="63"/>
        <v>0</v>
      </c>
      <c r="AP80" s="69" t="str">
        <f t="shared" si="64"/>
        <v/>
      </c>
      <c r="AX80">
        <v>1</v>
      </c>
    </row>
    <row r="81" spans="1:50" ht="96.75" customHeight="1" x14ac:dyDescent="0.25">
      <c r="A81" s="294" t="s">
        <v>1426</v>
      </c>
      <c r="B81" s="295" t="s">
        <v>1427</v>
      </c>
      <c r="C81" s="295" t="s">
        <v>1428</v>
      </c>
      <c r="D81" s="470" t="s">
        <v>1422</v>
      </c>
      <c r="E81" s="297"/>
      <c r="F81" s="297"/>
      <c r="G81" s="297"/>
      <c r="H81" s="214"/>
      <c r="I81" s="92" t="s">
        <v>168</v>
      </c>
      <c r="J81" s="92" t="s">
        <v>178</v>
      </c>
      <c r="K81" s="92" t="s">
        <v>185</v>
      </c>
      <c r="L81" s="71" t="s">
        <v>190</v>
      </c>
      <c r="M81" s="71"/>
      <c r="N81" s="71"/>
      <c r="O81" s="71"/>
      <c r="P81" s="71" t="s">
        <v>380</v>
      </c>
      <c r="Q81" s="71" t="b">
        <f t="shared" si="59"/>
        <v>0</v>
      </c>
      <c r="R81" s="64">
        <v>43010</v>
      </c>
      <c r="S81" s="64"/>
      <c r="T81" s="64"/>
      <c r="U81" s="97">
        <f>IF(OR($E$78="N/A",AND(AX81=0,'Cover Sheet'!$B$29="Streamlined Review"),AND(E81="Met",F81&lt;&gt;""),AND(E81="Not met",G81&lt;&gt;""),AND(E81="Unsure",G81&lt;&gt;""),AND(E81="N/A",H81&lt;&gt;""),AND(Y81=TRUE)),1,0)</f>
        <v>0</v>
      </c>
      <c r="X81" s="126" t="b">
        <f t="shared" si="2"/>
        <v>0</v>
      </c>
      <c r="Y81" s="126" t="b">
        <f t="shared" si="60"/>
        <v>0</v>
      </c>
      <c r="Z81" s="126">
        <f t="shared" si="65"/>
        <v>1</v>
      </c>
      <c r="AA81" s="126">
        <f t="shared" si="66"/>
        <v>0</v>
      </c>
      <c r="AB81" s="126">
        <f t="shared" si="67"/>
        <v>0</v>
      </c>
      <c r="AC81" s="126">
        <f t="shared" si="68"/>
        <v>0</v>
      </c>
      <c r="AD81" s="126">
        <f t="shared" si="69"/>
        <v>0</v>
      </c>
      <c r="AE81" s="126">
        <f t="shared" si="70"/>
        <v>0</v>
      </c>
      <c r="AF81" s="53" t="b">
        <f t="shared" si="61"/>
        <v>0</v>
      </c>
      <c r="AG81" s="54" t="b">
        <f t="shared" si="62"/>
        <v>0</v>
      </c>
      <c r="AH81" s="56" t="b">
        <f t="shared" si="63"/>
        <v>0</v>
      </c>
      <c r="AP81" s="69" t="str">
        <f t="shared" si="64"/>
        <v/>
      </c>
      <c r="AX81">
        <v>1</v>
      </c>
    </row>
    <row r="82" spans="1:50" ht="70.5" customHeight="1" x14ac:dyDescent="0.25">
      <c r="A82" s="294" t="s">
        <v>1429</v>
      </c>
      <c r="B82" s="295" t="s">
        <v>1430</v>
      </c>
      <c r="C82" s="295" t="s">
        <v>1431</v>
      </c>
      <c r="D82" s="470" t="s">
        <v>1432</v>
      </c>
      <c r="E82" s="297"/>
      <c r="F82" s="297"/>
      <c r="G82" s="297"/>
      <c r="H82" s="214"/>
      <c r="I82" s="92" t="s">
        <v>168</v>
      </c>
      <c r="J82" s="92" t="s">
        <v>178</v>
      </c>
      <c r="K82" s="92" t="s">
        <v>185</v>
      </c>
      <c r="L82" s="71" t="s">
        <v>190</v>
      </c>
      <c r="M82" s="71"/>
      <c r="N82" s="71"/>
      <c r="O82" s="71"/>
      <c r="P82" s="71" t="s">
        <v>380</v>
      </c>
      <c r="Q82" s="71" t="b">
        <f t="shared" si="59"/>
        <v>0</v>
      </c>
      <c r="R82" s="64">
        <v>43010</v>
      </c>
      <c r="S82" s="64"/>
      <c r="T82" s="64"/>
      <c r="U82" s="97">
        <f>IF(OR($E$78="N/A",AND(AX82=0,'Cover Sheet'!$B$29="Streamlined Review"),AND(E82="Met",F82&lt;&gt;""),AND(E82="Not met",G82&lt;&gt;""),AND(E82="Unsure",G82&lt;&gt;""),AND(E82="N/A",H82&lt;&gt;""),AND(Y82=TRUE)),1,0)</f>
        <v>0</v>
      </c>
      <c r="X82" s="126" t="b">
        <f t="shared" si="2"/>
        <v>0</v>
      </c>
      <c r="Y82" s="126" t="b">
        <f t="shared" si="60"/>
        <v>0</v>
      </c>
      <c r="Z82" s="126">
        <f t="shared" si="65"/>
        <v>1</v>
      </c>
      <c r="AA82" s="126">
        <f t="shared" si="66"/>
        <v>0</v>
      </c>
      <c r="AB82" s="126">
        <f t="shared" si="67"/>
        <v>0</v>
      </c>
      <c r="AC82" s="126">
        <f t="shared" si="68"/>
        <v>0</v>
      </c>
      <c r="AD82" s="126">
        <f t="shared" si="69"/>
        <v>0</v>
      </c>
      <c r="AE82" s="126">
        <f t="shared" si="70"/>
        <v>0</v>
      </c>
      <c r="AF82" s="53" t="b">
        <f t="shared" si="61"/>
        <v>0</v>
      </c>
      <c r="AG82" s="54" t="b">
        <f t="shared" si="62"/>
        <v>0</v>
      </c>
      <c r="AH82" s="56" t="b">
        <f t="shared" si="63"/>
        <v>0</v>
      </c>
      <c r="AP82" s="69" t="str">
        <f t="shared" si="64"/>
        <v/>
      </c>
      <c r="AX82">
        <v>1</v>
      </c>
    </row>
    <row r="83" spans="1:50" ht="51" x14ac:dyDescent="0.25">
      <c r="A83" s="294" t="s">
        <v>1433</v>
      </c>
      <c r="B83" s="295" t="s">
        <v>1434</v>
      </c>
      <c r="C83" s="295" t="s">
        <v>1435</v>
      </c>
      <c r="D83" s="470">
        <v>19</v>
      </c>
      <c r="E83" s="297"/>
      <c r="F83" s="297"/>
      <c r="G83" s="297"/>
      <c r="H83" s="214"/>
      <c r="I83" s="92" t="s">
        <v>168</v>
      </c>
      <c r="J83" s="92" t="s">
        <v>178</v>
      </c>
      <c r="K83" s="92" t="s">
        <v>185</v>
      </c>
      <c r="L83" s="71" t="s">
        <v>190</v>
      </c>
      <c r="M83" s="71"/>
      <c r="N83" s="71"/>
      <c r="O83" s="71"/>
      <c r="P83" s="71" t="s">
        <v>380</v>
      </c>
      <c r="Q83" s="71" t="b">
        <f t="shared" si="59"/>
        <v>0</v>
      </c>
      <c r="R83" s="64">
        <v>43010</v>
      </c>
      <c r="S83" s="64"/>
      <c r="T83" s="64"/>
      <c r="U83" s="97">
        <f>IF(OR($E$78="N/A",AND(AX83=0,'Cover Sheet'!$B$29="Streamlined Review"),AND(E83="Met",F83&lt;&gt;""),AND(E83="Not met",G83&lt;&gt;""),AND(E83="Unsure",G83&lt;&gt;""),AND(E83="N/A",H83&lt;&gt;""),AND(Y83=TRUE)),1,0)</f>
        <v>0</v>
      </c>
      <c r="X83" s="126" t="b">
        <f t="shared" si="2"/>
        <v>0</v>
      </c>
      <c r="Y83" s="126" t="b">
        <f t="shared" si="60"/>
        <v>0</v>
      </c>
      <c r="Z83" s="126">
        <f t="shared" si="65"/>
        <v>1</v>
      </c>
      <c r="AA83" s="126">
        <f t="shared" si="66"/>
        <v>0</v>
      </c>
      <c r="AB83" s="126">
        <f t="shared" si="67"/>
        <v>0</v>
      </c>
      <c r="AC83" s="126">
        <f t="shared" si="68"/>
        <v>0</v>
      </c>
      <c r="AD83" s="126">
        <f t="shared" si="69"/>
        <v>0</v>
      </c>
      <c r="AE83" s="126">
        <f t="shared" si="70"/>
        <v>0</v>
      </c>
      <c r="AF83" s="53" t="b">
        <f t="shared" si="61"/>
        <v>0</v>
      </c>
      <c r="AG83" s="54" t="b">
        <f t="shared" si="62"/>
        <v>0</v>
      </c>
      <c r="AH83" s="56" t="b">
        <f t="shared" si="63"/>
        <v>0</v>
      </c>
      <c r="AP83" s="69" t="str">
        <f t="shared" si="64"/>
        <v/>
      </c>
      <c r="AX83">
        <v>1</v>
      </c>
    </row>
    <row r="84" spans="1:50" ht="56.25" customHeight="1" x14ac:dyDescent="0.25">
      <c r="A84" s="294" t="s">
        <v>1436</v>
      </c>
      <c r="B84" s="295" t="s">
        <v>1437</v>
      </c>
      <c r="C84" s="295" t="s">
        <v>1438</v>
      </c>
      <c r="D84" s="470">
        <v>19</v>
      </c>
      <c r="E84" s="297"/>
      <c r="F84" s="297"/>
      <c r="G84" s="297"/>
      <c r="H84" s="214"/>
      <c r="I84" s="92" t="s">
        <v>168</v>
      </c>
      <c r="J84" s="92" t="s">
        <v>178</v>
      </c>
      <c r="K84" s="92" t="s">
        <v>185</v>
      </c>
      <c r="L84" s="71" t="s">
        <v>190</v>
      </c>
      <c r="M84" s="71"/>
      <c r="N84" s="71"/>
      <c r="O84" s="71"/>
      <c r="P84" s="71" t="s">
        <v>380</v>
      </c>
      <c r="Q84" s="71" t="b">
        <f t="shared" si="59"/>
        <v>0</v>
      </c>
      <c r="R84" s="64">
        <v>43010</v>
      </c>
      <c r="S84" s="64"/>
      <c r="T84" s="64"/>
      <c r="U84" s="97">
        <f>IF(OR($E$78="N/A",AND(AX84=0,'Cover Sheet'!$B$29="Streamlined Review"),AND(E84="Met",F84&lt;&gt;""),AND(E84="Not met",G84&lt;&gt;""),AND(E84="Unsure",G84&lt;&gt;""),AND(E84="N/A",H84&lt;&gt;""),AND(Y84=TRUE)),1,0)</f>
        <v>0</v>
      </c>
      <c r="X84" s="126" t="b">
        <f t="shared" si="2"/>
        <v>0</v>
      </c>
      <c r="Y84" s="126" t="b">
        <f t="shared" si="60"/>
        <v>0</v>
      </c>
      <c r="Z84" s="126">
        <f t="shared" si="65"/>
        <v>1</v>
      </c>
      <c r="AA84" s="126">
        <f t="shared" si="66"/>
        <v>0</v>
      </c>
      <c r="AB84" s="126">
        <f t="shared" si="67"/>
        <v>0</v>
      </c>
      <c r="AC84" s="126">
        <f t="shared" si="68"/>
        <v>0</v>
      </c>
      <c r="AD84" s="126">
        <f t="shared" si="69"/>
        <v>0</v>
      </c>
      <c r="AE84" s="126">
        <f t="shared" si="70"/>
        <v>0</v>
      </c>
      <c r="AF84" s="53" t="b">
        <f t="shared" si="61"/>
        <v>0</v>
      </c>
      <c r="AG84" s="54" t="b">
        <f t="shared" si="62"/>
        <v>0</v>
      </c>
      <c r="AH84" s="56" t="b">
        <f t="shared" si="63"/>
        <v>0</v>
      </c>
      <c r="AP84" s="69" t="str">
        <f t="shared" si="64"/>
        <v/>
      </c>
      <c r="AX84">
        <v>1</v>
      </c>
    </row>
    <row r="85" spans="1:50" ht="97.5" customHeight="1" x14ac:dyDescent="0.25">
      <c r="A85" s="294" t="s">
        <v>1439</v>
      </c>
      <c r="B85" s="295" t="s">
        <v>1440</v>
      </c>
      <c r="C85" s="295" t="s">
        <v>1441</v>
      </c>
      <c r="D85" s="470" t="s">
        <v>1442</v>
      </c>
      <c r="E85" s="297"/>
      <c r="F85" s="297"/>
      <c r="G85" s="297"/>
      <c r="H85" s="214"/>
      <c r="I85" s="92" t="s">
        <v>168</v>
      </c>
      <c r="J85" s="92" t="s">
        <v>178</v>
      </c>
      <c r="K85" s="92" t="s">
        <v>185</v>
      </c>
      <c r="L85" s="71" t="s">
        <v>190</v>
      </c>
      <c r="M85" s="71"/>
      <c r="N85" s="71"/>
      <c r="O85" s="71"/>
      <c r="P85" s="71" t="s">
        <v>380</v>
      </c>
      <c r="Q85" s="71" t="b">
        <f t="shared" si="59"/>
        <v>0</v>
      </c>
      <c r="R85" s="64">
        <v>43010</v>
      </c>
      <c r="S85" s="64"/>
      <c r="T85" s="64"/>
      <c r="U85" s="97">
        <f>IF(OR($E$78="N/A",AND(AX85=0,'Cover Sheet'!$B$29="Streamlined Review"),AND(E85="Met",F85&lt;&gt;""),AND(E85="Not met",G85&lt;&gt;""),AND(E85="Unsure",G85&lt;&gt;""),AND(E85="N/A",H85&lt;&gt;""),AND(Y85=TRUE)),1,0)</f>
        <v>0</v>
      </c>
      <c r="X85" s="126" t="b">
        <f t="shared" si="2"/>
        <v>0</v>
      </c>
      <c r="Y85" s="126" t="b">
        <f t="shared" si="60"/>
        <v>0</v>
      </c>
      <c r="Z85" s="126">
        <f t="shared" si="65"/>
        <v>1</v>
      </c>
      <c r="AA85" s="126">
        <f t="shared" si="66"/>
        <v>0</v>
      </c>
      <c r="AB85" s="126">
        <f t="shared" si="67"/>
        <v>0</v>
      </c>
      <c r="AC85" s="126">
        <f t="shared" si="68"/>
        <v>0</v>
      </c>
      <c r="AD85" s="126">
        <f t="shared" si="69"/>
        <v>0</v>
      </c>
      <c r="AE85" s="126">
        <f t="shared" si="70"/>
        <v>0</v>
      </c>
      <c r="AF85" s="53" t="b">
        <f t="shared" si="61"/>
        <v>0</v>
      </c>
      <c r="AG85" s="54" t="b">
        <f t="shared" si="62"/>
        <v>0</v>
      </c>
      <c r="AH85" s="56" t="b">
        <f t="shared" si="63"/>
        <v>0</v>
      </c>
      <c r="AP85" s="69" t="str">
        <f t="shared" si="64"/>
        <v/>
      </c>
      <c r="AX85">
        <v>1</v>
      </c>
    </row>
    <row r="86" spans="1:50" ht="45" customHeight="1" thickBot="1" x14ac:dyDescent="0.3">
      <c r="A86" s="294" t="s">
        <v>1443</v>
      </c>
      <c r="B86" s="295" t="s">
        <v>1444</v>
      </c>
      <c r="C86" s="295" t="s">
        <v>1445</v>
      </c>
      <c r="D86" s="470">
        <v>19</v>
      </c>
      <c r="E86" s="340"/>
      <c r="F86" s="340"/>
      <c r="G86" s="340"/>
      <c r="H86" s="215"/>
      <c r="I86" s="92" t="s">
        <v>168</v>
      </c>
      <c r="J86" s="92" t="s">
        <v>178</v>
      </c>
      <c r="K86" s="92" t="s">
        <v>185</v>
      </c>
      <c r="L86" s="71" t="s">
        <v>190</v>
      </c>
      <c r="M86" s="71"/>
      <c r="N86" s="71"/>
      <c r="O86" s="71"/>
      <c r="P86" s="71" t="s">
        <v>380</v>
      </c>
      <c r="Q86" s="71" t="b">
        <f t="shared" si="59"/>
        <v>0</v>
      </c>
      <c r="R86" s="64">
        <v>43010</v>
      </c>
      <c r="S86" s="64"/>
      <c r="T86" s="64"/>
      <c r="U86" s="97">
        <f>IF(OR($E$78="N/A",AND(AX86=0,'Cover Sheet'!$B$29="Streamlined Review"),AND(E86="Met",F86&lt;&gt;""),AND(E86="Not met",G86&lt;&gt;""),AND(E86="Unsure",G86&lt;&gt;""),AND(E86="N/A",H86&lt;&gt;""),AND(Y86=TRUE)),1,0)</f>
        <v>0</v>
      </c>
      <c r="X86" s="126" t="b">
        <f t="shared" si="2"/>
        <v>0</v>
      </c>
      <c r="Y86" s="126" t="b">
        <f t="shared" si="60"/>
        <v>0</v>
      </c>
      <c r="Z86" s="126">
        <f>IF($Z$2=I86,1,0)</f>
        <v>1</v>
      </c>
      <c r="AA86" s="126">
        <f>IF($AA$2=J86,1,0)</f>
        <v>0</v>
      </c>
      <c r="AB86" s="126">
        <f>IF($AB$2=K86,1,0)</f>
        <v>0</v>
      </c>
      <c r="AC86" s="126">
        <f>IF($AC$2=L86,1,0)</f>
        <v>0</v>
      </c>
      <c r="AD86" s="126">
        <f>IF($AD$2=M86,1,0)</f>
        <v>0</v>
      </c>
      <c r="AE86" s="126">
        <f>IF($AE$2=O86,1,0)</f>
        <v>0</v>
      </c>
      <c r="AF86" s="53" t="b">
        <f t="shared" si="61"/>
        <v>0</v>
      </c>
      <c r="AG86" s="54" t="b">
        <f t="shared" si="62"/>
        <v>0</v>
      </c>
      <c r="AH86" s="56" t="b">
        <f t="shared" si="63"/>
        <v>0</v>
      </c>
      <c r="AP86" s="69" t="str">
        <f t="shared" si="64"/>
        <v/>
      </c>
      <c r="AX86">
        <v>1</v>
      </c>
    </row>
    <row r="87" spans="1:50" ht="15.75" thickBot="1" x14ac:dyDescent="0.3">
      <c r="A87" s="450"/>
      <c r="B87" s="451"/>
      <c r="C87" s="452" t="s">
        <v>55</v>
      </c>
      <c r="D87" s="491"/>
      <c r="E87" s="443"/>
      <c r="F87" s="492"/>
      <c r="G87" s="492"/>
      <c r="H87" s="493"/>
      <c r="I87" s="74"/>
      <c r="J87" s="74"/>
      <c r="K87" s="74"/>
      <c r="L87" s="87"/>
      <c r="M87" s="87"/>
      <c r="R87" s="116"/>
      <c r="S87" s="116"/>
      <c r="T87" s="116"/>
      <c r="U87" s="126"/>
      <c r="AH87" s="68"/>
    </row>
    <row r="88" spans="1:50" ht="25.5" x14ac:dyDescent="0.25">
      <c r="A88" s="294" t="s">
        <v>1446</v>
      </c>
      <c r="B88" s="295" t="s">
        <v>1447</v>
      </c>
      <c r="C88" s="295" t="s">
        <v>1448</v>
      </c>
      <c r="D88" s="473"/>
      <c r="E88" s="297"/>
      <c r="F88" s="313"/>
      <c r="G88" s="313"/>
      <c r="H88" s="314"/>
      <c r="I88" s="92" t="s">
        <v>168</v>
      </c>
      <c r="J88" s="92" t="s">
        <v>178</v>
      </c>
      <c r="K88" s="92" t="s">
        <v>185</v>
      </c>
      <c r="L88" s="71" t="s">
        <v>190</v>
      </c>
      <c r="M88" s="71"/>
      <c r="N88" s="71"/>
      <c r="O88" s="71"/>
      <c r="P88" s="71" t="s">
        <v>380</v>
      </c>
      <c r="Q88" s="71" t="b">
        <f>IF(OR(AND($C$2="Base contract",$C$3="No, section requirements must be reviewed", $AF88=FALSE,$AG88=FALSE),AND($C$2="Contract amendment",$C$3="No, section requirements must be reviewed",$AF88=FALSE,$AG88=FALSE)),"MUNN")</f>
        <v>0</v>
      </c>
      <c r="R88" s="64">
        <v>42917</v>
      </c>
      <c r="S88" s="64"/>
      <c r="T88" s="64"/>
      <c r="U88" s="97">
        <f>IF(OR($E$87="N/A",AND(AX88=0,'Cover Sheet'!$B$29="Streamlined Review"),AND(E88="Met",F88&lt;&gt;""),AND(E88="Not met",G88&lt;&gt;""),AND(E88="Unsure",G88&lt;&gt;""),AND(E88="N/A",H88&lt;&gt;""),AND(Y88=TRUE)),1,0)</f>
        <v>0</v>
      </c>
      <c r="X88" s="126" t="b">
        <f t="shared" si="2"/>
        <v>0</v>
      </c>
      <c r="Y88" s="126" t="b">
        <f>IF(SUM(Z88:AE88)&lt;1,TRUE,FALSE)</f>
        <v>0</v>
      </c>
      <c r="Z88" s="126">
        <f>IF($Z$2=I88,1,0)</f>
        <v>1</v>
      </c>
      <c r="AA88" s="126">
        <f>IF($AA$2=J88,1,0)</f>
        <v>0</v>
      </c>
      <c r="AB88" s="126">
        <f>IF($AB$2=K88,1,0)</f>
        <v>0</v>
      </c>
      <c r="AC88" s="126">
        <f>IF($AC$2=L88,1,0)</f>
        <v>0</v>
      </c>
      <c r="AD88" s="126">
        <f>IF($AD$2=M88,1,0)</f>
        <v>0</v>
      </c>
      <c r="AE88" s="126">
        <f>IF($AE$2=O88,1,0)</f>
        <v>0</v>
      </c>
      <c r="AF88" s="53" t="b">
        <f>IF($H$1&lt;&gt;0,IF($H$1&lt;&gt;I88,IF($H$1&lt;&gt;J88,IF($H$1&lt;&gt;K88,IF($H$1&lt;&gt;L88,IF($H$1&lt;&gt;M88,IF($H$1&lt;&gt;N88,IF($H$1&lt;&gt;O88,TRUE,FALSE))))))))</f>
        <v>0</v>
      </c>
      <c r="AG88" s="54" t="b">
        <f>IF(AH88=TRUE,TRUE,FALSE)</f>
        <v>0</v>
      </c>
      <c r="AH88" s="56" t="b">
        <f>IF(OR(AND($H$6="Medicaid",MID($A88,1,FIND(".",$A88,1)-1)="II"),AND($H$6="CHIP",MID($A88,1,FIND(".",$A88,1)-1)="I")),TRUE,FALSE)</f>
        <v>0</v>
      </c>
      <c r="AO88" s="69">
        <v>1</v>
      </c>
      <c r="AP88" s="69">
        <f>IF(AO88=1,1,"")</f>
        <v>1</v>
      </c>
      <c r="AX88">
        <v>0</v>
      </c>
    </row>
    <row r="89" spans="1:50" ht="51" x14ac:dyDescent="0.25">
      <c r="A89" s="294" t="s">
        <v>1449</v>
      </c>
      <c r="B89" s="295" t="s">
        <v>1450</v>
      </c>
      <c r="C89" s="295" t="s">
        <v>1451</v>
      </c>
      <c r="D89" s="446"/>
      <c r="E89" s="297"/>
      <c r="F89" s="297"/>
      <c r="G89" s="297"/>
      <c r="H89" s="214"/>
      <c r="I89" s="92" t="s">
        <v>168</v>
      </c>
      <c r="J89" s="92" t="s">
        <v>178</v>
      </c>
      <c r="K89" s="92" t="s">
        <v>185</v>
      </c>
      <c r="L89" s="71" t="s">
        <v>190</v>
      </c>
      <c r="M89" s="71"/>
      <c r="N89" s="71"/>
      <c r="O89" s="71"/>
      <c r="P89" s="71" t="s">
        <v>380</v>
      </c>
      <c r="Q89" s="71" t="b">
        <f>IF(OR(AND($C$2="Base contract",$C$3="No, section requirements must be reviewed", $AF89=FALSE,$AG89=FALSE),AND($C$2="Contract amendment",$C$3="No, section requirements must be reviewed",$AF89=FALSE,$AG89=FALSE)),"MUNN")</f>
        <v>0</v>
      </c>
      <c r="R89" s="64">
        <v>42917</v>
      </c>
      <c r="S89" s="64"/>
      <c r="T89" s="64"/>
      <c r="U89" s="97">
        <f>IF(OR($E$87="N/A",AND(AX89=0,'Cover Sheet'!$B$29="Streamlined Review"),AND(E89="Met",F89&lt;&gt;""),AND(E89="Not met",G89&lt;&gt;""),AND(E89="Unsure",G89&lt;&gt;""),AND(E89="N/A",H89&lt;&gt;""),AND(Y89=TRUE)),1,0)</f>
        <v>0</v>
      </c>
      <c r="X89" s="126" t="b">
        <f t="shared" si="2"/>
        <v>0</v>
      </c>
      <c r="Y89" s="126" t="b">
        <f>IF(SUM(Z89:AE89)&lt;1,TRUE,FALSE)</f>
        <v>0</v>
      </c>
      <c r="Z89" s="126">
        <f>IF($Z$2=I89,1,0)</f>
        <v>1</v>
      </c>
      <c r="AA89" s="126">
        <f>IF($AA$2=J89,1,0)</f>
        <v>0</v>
      </c>
      <c r="AB89" s="126">
        <f>IF($AB$2=K89,1,0)</f>
        <v>0</v>
      </c>
      <c r="AC89" s="126">
        <f>IF($AC$2=L89,1,0)</f>
        <v>0</v>
      </c>
      <c r="AD89" s="126">
        <f>IF($AD$2=M89,1,0)</f>
        <v>0</v>
      </c>
      <c r="AE89" s="126">
        <f>IF($AE$2=O89,1,0)</f>
        <v>0</v>
      </c>
      <c r="AF89" s="53" t="b">
        <f>IF($H$1&lt;&gt;0,IF($H$1&lt;&gt;I89,IF($H$1&lt;&gt;J89,IF($H$1&lt;&gt;K89,IF($H$1&lt;&gt;L89,IF($H$1&lt;&gt;M89,IF($H$1&lt;&gt;N89,IF($H$1&lt;&gt;O89,TRUE,FALSE))))))))</f>
        <v>0</v>
      </c>
      <c r="AG89" s="54" t="b">
        <f>IF(AH89=TRUE,TRUE,FALSE)</f>
        <v>0</v>
      </c>
      <c r="AH89" s="56" t="b">
        <f>IF(OR(AND($H$6="Medicaid",MID($A89,1,FIND(".",$A89,1)-1)="II"),AND($H$6="CHIP",MID($A89,1,FIND(".",$A89,1)-1)="I")),TRUE,FALSE)</f>
        <v>0</v>
      </c>
      <c r="AO89" s="69">
        <v>1</v>
      </c>
      <c r="AP89" s="69">
        <f>IF(AO89=1,1,"")</f>
        <v>1</v>
      </c>
      <c r="AX89">
        <v>0</v>
      </c>
    </row>
    <row r="90" spans="1:50" ht="51" x14ac:dyDescent="0.25">
      <c r="A90" s="294" t="s">
        <v>1452</v>
      </c>
      <c r="B90" s="295" t="s">
        <v>1453</v>
      </c>
      <c r="C90" s="295" t="s">
        <v>1454</v>
      </c>
      <c r="D90" s="494" t="s">
        <v>1455</v>
      </c>
      <c r="E90" s="340"/>
      <c r="F90" s="340"/>
      <c r="G90" s="340"/>
      <c r="H90" s="215"/>
      <c r="I90" s="92" t="s">
        <v>168</v>
      </c>
      <c r="J90" s="92" t="s">
        <v>178</v>
      </c>
      <c r="K90" s="92" t="s">
        <v>185</v>
      </c>
      <c r="L90" s="71" t="s">
        <v>190</v>
      </c>
      <c r="M90" s="71"/>
      <c r="N90" s="71"/>
      <c r="O90" s="71"/>
      <c r="P90" s="71" t="s">
        <v>380</v>
      </c>
      <c r="Q90" s="71" t="b">
        <f>IF(OR(AND($C$2="Base contract",$C$3="No, section requirements must be reviewed", $AF90=FALSE,$AG90=FALSE),AND($C$2="Contract amendment",$C$3="No, section requirements must be reviewed",$AF90=FALSE,$AG90=FALSE)),"MUNN")</f>
        <v>0</v>
      </c>
      <c r="R90" s="64">
        <v>42556</v>
      </c>
      <c r="S90" s="64"/>
      <c r="T90" s="64"/>
      <c r="U90" s="97">
        <f>IF(OR($E$87="N/A",AND(AX90=0,'Cover Sheet'!$B$29="Streamlined Review"),AND(E90="Met",F90&lt;&gt;""),AND(E90="Not met",G90&lt;&gt;""),AND(E90="Unsure",G90&lt;&gt;""),AND(E90="N/A",H90&lt;&gt;""),AND(Y90=TRUE)),1,0)</f>
        <v>0</v>
      </c>
      <c r="X90" s="126" t="b">
        <f t="shared" si="2"/>
        <v>0</v>
      </c>
      <c r="Y90" s="126" t="b">
        <f>IF(SUM(Z90:AE90)&lt;1,TRUE,FALSE)</f>
        <v>0</v>
      </c>
      <c r="Z90" s="126">
        <f>IF($Z$2=I90,1,0)</f>
        <v>1</v>
      </c>
      <c r="AA90" s="126">
        <f>IF($AA$2=J90,1,0)</f>
        <v>0</v>
      </c>
      <c r="AB90" s="126">
        <f>IF($AB$2=K90,1,0)</f>
        <v>0</v>
      </c>
      <c r="AC90" s="126">
        <f>IF($AC$2=L90,1,0)</f>
        <v>0</v>
      </c>
      <c r="AD90" s="126">
        <f>IF($AD$2=M90,1,0)</f>
        <v>0</v>
      </c>
      <c r="AE90" s="126">
        <f>IF($AE$2=O90,1,0)</f>
        <v>0</v>
      </c>
      <c r="AF90" s="53" t="b">
        <f>IF($H$1&lt;&gt;0,IF($H$1&lt;&gt;I90,IF($H$1&lt;&gt;J90,IF($H$1&lt;&gt;K90,IF($H$1&lt;&gt;L90,IF($H$1&lt;&gt;M90,IF($H$1&lt;&gt;N90,IF($H$1&lt;&gt;O90,TRUE,FALSE))))))))</f>
        <v>0</v>
      </c>
      <c r="AG90" s="54" t="b">
        <f>IF(AH90=TRUE,TRUE,FALSE)</f>
        <v>0</v>
      </c>
      <c r="AH90" s="56" t="b">
        <f>IF(OR(AND($H$6="Medicaid",MID($A90,1,FIND(".",$A90,1)-1)="II"),AND($H$6="CHIP",MID($A90,1,FIND(".",$A90,1)-1)="I")),TRUE,FALSE)</f>
        <v>0</v>
      </c>
      <c r="AO90" s="69">
        <v>1</v>
      </c>
      <c r="AP90" s="69">
        <f>IF(AO90=1,1,"")</f>
        <v>1</v>
      </c>
      <c r="AX90">
        <v>1</v>
      </c>
    </row>
    <row r="91" spans="1:50" ht="15.75" thickBot="1" x14ac:dyDescent="0.3">
      <c r="A91" s="450"/>
      <c r="B91" s="451"/>
      <c r="C91" s="452" t="s">
        <v>56</v>
      </c>
      <c r="D91" s="491"/>
      <c r="E91" s="443"/>
      <c r="F91" s="492"/>
      <c r="G91" s="492"/>
      <c r="H91" s="493"/>
      <c r="I91" s="74"/>
      <c r="J91" s="74"/>
      <c r="K91" s="74"/>
      <c r="L91" s="87"/>
      <c r="M91" s="87"/>
      <c r="R91" s="116"/>
      <c r="S91" s="116"/>
      <c r="T91" s="116"/>
      <c r="U91" s="126"/>
      <c r="AH91" s="68"/>
    </row>
    <row r="92" spans="1:50" ht="39" x14ac:dyDescent="0.25">
      <c r="A92" s="294" t="s">
        <v>1456</v>
      </c>
      <c r="B92" s="295" t="s">
        <v>1457</v>
      </c>
      <c r="C92" s="295" t="s">
        <v>1458</v>
      </c>
      <c r="D92" s="447">
        <v>27</v>
      </c>
      <c r="E92" s="297"/>
      <c r="F92" s="297"/>
      <c r="G92" s="297"/>
      <c r="H92" s="214"/>
      <c r="I92" s="92" t="s">
        <v>168</v>
      </c>
      <c r="J92" s="92" t="s">
        <v>178</v>
      </c>
      <c r="K92" s="92" t="s">
        <v>185</v>
      </c>
      <c r="L92" s="71" t="s">
        <v>190</v>
      </c>
      <c r="M92" s="71"/>
      <c r="N92" s="71"/>
      <c r="O92" s="71"/>
      <c r="P92" s="71" t="s">
        <v>380</v>
      </c>
      <c r="Q92" s="71" t="b">
        <f>IF(OR(AND($C$2="Base contract",$C$3="No, section requirements must be reviewed", $AF92=FALSE,$AG92=FALSE),AND($C$2="Contract amendment",$C$3="No, section requirements must be reviewed",$AF92=FALSE,$AG92=FALSE)),"MUNN")</f>
        <v>0</v>
      </c>
      <c r="R92" s="64"/>
      <c r="S92" s="64"/>
      <c r="T92" s="64"/>
      <c r="U92" s="97">
        <f>IF(OR($E$91="N/A",AND(AX92=0,'Cover Sheet'!$B$29="Streamlined Review"),AND(E92="Met",F92&lt;&gt;""),AND(E92="Not met",G92&lt;&gt;""),AND(E92="Unsure",G92&lt;&gt;""),AND(E92="N/A",H92&lt;&gt;""),AND(Y92=TRUE)),1,0)</f>
        <v>0</v>
      </c>
      <c r="X92" s="126" t="b">
        <f t="shared" si="2"/>
        <v>0</v>
      </c>
      <c r="Y92" s="126" t="b">
        <f>IF(SUM(Z92:AE92)&lt;1,TRUE,FALSE)</f>
        <v>0</v>
      </c>
      <c r="Z92" s="126">
        <f>IF($Z$2=I92,1,0)</f>
        <v>1</v>
      </c>
      <c r="AA92" s="126">
        <f>IF($AA$2=J92,1,0)</f>
        <v>0</v>
      </c>
      <c r="AB92" s="126">
        <f>IF($AB$2=K92,1,0)</f>
        <v>0</v>
      </c>
      <c r="AC92" s="126">
        <f>IF($AC$2=L92,1,0)</f>
        <v>0</v>
      </c>
      <c r="AD92" s="126">
        <f>IF($AD$2=M92,1,0)</f>
        <v>0</v>
      </c>
      <c r="AE92" s="126">
        <f>IF($AE$2=O92,1,0)</f>
        <v>0</v>
      </c>
      <c r="AF92" s="53" t="b">
        <f>IF($H$1&lt;&gt;0,IF($H$1&lt;&gt;I92,IF($H$1&lt;&gt;J92,IF($H$1&lt;&gt;K92,IF($H$1&lt;&gt;L92,IF($H$1&lt;&gt;M92,IF($H$1&lt;&gt;N92,IF($H$1&lt;&gt;O92,TRUE,FALSE))))))))</f>
        <v>0</v>
      </c>
      <c r="AG92" s="54" t="b">
        <f>IF(AH92=TRUE,TRUE,FALSE)</f>
        <v>0</v>
      </c>
      <c r="AH92" s="56" t="b">
        <f>IF(OR(AND($H$6="Medicaid",MID($A92,1,FIND(".",$A92,1)-1)="II"),AND($H$6="CHIP",MID($A92,1,FIND(".",$A92,1)-1)="I")),TRUE,FALSE)</f>
        <v>0</v>
      </c>
      <c r="AO92" s="69">
        <v>1</v>
      </c>
      <c r="AP92" s="69">
        <f>IF(AO92=1,1,"")</f>
        <v>1</v>
      </c>
      <c r="AX92">
        <v>0</v>
      </c>
    </row>
    <row r="93" spans="1:50" ht="39" x14ac:dyDescent="0.25">
      <c r="A93" s="294" t="s">
        <v>1459</v>
      </c>
      <c r="B93" s="295" t="s">
        <v>1460</v>
      </c>
      <c r="C93" s="295" t="s">
        <v>1461</v>
      </c>
      <c r="D93" s="447">
        <v>27</v>
      </c>
      <c r="E93" s="297"/>
      <c r="F93" s="297"/>
      <c r="G93" s="297"/>
      <c r="H93" s="214"/>
      <c r="I93" s="92" t="s">
        <v>168</v>
      </c>
      <c r="J93" s="92" t="s">
        <v>178</v>
      </c>
      <c r="K93" s="92" t="s">
        <v>185</v>
      </c>
      <c r="L93" s="71" t="s">
        <v>190</v>
      </c>
      <c r="M93" s="71"/>
      <c r="N93" s="71"/>
      <c r="O93" s="71"/>
      <c r="P93" s="71" t="s">
        <v>380</v>
      </c>
      <c r="Q93" s="71" t="b">
        <f>IF(OR(AND($C$2="Base contract",$C$3="No, section requirements must be reviewed", $AF93=FALSE,$AG93=FALSE),AND($C$2="Contract amendment",$C$3="No, section requirements must be reviewed",$AF93=FALSE,$AG93=FALSE)),"MUNN")</f>
        <v>0</v>
      </c>
      <c r="R93" s="64"/>
      <c r="S93" s="64"/>
      <c r="T93" s="64"/>
      <c r="U93" s="97">
        <f>IF(OR($E$91="N/A",AND(AX93=0,'Cover Sheet'!$B$29="Streamlined Review"),AND(E93="Met",F93&lt;&gt;""),AND(E93="Not met",G93&lt;&gt;""),AND(E93="Unsure",G93&lt;&gt;""),AND(E93="N/A",H93&lt;&gt;""),AND(Y93=TRUE)),1,0)</f>
        <v>0</v>
      </c>
      <c r="X93" s="126" t="b">
        <f t="shared" si="2"/>
        <v>0</v>
      </c>
      <c r="Y93" s="126" t="b">
        <f>IF(SUM(Z93:AE93)&lt;1,TRUE,FALSE)</f>
        <v>0</v>
      </c>
      <c r="Z93" s="126">
        <f>IF($Z$2=I93,1,0)</f>
        <v>1</v>
      </c>
      <c r="AA93" s="126">
        <f>IF($AA$2=J93,1,0)</f>
        <v>0</v>
      </c>
      <c r="AB93" s="126">
        <f>IF($AB$2=K93,1,0)</f>
        <v>0</v>
      </c>
      <c r="AC93" s="126">
        <f>IF($AC$2=L93,1,0)</f>
        <v>0</v>
      </c>
      <c r="AD93" s="126">
        <f>IF($AD$2=M93,1,0)</f>
        <v>0</v>
      </c>
      <c r="AE93" s="126">
        <f>IF($AE$2=O93,1,0)</f>
        <v>0</v>
      </c>
      <c r="AF93" s="53" t="b">
        <f>IF($H$1&lt;&gt;0,IF($H$1&lt;&gt;I93,IF($H$1&lt;&gt;J93,IF($H$1&lt;&gt;K93,IF($H$1&lt;&gt;L93,IF($H$1&lt;&gt;M93,IF($H$1&lt;&gt;N93,IF($H$1&lt;&gt;O93,TRUE,FALSE))))))))</f>
        <v>0</v>
      </c>
      <c r="AG93" s="54" t="b">
        <f>IF(AH93=TRUE,TRUE,FALSE)</f>
        <v>0</v>
      </c>
      <c r="AH93" s="56" t="b">
        <f>IF(OR(AND($H$6="Medicaid",MID($A93,1,FIND(".",$A93,1)-1)="II"),AND($H$6="CHIP",MID($A93,1,FIND(".",$A93,1)-1)="I")),TRUE,FALSE)</f>
        <v>0</v>
      </c>
      <c r="AO93" s="69">
        <v>1</v>
      </c>
      <c r="AP93" s="69">
        <f>IF(AO93=1,1,"")</f>
        <v>1</v>
      </c>
      <c r="AX93">
        <v>0</v>
      </c>
    </row>
    <row r="94" spans="1:50" ht="39" x14ac:dyDescent="0.25">
      <c r="A94" s="294" t="s">
        <v>1462</v>
      </c>
      <c r="B94" s="295" t="s">
        <v>1463</v>
      </c>
      <c r="C94" s="295" t="s">
        <v>1464</v>
      </c>
      <c r="D94" s="447">
        <v>27</v>
      </c>
      <c r="E94" s="340"/>
      <c r="F94" s="340"/>
      <c r="G94" s="340"/>
      <c r="H94" s="215"/>
      <c r="I94" s="92" t="s">
        <v>168</v>
      </c>
      <c r="J94" s="92" t="s">
        <v>178</v>
      </c>
      <c r="K94" s="92" t="s">
        <v>185</v>
      </c>
      <c r="L94" s="71" t="s">
        <v>190</v>
      </c>
      <c r="M94" s="71"/>
      <c r="N94" s="71"/>
      <c r="O94" s="71"/>
      <c r="P94" s="71" t="s">
        <v>380</v>
      </c>
      <c r="Q94" s="71" t="b">
        <f>IF(OR(AND($C$2="Base contract",$C$3="No, section requirements must be reviewed", $AF94=FALSE,$AG94=FALSE),AND($C$2="Contract amendment",$C$3="No, section requirements must be reviewed",$AF94=FALSE,$AG94=FALSE)),"MUNN")</f>
        <v>0</v>
      </c>
      <c r="R94" s="64"/>
      <c r="S94" s="64"/>
      <c r="T94" s="64"/>
      <c r="U94" s="97">
        <f>IF(OR($E$91="N/A",AND(AX94=0,'Cover Sheet'!$B$29="Streamlined Review"),AND(E94="Met",F94&lt;&gt;""),AND(E94="Not met",G94&lt;&gt;""),AND(E94="Unsure",G94&lt;&gt;""),AND(E94="N/A",H94&lt;&gt;""),AND(Y94=TRUE)),1,0)</f>
        <v>0</v>
      </c>
      <c r="X94" s="126" t="b">
        <f t="shared" si="2"/>
        <v>0</v>
      </c>
      <c r="Y94" s="126" t="b">
        <f>IF(SUM(Z94:AE94)&lt;1,TRUE,FALSE)</f>
        <v>0</v>
      </c>
      <c r="Z94" s="126">
        <f>IF($Z$2=I94,1,0)</f>
        <v>1</v>
      </c>
      <c r="AA94" s="126">
        <f>IF($AA$2=J94,1,0)</f>
        <v>0</v>
      </c>
      <c r="AB94" s="126">
        <f>IF($AB$2=K94,1,0)</f>
        <v>0</v>
      </c>
      <c r="AC94" s="126">
        <f>IF($AC$2=L94,1,0)</f>
        <v>0</v>
      </c>
      <c r="AD94" s="126">
        <f>IF($AD$2=M94,1,0)</f>
        <v>0</v>
      </c>
      <c r="AE94" s="126">
        <f>IF($AE$2=O94,1,0)</f>
        <v>0</v>
      </c>
      <c r="AF94" s="53" t="b">
        <f>IF($H$1&lt;&gt;0,IF($H$1&lt;&gt;I94,IF($H$1&lt;&gt;J94,IF($H$1&lt;&gt;K94,IF($H$1&lt;&gt;L94,IF($H$1&lt;&gt;M94,IF($H$1&lt;&gt;N94,IF($H$1&lt;&gt;O94,TRUE,FALSE))))))))</f>
        <v>0</v>
      </c>
      <c r="AG94" s="54" t="b">
        <f>IF(AH94=TRUE,TRUE,FALSE)</f>
        <v>0</v>
      </c>
      <c r="AH94" s="56" t="b">
        <f>IF(OR(AND($H$6="Medicaid",MID($A94,1,FIND(".",$A94,1)-1)="II"),AND($H$6="CHIP",MID($A94,1,FIND(".",$A94,1)-1)="I")),TRUE,FALSE)</f>
        <v>0</v>
      </c>
      <c r="AO94" s="69">
        <v>1</v>
      </c>
      <c r="AP94" s="69">
        <f>IF(AO94=1,1,"")</f>
        <v>1</v>
      </c>
      <c r="AX94">
        <v>0</v>
      </c>
    </row>
    <row r="95" spans="1:50" ht="15.75" thickBot="1" x14ac:dyDescent="0.3">
      <c r="A95" s="450"/>
      <c r="B95" s="451"/>
      <c r="C95" s="452" t="s">
        <v>57</v>
      </c>
      <c r="D95" s="491"/>
      <c r="E95" s="443"/>
      <c r="F95" s="492"/>
      <c r="G95" s="492"/>
      <c r="H95" s="493"/>
      <c r="I95" s="74"/>
      <c r="J95" s="74"/>
      <c r="K95" s="74"/>
      <c r="L95" s="87"/>
      <c r="M95" s="87"/>
      <c r="R95" s="116"/>
      <c r="S95" s="116"/>
      <c r="T95" s="116"/>
      <c r="U95" s="126"/>
      <c r="AH95" s="68"/>
    </row>
    <row r="96" spans="1:50" ht="38.25" x14ac:dyDescent="0.25">
      <c r="A96" s="294" t="s">
        <v>1465</v>
      </c>
      <c r="B96" s="295" t="s">
        <v>1466</v>
      </c>
      <c r="C96" s="295" t="s">
        <v>1467</v>
      </c>
      <c r="D96" s="495"/>
      <c r="E96" s="318"/>
      <c r="F96" s="342"/>
      <c r="G96" s="342"/>
      <c r="H96" s="343"/>
      <c r="I96" s="92" t="s">
        <v>168</v>
      </c>
      <c r="J96" s="92" t="s">
        <v>178</v>
      </c>
      <c r="K96" s="92" t="s">
        <v>185</v>
      </c>
      <c r="L96" s="71" t="s">
        <v>190</v>
      </c>
      <c r="M96" s="71"/>
      <c r="N96" s="71"/>
      <c r="O96" s="71"/>
      <c r="P96" s="71" t="s">
        <v>380</v>
      </c>
      <c r="Q96" s="71" t="b">
        <f>IF(OR(AND($C$2="Base contract",$C$3="No, section requirements must be reviewed", $AF96=FALSE,$AG96=FALSE),AND($C$2="Contract amendment",$C$3="No, section requirements must be reviewed",$AF96=FALSE,$AG96=FALSE)),"MUNN")</f>
        <v>0</v>
      </c>
      <c r="R96" s="64"/>
      <c r="S96" s="64"/>
      <c r="T96" s="64"/>
      <c r="U96" s="97">
        <f>IF(OR($E$95="N/A",AND(AX96=0,'Cover Sheet'!$B$29="Streamlined Review"),AND(E96="Met",F96&lt;&gt;""),AND(E96="Not met",G96&lt;&gt;""),AND(E96="Unsure",G96&lt;&gt;""),AND(E96="N/A",H96&lt;&gt;""),AND(Y96=TRUE)),1,0)</f>
        <v>0</v>
      </c>
      <c r="X96" s="126" t="b">
        <f t="shared" si="2"/>
        <v>0</v>
      </c>
      <c r="Y96" s="126" t="b">
        <f>IF(SUM(Z96:AE96)&lt;1,TRUE,FALSE)</f>
        <v>0</v>
      </c>
      <c r="Z96" s="126">
        <f>IF($Z$2=I96,1,0)</f>
        <v>1</v>
      </c>
      <c r="AA96" s="126">
        <f>IF($AA$2=J96,1,0)</f>
        <v>0</v>
      </c>
      <c r="AB96" s="126">
        <f>IF($AB$2=K96,1,0)</f>
        <v>0</v>
      </c>
      <c r="AC96" s="126">
        <f>IF($AC$2=L96,1,0)</f>
        <v>0</v>
      </c>
      <c r="AD96" s="126">
        <f>IF($AD$2=M96,1,0)</f>
        <v>0</v>
      </c>
      <c r="AE96" s="126">
        <f>IF($AE$2=O96,1,0)</f>
        <v>0</v>
      </c>
      <c r="AF96" s="53" t="b">
        <f>IF($H$1&lt;&gt;0,IF($H$1&lt;&gt;I96,IF($H$1&lt;&gt;J96,IF($H$1&lt;&gt;K96,IF($H$1&lt;&gt;L96,IF($H$1&lt;&gt;M96,IF($H$1&lt;&gt;N96,IF($H$1&lt;&gt;O96,TRUE,FALSE))))))))</f>
        <v>0</v>
      </c>
      <c r="AG96" s="54" t="b">
        <f>IF(AH96=TRUE,TRUE,FALSE)</f>
        <v>0</v>
      </c>
      <c r="AH96" s="56" t="b">
        <f>IF(OR(AND($H$6="Medicaid",MID($A96,1,FIND(".",$A96,1)-1)="II"),AND($H$6="CHIP",MID($A96,1,FIND(".",$A96,1)-1)="I")),TRUE,FALSE)</f>
        <v>0</v>
      </c>
      <c r="AP96" s="69" t="str">
        <f>IF(AO96=1,1,"")</f>
        <v/>
      </c>
      <c r="AX96">
        <v>0</v>
      </c>
    </row>
    <row r="97" spans="1:50" ht="15.75" thickBot="1" x14ac:dyDescent="0.3">
      <c r="A97" s="450"/>
      <c r="B97" s="451"/>
      <c r="C97" s="452" t="s">
        <v>58</v>
      </c>
      <c r="D97" s="491"/>
      <c r="E97" s="443"/>
      <c r="F97" s="492"/>
      <c r="G97" s="492"/>
      <c r="H97" s="493"/>
      <c r="I97" s="74"/>
      <c r="J97" s="74"/>
      <c r="K97" s="74"/>
      <c r="L97" s="87"/>
      <c r="M97" s="87"/>
      <c r="R97" s="116"/>
      <c r="S97" s="116"/>
      <c r="T97" s="116"/>
      <c r="U97" s="126"/>
      <c r="AH97" s="68"/>
    </row>
    <row r="98" spans="1:50" ht="38.25" x14ac:dyDescent="0.25">
      <c r="A98" s="294" t="s">
        <v>1468</v>
      </c>
      <c r="B98" s="295" t="s">
        <v>1469</v>
      </c>
      <c r="C98" s="295" t="s">
        <v>1470</v>
      </c>
      <c r="D98" s="473"/>
      <c r="E98" s="297"/>
      <c r="F98" s="313"/>
      <c r="G98" s="313"/>
      <c r="H98" s="314"/>
      <c r="I98" s="92" t="s">
        <v>168</v>
      </c>
      <c r="J98" s="92" t="s">
        <v>178</v>
      </c>
      <c r="K98" s="92" t="s">
        <v>185</v>
      </c>
      <c r="L98" s="71" t="s">
        <v>190</v>
      </c>
      <c r="M98" s="71" t="s">
        <v>195</v>
      </c>
      <c r="N98" s="71"/>
      <c r="O98" s="71"/>
      <c r="P98" s="71" t="s">
        <v>380</v>
      </c>
      <c r="Q98" s="71" t="b">
        <f t="shared" ref="Q98:Q104" si="71">IF(OR(AND($C$2="Base contract",$C$3="No, section requirements must be reviewed", $AF98=FALSE,$AG98=FALSE),AND($C$2="Contract amendment",$C$3="No, section requirements must be reviewed",$AF98=FALSE,$AG98=FALSE)),"MUNN")</f>
        <v>0</v>
      </c>
      <c r="R98" s="64"/>
      <c r="S98" s="64"/>
      <c r="T98" s="64"/>
      <c r="U98" s="97">
        <f>IF(OR($E$97="N/A",AND(AX98=0,'Cover Sheet'!$B$29="Streamlined Review"),AND(E98="Met",F98&lt;&gt;""),AND(E98="Not met",G98&lt;&gt;""),AND(E98="Unsure",G98&lt;&gt;""),AND(E98="N/A",H98&lt;&gt;""),AND(Y98=TRUE)),1,0)</f>
        <v>0</v>
      </c>
      <c r="X98" s="126" t="b">
        <f t="shared" si="2"/>
        <v>0</v>
      </c>
      <c r="Y98" s="126" t="b">
        <f>IF(SUM(Z98:AE98)&lt;1,TRUE,FALSE)</f>
        <v>0</v>
      </c>
      <c r="Z98" s="126">
        <f>IF($Z$2=I98,1,0)</f>
        <v>1</v>
      </c>
      <c r="AA98" s="126">
        <f>IF($AA$2=J98,1,0)</f>
        <v>0</v>
      </c>
      <c r="AB98" s="126">
        <f>IF($AB$2=K98,1,0)</f>
        <v>0</v>
      </c>
      <c r="AC98" s="126">
        <f>IF($AC$2=L98,1,0)</f>
        <v>0</v>
      </c>
      <c r="AD98" s="126">
        <f>IF($AD$2=M98,1,0)</f>
        <v>0</v>
      </c>
      <c r="AE98" s="126">
        <f>IF($AE$2=O98,1,0)</f>
        <v>0</v>
      </c>
      <c r="AF98" s="53" t="b">
        <f t="shared" ref="AF98:AF104" si="72">IF($H$1&lt;&gt;0,IF($H$1&lt;&gt;I98,IF($H$1&lt;&gt;J98,IF($H$1&lt;&gt;K98,IF($H$1&lt;&gt;L98,IF($H$1&lt;&gt;M98,IF($H$1&lt;&gt;N98,IF($H$1&lt;&gt;O98,TRUE,FALSE))))))))</f>
        <v>0</v>
      </c>
      <c r="AG98" s="54" t="b">
        <f t="shared" ref="AG98:AG104" si="73">IF(AH98=TRUE,TRUE,FALSE)</f>
        <v>0</v>
      </c>
      <c r="AH98" s="56" t="b">
        <f t="shared" ref="AH98:AH104" si="74">IF(OR(AND($H$6="Medicaid",MID($A98,1,FIND(".",$A98,1)-1)="II"),AND($H$6="CHIP",MID($A98,1,FIND(".",$A98,1)-1)="I")),TRUE,FALSE)</f>
        <v>0</v>
      </c>
      <c r="AP98" s="69" t="str">
        <f t="shared" ref="AP98:AP104" si="75">IF(AO98=1,1,"")</f>
        <v/>
      </c>
      <c r="AX98">
        <v>0</v>
      </c>
    </row>
    <row r="99" spans="1:50" ht="25.5" x14ac:dyDescent="0.25">
      <c r="A99" s="294" t="s">
        <v>1471</v>
      </c>
      <c r="B99" s="295" t="s">
        <v>1472</v>
      </c>
      <c r="C99" s="295" t="s">
        <v>1473</v>
      </c>
      <c r="D99" s="446"/>
      <c r="E99" s="297"/>
      <c r="F99" s="297"/>
      <c r="G99" s="297"/>
      <c r="H99" s="214"/>
      <c r="I99" s="92" t="s">
        <v>168</v>
      </c>
      <c r="J99" s="92" t="s">
        <v>178</v>
      </c>
      <c r="K99" s="92" t="s">
        <v>185</v>
      </c>
      <c r="L99" s="71" t="s">
        <v>190</v>
      </c>
      <c r="M99" s="71" t="s">
        <v>195</v>
      </c>
      <c r="N99" s="71"/>
      <c r="O99" s="71"/>
      <c r="P99" s="71" t="s">
        <v>380</v>
      </c>
      <c r="Q99" s="71" t="b">
        <f t="shared" si="71"/>
        <v>0</v>
      </c>
      <c r="R99" s="64"/>
      <c r="S99" s="64"/>
      <c r="T99" s="64"/>
      <c r="U99" s="97">
        <f>IF(OR($E$97="N/A",AND(AX99=0,'Cover Sheet'!$B$29="Streamlined Review"),AND(E99="Met",F99&lt;&gt;""),AND(E99="Not met",G99&lt;&gt;""),AND(E99="Unsure",G99&lt;&gt;""),AND(E99="N/A",H99&lt;&gt;""),AND(Y99=TRUE)),1,0)</f>
        <v>0</v>
      </c>
      <c r="X99" s="126" t="b">
        <f t="shared" si="2"/>
        <v>0</v>
      </c>
      <c r="Y99" s="126" t="b">
        <f t="shared" ref="Y99:Y104" si="76">IF(SUM(Z99:AE99)&lt;1,TRUE,FALSE)</f>
        <v>0</v>
      </c>
      <c r="Z99" s="126">
        <f t="shared" ref="Z99:Z104" si="77">IF($Z$2=I99,1,0)</f>
        <v>1</v>
      </c>
      <c r="AA99" s="126">
        <f t="shared" ref="AA99:AA104" si="78">IF($AA$2=J99,1,0)</f>
        <v>0</v>
      </c>
      <c r="AB99" s="126">
        <f t="shared" ref="AB99:AB104" si="79">IF($AB$2=K99,1,0)</f>
        <v>0</v>
      </c>
      <c r="AC99" s="126">
        <f t="shared" ref="AC99:AC104" si="80">IF($AC$2=L99,1,0)</f>
        <v>0</v>
      </c>
      <c r="AD99" s="126">
        <f t="shared" ref="AD99:AD104" si="81">IF($AD$2=M99,1,0)</f>
        <v>0</v>
      </c>
      <c r="AE99" s="126">
        <f t="shared" ref="AE99:AE104" si="82">IF($AE$2=O99,1,0)</f>
        <v>0</v>
      </c>
      <c r="AF99" s="53" t="b">
        <f t="shared" si="72"/>
        <v>0</v>
      </c>
      <c r="AG99" s="54" t="b">
        <f t="shared" si="73"/>
        <v>0</v>
      </c>
      <c r="AH99" s="56" t="b">
        <f t="shared" si="74"/>
        <v>0</v>
      </c>
      <c r="AP99" s="69" t="str">
        <f t="shared" si="75"/>
        <v/>
      </c>
      <c r="AX99">
        <v>0</v>
      </c>
    </row>
    <row r="100" spans="1:50" ht="38.25" x14ac:dyDescent="0.25">
      <c r="A100" s="294" t="s">
        <v>1474</v>
      </c>
      <c r="B100" s="295" t="s">
        <v>1475</v>
      </c>
      <c r="C100" s="295" t="s">
        <v>1476</v>
      </c>
      <c r="D100" s="446"/>
      <c r="E100" s="297"/>
      <c r="F100" s="297"/>
      <c r="G100" s="297"/>
      <c r="H100" s="214"/>
      <c r="I100" s="92" t="s">
        <v>168</v>
      </c>
      <c r="J100" s="92" t="s">
        <v>178</v>
      </c>
      <c r="K100" s="92" t="s">
        <v>185</v>
      </c>
      <c r="L100" s="71" t="s">
        <v>190</v>
      </c>
      <c r="M100" s="71" t="s">
        <v>195</v>
      </c>
      <c r="N100" s="71"/>
      <c r="O100" s="71"/>
      <c r="P100" s="71" t="s">
        <v>380</v>
      </c>
      <c r="Q100" s="71" t="b">
        <f t="shared" si="71"/>
        <v>0</v>
      </c>
      <c r="R100" s="64"/>
      <c r="S100" s="64"/>
      <c r="T100" s="64"/>
      <c r="U100" s="97">
        <f>IF(OR($E$97="N/A",AND(AX100=0,'Cover Sheet'!$B$29="Streamlined Review"),AND(E100="Met",F100&lt;&gt;""),AND(E100="Not met",G100&lt;&gt;""),AND(E100="Unsure",G100&lt;&gt;""),AND(E100="N/A",H100&lt;&gt;""),AND(Y100=TRUE)),1,0)</f>
        <v>0</v>
      </c>
      <c r="X100" s="126" t="b">
        <f t="shared" si="2"/>
        <v>0</v>
      </c>
      <c r="Y100" s="126" t="b">
        <f t="shared" si="76"/>
        <v>0</v>
      </c>
      <c r="Z100" s="126">
        <f t="shared" si="77"/>
        <v>1</v>
      </c>
      <c r="AA100" s="126">
        <f t="shared" si="78"/>
        <v>0</v>
      </c>
      <c r="AB100" s="126">
        <f t="shared" si="79"/>
        <v>0</v>
      </c>
      <c r="AC100" s="126">
        <f t="shared" si="80"/>
        <v>0</v>
      </c>
      <c r="AD100" s="126">
        <f t="shared" si="81"/>
        <v>0</v>
      </c>
      <c r="AE100" s="126">
        <f t="shared" si="82"/>
        <v>0</v>
      </c>
      <c r="AF100" s="53" t="b">
        <f t="shared" si="72"/>
        <v>0</v>
      </c>
      <c r="AG100" s="54" t="b">
        <f t="shared" si="73"/>
        <v>0</v>
      </c>
      <c r="AH100" s="56" t="b">
        <f t="shared" si="74"/>
        <v>0</v>
      </c>
      <c r="AP100" s="69" t="str">
        <f t="shared" si="75"/>
        <v/>
      </c>
      <c r="AX100">
        <v>0</v>
      </c>
    </row>
    <row r="101" spans="1:50" ht="38.25" x14ac:dyDescent="0.25">
      <c r="A101" s="294" t="s">
        <v>1477</v>
      </c>
      <c r="B101" s="295" t="s">
        <v>1478</v>
      </c>
      <c r="C101" s="295" t="s">
        <v>1479</v>
      </c>
      <c r="D101" s="446"/>
      <c r="E101" s="297"/>
      <c r="F101" s="297"/>
      <c r="G101" s="297"/>
      <c r="H101" s="214"/>
      <c r="I101" s="92" t="s">
        <v>168</v>
      </c>
      <c r="J101" s="92" t="s">
        <v>178</v>
      </c>
      <c r="K101" s="92" t="s">
        <v>185</v>
      </c>
      <c r="L101" s="71" t="s">
        <v>190</v>
      </c>
      <c r="M101" s="71" t="s">
        <v>195</v>
      </c>
      <c r="N101" s="71"/>
      <c r="O101" s="71"/>
      <c r="P101" s="71" t="s">
        <v>380</v>
      </c>
      <c r="Q101" s="71" t="b">
        <f t="shared" si="71"/>
        <v>0</v>
      </c>
      <c r="R101" s="64"/>
      <c r="S101" s="64"/>
      <c r="T101" s="64"/>
      <c r="U101" s="97">
        <f>IF(OR($E$97="N/A",AND(AX101=0,'Cover Sheet'!$B$29="Streamlined Review"),AND(E101="Met",F101&lt;&gt;""),AND(E101="Not met",G101&lt;&gt;""),AND(E101="Unsure",G101&lt;&gt;""),AND(E101="N/A",H101&lt;&gt;""),AND(Y101=TRUE)),1,0)</f>
        <v>0</v>
      </c>
      <c r="X101" s="126" t="b">
        <f t="shared" si="2"/>
        <v>0</v>
      </c>
      <c r="Y101" s="126" t="b">
        <f t="shared" si="76"/>
        <v>0</v>
      </c>
      <c r="Z101" s="126">
        <f t="shared" si="77"/>
        <v>1</v>
      </c>
      <c r="AA101" s="126">
        <f t="shared" si="78"/>
        <v>0</v>
      </c>
      <c r="AB101" s="126">
        <f t="shared" si="79"/>
        <v>0</v>
      </c>
      <c r="AC101" s="126">
        <f t="shared" si="80"/>
        <v>0</v>
      </c>
      <c r="AD101" s="126">
        <f t="shared" si="81"/>
        <v>0</v>
      </c>
      <c r="AE101" s="126">
        <f t="shared" si="82"/>
        <v>0</v>
      </c>
      <c r="AF101" s="53" t="b">
        <f t="shared" si="72"/>
        <v>0</v>
      </c>
      <c r="AG101" s="54" t="b">
        <f t="shared" si="73"/>
        <v>0</v>
      </c>
      <c r="AH101" s="56" t="b">
        <f t="shared" si="74"/>
        <v>0</v>
      </c>
      <c r="AP101" s="69" t="str">
        <f t="shared" si="75"/>
        <v/>
      </c>
      <c r="AX101">
        <v>0</v>
      </c>
    </row>
    <row r="102" spans="1:50" ht="38.25" x14ac:dyDescent="0.25">
      <c r="A102" s="294" t="s">
        <v>1480</v>
      </c>
      <c r="B102" s="295" t="s">
        <v>1481</v>
      </c>
      <c r="C102" s="295" t="s">
        <v>1482</v>
      </c>
      <c r="D102" s="446"/>
      <c r="E102" s="297"/>
      <c r="F102" s="297"/>
      <c r="G102" s="297"/>
      <c r="H102" s="214"/>
      <c r="I102" s="92" t="s">
        <v>168</v>
      </c>
      <c r="J102" s="92" t="s">
        <v>178</v>
      </c>
      <c r="K102" s="92" t="s">
        <v>185</v>
      </c>
      <c r="L102" s="71" t="s">
        <v>190</v>
      </c>
      <c r="M102" s="71" t="s">
        <v>195</v>
      </c>
      <c r="N102" s="71"/>
      <c r="O102" s="71"/>
      <c r="P102" s="71" t="s">
        <v>380</v>
      </c>
      <c r="Q102" s="71" t="b">
        <f t="shared" si="71"/>
        <v>0</v>
      </c>
      <c r="R102" s="64"/>
      <c r="S102" s="64"/>
      <c r="T102" s="64"/>
      <c r="U102" s="97">
        <f>IF(OR($E$97="N/A",AND(AX102=0,'Cover Sheet'!$B$29="Streamlined Review"),AND(E102="Met",F102&lt;&gt;""),AND(E102="Not met",G102&lt;&gt;""),AND(E102="Unsure",G102&lt;&gt;""),AND(E102="N/A",H102&lt;&gt;""),AND(Y102=TRUE)),1,0)</f>
        <v>0</v>
      </c>
      <c r="X102" s="126" t="b">
        <f t="shared" si="2"/>
        <v>0</v>
      </c>
      <c r="Y102" s="126" t="b">
        <f t="shared" si="76"/>
        <v>0</v>
      </c>
      <c r="Z102" s="126">
        <f t="shared" si="77"/>
        <v>1</v>
      </c>
      <c r="AA102" s="126">
        <f t="shared" si="78"/>
        <v>0</v>
      </c>
      <c r="AB102" s="126">
        <f t="shared" si="79"/>
        <v>0</v>
      </c>
      <c r="AC102" s="126">
        <f t="shared" si="80"/>
        <v>0</v>
      </c>
      <c r="AD102" s="126">
        <f t="shared" si="81"/>
        <v>0</v>
      </c>
      <c r="AE102" s="126">
        <f t="shared" si="82"/>
        <v>0</v>
      </c>
      <c r="AF102" s="53" t="b">
        <f t="shared" si="72"/>
        <v>0</v>
      </c>
      <c r="AG102" s="54" t="b">
        <f t="shared" si="73"/>
        <v>0</v>
      </c>
      <c r="AH102" s="56" t="b">
        <f t="shared" si="74"/>
        <v>0</v>
      </c>
      <c r="AP102" s="69" t="str">
        <f t="shared" si="75"/>
        <v/>
      </c>
      <c r="AX102">
        <v>0</v>
      </c>
    </row>
    <row r="103" spans="1:50" ht="38.25" x14ac:dyDescent="0.25">
      <c r="A103" s="294" t="s">
        <v>1483</v>
      </c>
      <c r="B103" s="295" t="s">
        <v>1484</v>
      </c>
      <c r="C103" s="295" t="s">
        <v>1485</v>
      </c>
      <c r="D103" s="447">
        <v>28</v>
      </c>
      <c r="E103" s="297"/>
      <c r="F103" s="297"/>
      <c r="G103" s="297"/>
      <c r="H103" s="214"/>
      <c r="I103" s="92" t="s">
        <v>168</v>
      </c>
      <c r="J103" s="92" t="s">
        <v>178</v>
      </c>
      <c r="K103" s="92" t="s">
        <v>185</v>
      </c>
      <c r="L103" s="71" t="s">
        <v>190</v>
      </c>
      <c r="M103" s="71" t="s">
        <v>195</v>
      </c>
      <c r="N103" s="71"/>
      <c r="O103" s="71"/>
      <c r="P103" s="71" t="s">
        <v>380</v>
      </c>
      <c r="Q103" s="71" t="b">
        <f t="shared" si="71"/>
        <v>0</v>
      </c>
      <c r="R103" s="64"/>
      <c r="S103" s="64"/>
      <c r="T103" s="64"/>
      <c r="U103" s="97">
        <f>IF(OR($E$97="N/A",AND(AX103=0,'Cover Sheet'!$B$29="Streamlined Review"),AND(E103="Met",F103&lt;&gt;""),AND(E103="Not met",G103&lt;&gt;""),AND(E103="Unsure",G103&lt;&gt;""),AND(E103="N/A",H103&lt;&gt;""),AND(Y103=TRUE)),1,0)</f>
        <v>0</v>
      </c>
      <c r="X103" s="126" t="b">
        <f t="shared" si="2"/>
        <v>0</v>
      </c>
      <c r="Y103" s="126" t="b">
        <f t="shared" si="76"/>
        <v>0</v>
      </c>
      <c r="Z103" s="126">
        <f t="shared" si="77"/>
        <v>1</v>
      </c>
      <c r="AA103" s="126">
        <f t="shared" si="78"/>
        <v>0</v>
      </c>
      <c r="AB103" s="126">
        <f t="shared" si="79"/>
        <v>0</v>
      </c>
      <c r="AC103" s="126">
        <f t="shared" si="80"/>
        <v>0</v>
      </c>
      <c r="AD103" s="126">
        <f t="shared" si="81"/>
        <v>0</v>
      </c>
      <c r="AE103" s="126">
        <f t="shared" si="82"/>
        <v>0</v>
      </c>
      <c r="AF103" s="53" t="b">
        <f t="shared" si="72"/>
        <v>0</v>
      </c>
      <c r="AG103" s="54" t="b">
        <f t="shared" si="73"/>
        <v>0</v>
      </c>
      <c r="AH103" s="56" t="b">
        <f t="shared" si="74"/>
        <v>0</v>
      </c>
      <c r="AP103" s="69" t="str">
        <f t="shared" si="75"/>
        <v/>
      </c>
      <c r="AX103">
        <v>0</v>
      </c>
    </row>
    <row r="104" spans="1:50" ht="26.25" thickBot="1" x14ac:dyDescent="0.3">
      <c r="A104" s="294" t="s">
        <v>1486</v>
      </c>
      <c r="B104" s="295" t="s">
        <v>1487</v>
      </c>
      <c r="C104" s="295" t="s">
        <v>1488</v>
      </c>
      <c r="D104" s="449"/>
      <c r="E104" s="340"/>
      <c r="F104" s="340"/>
      <c r="G104" s="340"/>
      <c r="H104" s="215"/>
      <c r="I104" s="92" t="s">
        <v>168</v>
      </c>
      <c r="J104" s="92" t="s">
        <v>178</v>
      </c>
      <c r="K104" s="92" t="s">
        <v>185</v>
      </c>
      <c r="L104" s="71" t="s">
        <v>190</v>
      </c>
      <c r="M104" s="71" t="s">
        <v>195</v>
      </c>
      <c r="N104" s="71"/>
      <c r="O104" s="71"/>
      <c r="P104" s="71" t="s">
        <v>380</v>
      </c>
      <c r="Q104" s="71" t="b">
        <f t="shared" si="71"/>
        <v>0</v>
      </c>
      <c r="R104" s="64"/>
      <c r="S104" s="64"/>
      <c r="T104" s="64"/>
      <c r="U104" s="97">
        <f>IF(OR($E$97="N/A",AND(AX104=0,'Cover Sheet'!$B$29="Streamlined Review"),AND(E104="Met",F104&lt;&gt;""),AND(E104="Not met",G104&lt;&gt;""),AND(E104="Unsure",G104&lt;&gt;""),AND(E104="N/A",H104&lt;&gt;""),AND(Y104=TRUE)),1,0)</f>
        <v>0</v>
      </c>
      <c r="X104" s="126" t="b">
        <f t="shared" si="2"/>
        <v>0</v>
      </c>
      <c r="Y104" s="126" t="b">
        <f t="shared" si="76"/>
        <v>0</v>
      </c>
      <c r="Z104" s="126">
        <f t="shared" si="77"/>
        <v>1</v>
      </c>
      <c r="AA104" s="126">
        <f t="shared" si="78"/>
        <v>0</v>
      </c>
      <c r="AB104" s="126">
        <f t="shared" si="79"/>
        <v>0</v>
      </c>
      <c r="AC104" s="126">
        <f t="shared" si="80"/>
        <v>0</v>
      </c>
      <c r="AD104" s="126">
        <f t="shared" si="81"/>
        <v>0</v>
      </c>
      <c r="AE104" s="126">
        <f t="shared" si="82"/>
        <v>0</v>
      </c>
      <c r="AF104" s="53" t="b">
        <f t="shared" si="72"/>
        <v>0</v>
      </c>
      <c r="AG104" s="54" t="b">
        <f t="shared" si="73"/>
        <v>0</v>
      </c>
      <c r="AH104" s="56" t="b">
        <f t="shared" si="74"/>
        <v>0</v>
      </c>
      <c r="AP104" s="69" t="str">
        <f t="shared" si="75"/>
        <v/>
      </c>
      <c r="AX104">
        <v>0</v>
      </c>
    </row>
    <row r="105" spans="1:50" x14ac:dyDescent="0.25">
      <c r="A105" s="302" t="s">
        <v>442</v>
      </c>
      <c r="B105" s="345"/>
      <c r="C105" s="346"/>
      <c r="D105" s="347"/>
      <c r="E105" s="269"/>
      <c r="F105" s="348"/>
      <c r="G105" s="349"/>
      <c r="H105" s="349"/>
    </row>
    <row r="106" spans="1:50" ht="32.25" customHeight="1" x14ac:dyDescent="0.25">
      <c r="A106" s="417">
        <v>1</v>
      </c>
      <c r="B106" s="571" t="s">
        <v>1489</v>
      </c>
      <c r="C106" s="571"/>
      <c r="D106" s="571"/>
      <c r="E106" s="571"/>
      <c r="F106" s="571"/>
      <c r="G106" s="571"/>
      <c r="H106" s="571"/>
    </row>
    <row r="107" spans="1:50" ht="38.25" customHeight="1" x14ac:dyDescent="0.25">
      <c r="A107" s="417">
        <v>2</v>
      </c>
      <c r="B107" s="571" t="s">
        <v>1490</v>
      </c>
      <c r="C107" s="571"/>
      <c r="D107" s="571"/>
      <c r="E107" s="571"/>
      <c r="F107" s="571"/>
      <c r="G107" s="571"/>
      <c r="H107" s="571"/>
    </row>
    <row r="108" spans="1:50" ht="21.75" customHeight="1" x14ac:dyDescent="0.25">
      <c r="A108" s="417">
        <v>3</v>
      </c>
      <c r="B108" s="571" t="s">
        <v>1491</v>
      </c>
      <c r="C108" s="571"/>
      <c r="D108" s="571"/>
      <c r="E108" s="571"/>
      <c r="F108" s="571"/>
      <c r="G108" s="571"/>
      <c r="H108" s="571"/>
    </row>
    <row r="109" spans="1:50" ht="17.25" customHeight="1" x14ac:dyDescent="0.25">
      <c r="A109" s="417">
        <v>4</v>
      </c>
      <c r="B109" s="571" t="s">
        <v>1492</v>
      </c>
      <c r="C109" s="571"/>
      <c r="D109" s="571"/>
      <c r="E109" s="571"/>
      <c r="F109" s="571"/>
      <c r="G109" s="571"/>
      <c r="H109" s="571"/>
    </row>
    <row r="110" spans="1:50" ht="18" customHeight="1" x14ac:dyDescent="0.25">
      <c r="A110" s="417">
        <v>5</v>
      </c>
      <c r="B110" s="571" t="s">
        <v>1493</v>
      </c>
      <c r="C110" s="571"/>
      <c r="D110" s="571"/>
      <c r="E110" s="571"/>
      <c r="F110" s="571"/>
      <c r="G110" s="571"/>
      <c r="H110" s="571"/>
    </row>
    <row r="111" spans="1:50" ht="32.25" customHeight="1" x14ac:dyDescent="0.25">
      <c r="A111" s="417">
        <v>6</v>
      </c>
      <c r="B111" s="571" t="s">
        <v>1494</v>
      </c>
      <c r="C111" s="571"/>
      <c r="D111" s="571"/>
      <c r="E111" s="571"/>
      <c r="F111" s="571"/>
      <c r="G111" s="571"/>
      <c r="H111" s="571"/>
    </row>
    <row r="112" spans="1:50" ht="30" customHeight="1" x14ac:dyDescent="0.25">
      <c r="A112" s="417">
        <v>7</v>
      </c>
      <c r="B112" s="571" t="s">
        <v>1495</v>
      </c>
      <c r="C112" s="571"/>
      <c r="D112" s="571"/>
      <c r="E112" s="571"/>
      <c r="F112" s="571"/>
      <c r="G112" s="571"/>
      <c r="H112" s="571"/>
    </row>
    <row r="113" spans="1:8" ht="26.25" customHeight="1" x14ac:dyDescent="0.25">
      <c r="A113" s="417">
        <v>8</v>
      </c>
      <c r="B113" s="571" t="s">
        <v>1496</v>
      </c>
      <c r="C113" s="571"/>
      <c r="D113" s="571"/>
      <c r="E113" s="571"/>
      <c r="F113" s="571"/>
      <c r="G113" s="571"/>
      <c r="H113" s="571"/>
    </row>
    <row r="114" spans="1:8" ht="132" customHeight="1" x14ac:dyDescent="0.25">
      <c r="A114" s="417">
        <v>9</v>
      </c>
      <c r="B114" s="571" t="s">
        <v>1497</v>
      </c>
      <c r="C114" s="571"/>
      <c r="D114" s="571"/>
      <c r="E114" s="571"/>
      <c r="F114" s="571"/>
      <c r="G114" s="571"/>
      <c r="H114" s="571"/>
    </row>
    <row r="115" spans="1:8" ht="42.6" customHeight="1" x14ac:dyDescent="0.25">
      <c r="A115" s="417">
        <v>10</v>
      </c>
      <c r="B115" s="571" t="s">
        <v>1498</v>
      </c>
      <c r="C115" s="571"/>
      <c r="D115" s="571"/>
      <c r="E115" s="571"/>
      <c r="F115" s="571"/>
      <c r="G115" s="571"/>
      <c r="H115" s="571"/>
    </row>
    <row r="116" spans="1:8" ht="15.95" customHeight="1" x14ac:dyDescent="0.25">
      <c r="A116" s="417">
        <v>11</v>
      </c>
      <c r="B116" s="571" t="s">
        <v>1499</v>
      </c>
      <c r="C116" s="571"/>
      <c r="D116" s="571"/>
      <c r="E116" s="571"/>
      <c r="F116" s="571"/>
      <c r="G116" s="571"/>
      <c r="H116" s="571"/>
    </row>
    <row r="117" spans="1:8" ht="29.45" customHeight="1" x14ac:dyDescent="0.25">
      <c r="A117" s="417">
        <v>12</v>
      </c>
      <c r="B117" s="570" t="s">
        <v>1500</v>
      </c>
      <c r="C117" s="570"/>
      <c r="D117" s="570"/>
      <c r="E117" s="570"/>
      <c r="F117" s="570"/>
      <c r="G117" s="570"/>
      <c r="H117" s="570"/>
    </row>
    <row r="118" spans="1:8" ht="57.95" customHeight="1" x14ac:dyDescent="0.25">
      <c r="A118" s="417"/>
      <c r="B118" s="570" t="s">
        <v>1501</v>
      </c>
      <c r="C118" s="570"/>
      <c r="D118" s="570"/>
      <c r="E118" s="570"/>
      <c r="F118" s="570"/>
      <c r="G118" s="570"/>
      <c r="H118" s="570"/>
    </row>
    <row r="119" spans="1:8" ht="21.95" customHeight="1" x14ac:dyDescent="0.25">
      <c r="A119" s="417"/>
      <c r="B119" s="596" t="s">
        <v>1502</v>
      </c>
      <c r="C119" s="596"/>
      <c r="D119" s="596"/>
      <c r="E119" s="596"/>
      <c r="F119" s="596"/>
      <c r="G119" s="596"/>
      <c r="H119" s="596"/>
    </row>
    <row r="120" spans="1:8" ht="17.25" customHeight="1" x14ac:dyDescent="0.25">
      <c r="A120" s="417">
        <v>13</v>
      </c>
      <c r="B120" s="594" t="s">
        <v>1503</v>
      </c>
      <c r="C120" s="594"/>
      <c r="D120" s="594"/>
      <c r="E120" s="594"/>
      <c r="F120" s="594"/>
      <c r="G120" s="594"/>
      <c r="H120" s="594"/>
    </row>
    <row r="121" spans="1:8" ht="17.25" customHeight="1" x14ac:dyDescent="0.25">
      <c r="A121" s="417"/>
      <c r="B121" s="594" t="s">
        <v>1504</v>
      </c>
      <c r="C121" s="594"/>
      <c r="D121" s="594"/>
      <c r="E121" s="594"/>
      <c r="F121" s="594"/>
      <c r="G121" s="594"/>
      <c r="H121" s="594"/>
    </row>
    <row r="122" spans="1:8" ht="48.6" customHeight="1" x14ac:dyDescent="0.25">
      <c r="A122" s="417"/>
      <c r="B122" s="570" t="s">
        <v>1505</v>
      </c>
      <c r="C122" s="570"/>
      <c r="D122" s="570"/>
      <c r="E122" s="570"/>
      <c r="F122" s="570"/>
      <c r="G122" s="570"/>
      <c r="H122" s="570"/>
    </row>
    <row r="123" spans="1:8" ht="17.100000000000001" customHeight="1" x14ac:dyDescent="0.25">
      <c r="A123" s="417"/>
      <c r="B123" s="594" t="s">
        <v>1504</v>
      </c>
      <c r="C123" s="594"/>
      <c r="D123" s="594"/>
      <c r="E123" s="594"/>
      <c r="F123" s="594"/>
      <c r="G123" s="594"/>
      <c r="H123" s="594"/>
    </row>
    <row r="124" spans="1:8" ht="46.5" customHeight="1" x14ac:dyDescent="0.25">
      <c r="A124" s="417">
        <v>14</v>
      </c>
      <c r="B124" s="571" t="s">
        <v>1506</v>
      </c>
      <c r="C124" s="571"/>
      <c r="D124" s="571"/>
      <c r="E124" s="571"/>
      <c r="F124" s="571"/>
      <c r="G124" s="571"/>
      <c r="H124" s="571"/>
    </row>
    <row r="125" spans="1:8" ht="24" customHeight="1" x14ac:dyDescent="0.25">
      <c r="A125" s="417">
        <v>15</v>
      </c>
      <c r="B125" s="571" t="s">
        <v>1507</v>
      </c>
      <c r="C125" s="571"/>
      <c r="D125" s="571"/>
      <c r="E125" s="571"/>
      <c r="F125" s="571"/>
      <c r="G125" s="571"/>
      <c r="H125" s="571"/>
    </row>
    <row r="126" spans="1:8" ht="29.45" customHeight="1" x14ac:dyDescent="0.25">
      <c r="A126" s="417">
        <v>16</v>
      </c>
      <c r="B126" s="571" t="s">
        <v>1508</v>
      </c>
      <c r="C126" s="571"/>
      <c r="D126" s="571"/>
      <c r="E126" s="571"/>
      <c r="F126" s="571"/>
      <c r="G126" s="571"/>
      <c r="H126" s="571"/>
    </row>
    <row r="127" spans="1:8" ht="33.950000000000003" customHeight="1" x14ac:dyDescent="0.25">
      <c r="A127" s="417">
        <v>17</v>
      </c>
      <c r="B127" s="571" t="s">
        <v>1509</v>
      </c>
      <c r="C127" s="571"/>
      <c r="D127" s="571"/>
      <c r="E127" s="571"/>
      <c r="F127" s="571"/>
      <c r="G127" s="571"/>
      <c r="H127" s="571"/>
    </row>
    <row r="128" spans="1:8" ht="42" customHeight="1" x14ac:dyDescent="0.25">
      <c r="A128" s="417">
        <v>18</v>
      </c>
      <c r="B128" s="571" t="s">
        <v>1510</v>
      </c>
      <c r="C128" s="571"/>
      <c r="D128" s="571"/>
      <c r="E128" s="571"/>
      <c r="F128" s="571"/>
      <c r="G128" s="571"/>
      <c r="H128" s="571"/>
    </row>
    <row r="129" spans="1:8" ht="18.600000000000001" customHeight="1" x14ac:dyDescent="0.25">
      <c r="A129" s="417">
        <v>19</v>
      </c>
      <c r="B129" s="571" t="s">
        <v>1511</v>
      </c>
      <c r="C129" s="571"/>
      <c r="D129" s="571"/>
      <c r="E129" s="571"/>
      <c r="F129" s="571"/>
      <c r="G129" s="571"/>
      <c r="H129" s="571"/>
    </row>
    <row r="130" spans="1:8" ht="29.45" customHeight="1" x14ac:dyDescent="0.25">
      <c r="A130" s="417">
        <v>20</v>
      </c>
      <c r="B130" s="571" t="s">
        <v>1512</v>
      </c>
      <c r="C130" s="571"/>
      <c r="D130" s="571"/>
      <c r="E130" s="571"/>
      <c r="F130" s="571"/>
      <c r="G130" s="571"/>
      <c r="H130" s="571"/>
    </row>
    <row r="131" spans="1:8" ht="17.100000000000001" customHeight="1" x14ac:dyDescent="0.25">
      <c r="A131" s="417">
        <v>21</v>
      </c>
      <c r="B131" s="571" t="s">
        <v>1513</v>
      </c>
      <c r="C131" s="571"/>
      <c r="D131" s="571"/>
      <c r="E131" s="571"/>
      <c r="F131" s="571"/>
      <c r="G131" s="571"/>
      <c r="H131" s="571"/>
    </row>
    <row r="132" spans="1:8" ht="18.95" customHeight="1" x14ac:dyDescent="0.25">
      <c r="A132" s="417">
        <v>22</v>
      </c>
      <c r="B132" s="571" t="s">
        <v>1514</v>
      </c>
      <c r="C132" s="571"/>
      <c r="D132" s="571"/>
      <c r="E132" s="571"/>
      <c r="F132" s="571"/>
      <c r="G132" s="571"/>
      <c r="H132" s="571"/>
    </row>
    <row r="133" spans="1:8" ht="28.5" customHeight="1" x14ac:dyDescent="0.25">
      <c r="A133" s="417">
        <v>23</v>
      </c>
      <c r="B133" s="571" t="s">
        <v>1515</v>
      </c>
      <c r="C133" s="571"/>
      <c r="D133" s="571"/>
      <c r="E133" s="571"/>
      <c r="F133" s="571"/>
      <c r="G133" s="571"/>
      <c r="H133" s="571"/>
    </row>
    <row r="134" spans="1:8" ht="45" customHeight="1" x14ac:dyDescent="0.25">
      <c r="A134" s="417">
        <v>24</v>
      </c>
      <c r="B134" s="570" t="s">
        <v>1516</v>
      </c>
      <c r="C134" s="570"/>
      <c r="D134" s="570"/>
      <c r="E134" s="570"/>
      <c r="F134" s="570"/>
      <c r="G134" s="570"/>
      <c r="H134" s="570"/>
    </row>
    <row r="135" spans="1:8" ht="42.6" customHeight="1" x14ac:dyDescent="0.25">
      <c r="A135" s="417">
        <v>25</v>
      </c>
      <c r="B135" s="570" t="s">
        <v>1517</v>
      </c>
      <c r="C135" s="570"/>
      <c r="D135" s="570"/>
      <c r="E135" s="570"/>
      <c r="F135" s="570"/>
      <c r="G135" s="570"/>
      <c r="H135" s="570"/>
    </row>
    <row r="136" spans="1:8" ht="84.95" customHeight="1" x14ac:dyDescent="0.25">
      <c r="A136" s="417">
        <v>26</v>
      </c>
      <c r="B136" s="571" t="s">
        <v>1518</v>
      </c>
      <c r="C136" s="571"/>
      <c r="D136" s="571"/>
      <c r="E136" s="571"/>
      <c r="F136" s="571"/>
      <c r="G136" s="571"/>
      <c r="H136" s="571"/>
    </row>
    <row r="137" spans="1:8" ht="18.95" customHeight="1" x14ac:dyDescent="0.25">
      <c r="A137" s="417"/>
      <c r="B137" s="595" t="s">
        <v>1519</v>
      </c>
      <c r="C137" s="571"/>
      <c r="D137" s="571"/>
      <c r="E137" s="571"/>
      <c r="F137" s="571"/>
      <c r="G137" s="571"/>
      <c r="H137" s="571"/>
    </row>
    <row r="138" spans="1:8" ht="43.5" customHeight="1" x14ac:dyDescent="0.25">
      <c r="A138" s="417"/>
      <c r="B138" s="571" t="s">
        <v>1520</v>
      </c>
      <c r="C138" s="571"/>
      <c r="D138" s="571"/>
      <c r="E138" s="571"/>
      <c r="F138" s="571"/>
      <c r="G138" s="571"/>
      <c r="H138" s="571"/>
    </row>
    <row r="139" spans="1:8" ht="32.450000000000003" customHeight="1" x14ac:dyDescent="0.25">
      <c r="A139" s="417">
        <v>27</v>
      </c>
      <c r="B139" s="570" t="s">
        <v>1521</v>
      </c>
      <c r="C139" s="570"/>
      <c r="D139" s="570"/>
      <c r="E139" s="570"/>
      <c r="F139" s="570"/>
      <c r="G139" s="570"/>
      <c r="H139" s="570"/>
    </row>
    <row r="140" spans="1:8" ht="48" customHeight="1" x14ac:dyDescent="0.25">
      <c r="A140" s="417">
        <v>28</v>
      </c>
      <c r="B140" s="570" t="s">
        <v>1522</v>
      </c>
      <c r="C140" s="570"/>
      <c r="D140" s="570"/>
      <c r="E140" s="570"/>
      <c r="F140" s="570"/>
      <c r="G140" s="570"/>
      <c r="H140" s="570"/>
    </row>
    <row r="141" spans="1:8" x14ac:dyDescent="0.25">
      <c r="A141" s="409"/>
    </row>
  </sheetData>
  <sheetProtection algorithmName="SHA-512" hashValue="wYv5WNskK6W2MLc+3ZgFHjmC/qWqSdTm360yEWLUwAPDZh2aDZvinz+ByZboS7a2YMCMZ5izQQnhvISU39d+4A==" saltValue="XMgx2qPjnI6bUkNYMTE+Pg==" spinCount="100000" sheet="1" formatColumns="0" formatRows="0"/>
  <mergeCells count="38">
    <mergeCell ref="B121:H121"/>
    <mergeCell ref="B122:H122"/>
    <mergeCell ref="A2:B2"/>
    <mergeCell ref="B120:H120"/>
    <mergeCell ref="B106:H106"/>
    <mergeCell ref="B107:H107"/>
    <mergeCell ref="B110:H110"/>
    <mergeCell ref="B111:H111"/>
    <mergeCell ref="B112:H112"/>
    <mergeCell ref="B119:H119"/>
    <mergeCell ref="B132:H132"/>
    <mergeCell ref="B123:H123"/>
    <mergeCell ref="B137:H137"/>
    <mergeCell ref="B138:H138"/>
    <mergeCell ref="B140:H140"/>
    <mergeCell ref="B130:H130"/>
    <mergeCell ref="B131:H131"/>
    <mergeCell ref="B139:H139"/>
    <mergeCell ref="B135:H135"/>
    <mergeCell ref="B136:H136"/>
    <mergeCell ref="B134:H134"/>
    <mergeCell ref="B133:H133"/>
    <mergeCell ref="Z1:AE1"/>
    <mergeCell ref="B129:H129"/>
    <mergeCell ref="B124:H124"/>
    <mergeCell ref="B125:H125"/>
    <mergeCell ref="B126:H126"/>
    <mergeCell ref="B127:H127"/>
    <mergeCell ref="B128:H128"/>
    <mergeCell ref="B113:H113"/>
    <mergeCell ref="B109:H109"/>
    <mergeCell ref="B114:H114"/>
    <mergeCell ref="B115:H115"/>
    <mergeCell ref="B116:H116"/>
    <mergeCell ref="B118:H118"/>
    <mergeCell ref="A1:F1"/>
    <mergeCell ref="B117:H117"/>
    <mergeCell ref="B108:H108"/>
  </mergeCells>
  <conditionalFormatting sqref="A8:D8 F8:H8 A30:H30 A29:D29 F29:H29 A32:H32 A31:D31 F31:H31 A34:H37 A33:D33 F33:H33 A38:D38 F38:H38 A53:H55 A52:D52 F52:H52 A57:H59 A56:D56 F56:H56 A61:H66 A60:D60 F60:H60 A68:H68 A67:D67 F67:H67 A70:H77 A69:D69 F69:H69 A78:D78 F78:H78 A88:H90 A87:D87 F87:H87 A91:D91 F91:H91 A96:H96 A95:D95 F95:H95 A98:H104 A97:D97 F97:H97 A9:H28 A79:H86 A92:H94 A39:H51">
    <cfRule type="expression" dxfId="148" priority="3877">
      <formula>$C$3="Yes, section requirements are not applicable"</formula>
    </cfRule>
  </conditionalFormatting>
  <conditionalFormatting sqref="E8">
    <cfRule type="expression" dxfId="147" priority="62">
      <formula>$AN8=1</formula>
    </cfRule>
    <cfRule type="expression" dxfId="146" priority="63">
      <formula>$C$3="Yes, section requirements are not included in the contract amendment"</formula>
    </cfRule>
    <cfRule type="expression" dxfId="145" priority="64">
      <formula>OR($AG8=TRUE,$AF8=TRUE)</formula>
    </cfRule>
  </conditionalFormatting>
  <conditionalFormatting sqref="E29">
    <cfRule type="expression" dxfId="144" priority="59">
      <formula>$AN29=1</formula>
    </cfRule>
    <cfRule type="expression" dxfId="143" priority="60">
      <formula>$C$3="Yes, section requirements are not included in the contract amendment"</formula>
    </cfRule>
    <cfRule type="expression" dxfId="142" priority="61">
      <formula>OR($AG29=TRUE,$AF29=TRUE)</formula>
    </cfRule>
  </conditionalFormatting>
  <conditionalFormatting sqref="E31">
    <cfRule type="expression" dxfId="141" priority="56">
      <formula>$AN31=1</formula>
    </cfRule>
    <cfRule type="expression" dxfId="140" priority="57">
      <formula>$C$3="Yes, section requirements are not included in the contract amendment"</formula>
    </cfRule>
    <cfRule type="expression" dxfId="139" priority="58">
      <formula>OR($AG31=TRUE,$AF31=TRUE)</formula>
    </cfRule>
  </conditionalFormatting>
  <conditionalFormatting sqref="E33">
    <cfRule type="expression" dxfId="138" priority="53">
      <formula>$AN33=1</formula>
    </cfRule>
    <cfRule type="expression" dxfId="137" priority="54">
      <formula>$C$3="Yes, section requirements are not included in the contract amendment"</formula>
    </cfRule>
    <cfRule type="expression" dxfId="136" priority="55">
      <formula>OR($AG33=TRUE,$AF33=TRUE)</formula>
    </cfRule>
  </conditionalFormatting>
  <conditionalFormatting sqref="E38">
    <cfRule type="expression" dxfId="135" priority="50">
      <formula>$AN38=1</formula>
    </cfRule>
    <cfRule type="expression" dxfId="134" priority="51">
      <formula>$C$3="Yes, section requirements are not included in the contract amendment"</formula>
    </cfRule>
    <cfRule type="expression" dxfId="133" priority="52">
      <formula>OR($AG38=TRUE,$AF38=TRUE)</formula>
    </cfRule>
  </conditionalFormatting>
  <conditionalFormatting sqref="E52">
    <cfRule type="expression" dxfId="132" priority="47">
      <formula>$AN52=1</formula>
    </cfRule>
    <cfRule type="expression" dxfId="131" priority="48">
      <formula>$C$3="Yes, section requirements are not included in the contract amendment"</formula>
    </cfRule>
    <cfRule type="expression" dxfId="130" priority="49">
      <formula>OR($AG52=TRUE,$AF52=TRUE)</formula>
    </cfRule>
  </conditionalFormatting>
  <conditionalFormatting sqref="E56">
    <cfRule type="expression" dxfId="129" priority="44">
      <formula>$AN56=1</formula>
    </cfRule>
    <cfRule type="expression" dxfId="128" priority="45">
      <formula>$C$3="Yes, section requirements are not included in the contract amendment"</formula>
    </cfRule>
    <cfRule type="expression" dxfId="127" priority="46">
      <formula>OR($AG56=TRUE,$AF56=TRUE)</formula>
    </cfRule>
  </conditionalFormatting>
  <conditionalFormatting sqref="E60">
    <cfRule type="expression" dxfId="126" priority="41">
      <formula>$AN60=1</formula>
    </cfRule>
    <cfRule type="expression" dxfId="125" priority="42">
      <formula>$C$3="Yes, section requirements are not included in the contract amendment"</formula>
    </cfRule>
    <cfRule type="expression" dxfId="124" priority="43">
      <formula>OR($AG60=TRUE,$AF60=TRUE)</formula>
    </cfRule>
  </conditionalFormatting>
  <conditionalFormatting sqref="E67">
    <cfRule type="expression" dxfId="123" priority="38">
      <formula>$AN67=1</formula>
    </cfRule>
    <cfRule type="expression" dxfId="122" priority="39">
      <formula>$C$3="Yes, section requirements are not included in the contract amendment"</formula>
    </cfRule>
    <cfRule type="expression" dxfId="121" priority="40">
      <formula>OR($AG67=TRUE,$AF67=TRUE)</formula>
    </cfRule>
  </conditionalFormatting>
  <conditionalFormatting sqref="E69">
    <cfRule type="expression" dxfId="120" priority="35">
      <formula>$AN69=1</formula>
    </cfRule>
    <cfRule type="expression" dxfId="119" priority="36">
      <formula>$C$3="Yes, section requirements are not included in the contract amendment"</formula>
    </cfRule>
    <cfRule type="expression" dxfId="118" priority="37">
      <formula>OR($AG69=TRUE,$AF69=TRUE)</formula>
    </cfRule>
  </conditionalFormatting>
  <conditionalFormatting sqref="E78">
    <cfRule type="expression" dxfId="117" priority="32">
      <formula>$AN78=1</formula>
    </cfRule>
    <cfRule type="expression" dxfId="116" priority="33">
      <formula>$C$3="Yes, section requirements are not included in the contract amendment"</formula>
    </cfRule>
    <cfRule type="expression" dxfId="115" priority="34">
      <formula>OR($AG78=TRUE,$AF78=TRUE)</formula>
    </cfRule>
  </conditionalFormatting>
  <conditionalFormatting sqref="E87">
    <cfRule type="expression" dxfId="114" priority="29">
      <formula>$AN87=1</formula>
    </cfRule>
    <cfRule type="expression" dxfId="113" priority="30">
      <formula>$C$3="Yes, section requirements are not included in the contract amendment"</formula>
    </cfRule>
    <cfRule type="expression" dxfId="112" priority="31">
      <formula>OR($AG87=TRUE,$AF87=TRUE)</formula>
    </cfRule>
  </conditionalFormatting>
  <conditionalFormatting sqref="E91">
    <cfRule type="expression" dxfId="111" priority="26">
      <formula>$AN91=1</formula>
    </cfRule>
    <cfRule type="expression" dxfId="110" priority="27">
      <formula>$C$3="Yes, section requirements are not included in the contract amendment"</formula>
    </cfRule>
    <cfRule type="expression" dxfId="109" priority="28">
      <formula>OR($AG91=TRUE,$AF91=TRUE)</formula>
    </cfRule>
  </conditionalFormatting>
  <conditionalFormatting sqref="E95">
    <cfRule type="expression" dxfId="108" priority="23">
      <formula>$AN95=1</formula>
    </cfRule>
    <cfRule type="expression" dxfId="107" priority="24">
      <formula>$C$3="Yes, section requirements are not included in the contract amendment"</formula>
    </cfRule>
    <cfRule type="expression" dxfId="106" priority="25">
      <formula>OR($AG95=TRUE,$AF95=TRUE)</formula>
    </cfRule>
  </conditionalFormatting>
  <conditionalFormatting sqref="E97">
    <cfRule type="expression" dxfId="105" priority="20">
      <formula>$AN97=1</formula>
    </cfRule>
    <cfRule type="expression" dxfId="104" priority="21">
      <formula>$C$3="Yes, section requirements are not included in the contract amendment"</formula>
    </cfRule>
    <cfRule type="expression" dxfId="103" priority="22">
      <formula>OR($AG97=TRUE,$AF97=TRUE)</formula>
    </cfRule>
  </conditionalFormatting>
  <conditionalFormatting sqref="A9:H28">
    <cfRule type="expression" dxfId="102" priority="19">
      <formula>$E$8="N/A"</formula>
    </cfRule>
  </conditionalFormatting>
  <conditionalFormatting sqref="A30:H30">
    <cfRule type="expression" dxfId="101" priority="18">
      <formula>$E$29="N/A"</formula>
    </cfRule>
  </conditionalFormatting>
  <conditionalFormatting sqref="A32:H32">
    <cfRule type="expression" dxfId="100" priority="17">
      <formula>$E$31="N/A"</formula>
    </cfRule>
  </conditionalFormatting>
  <conditionalFormatting sqref="A34:H37">
    <cfRule type="expression" dxfId="99" priority="16">
      <formula>$E$33="N/A"</formula>
    </cfRule>
  </conditionalFormatting>
  <conditionalFormatting sqref="A39:H51">
    <cfRule type="expression" dxfId="98" priority="15">
      <formula>$E$38="N/A"</formula>
    </cfRule>
  </conditionalFormatting>
  <conditionalFormatting sqref="A53:H55">
    <cfRule type="expression" dxfId="97" priority="14">
      <formula>$E$52="N/A"</formula>
    </cfRule>
  </conditionalFormatting>
  <conditionalFormatting sqref="A57:H59">
    <cfRule type="expression" dxfId="96" priority="13">
      <formula>$E$56="N/A"</formula>
    </cfRule>
  </conditionalFormatting>
  <conditionalFormatting sqref="A61:H66">
    <cfRule type="expression" dxfId="95" priority="12">
      <formula>$E$60="N/A"</formula>
    </cfRule>
  </conditionalFormatting>
  <conditionalFormatting sqref="A68:H68">
    <cfRule type="expression" dxfId="94" priority="11">
      <formula>$E$67="N/A"</formula>
    </cfRule>
  </conditionalFormatting>
  <conditionalFormatting sqref="A70:H77">
    <cfRule type="expression" dxfId="93" priority="10">
      <formula>$E$69="N/A"</formula>
    </cfRule>
  </conditionalFormatting>
  <conditionalFormatting sqref="A79:H86">
    <cfRule type="expression" dxfId="92" priority="9">
      <formula>$E$78="N/A"</formula>
    </cfRule>
  </conditionalFormatting>
  <conditionalFormatting sqref="A88:H90">
    <cfRule type="expression" dxfId="91" priority="8">
      <formula>$E$87="N/A"</formula>
    </cfRule>
  </conditionalFormatting>
  <conditionalFormatting sqref="A92:H94">
    <cfRule type="expression" dxfId="90" priority="7">
      <formula>$E$91="N/A"</formula>
    </cfRule>
  </conditionalFormatting>
  <conditionalFormatting sqref="A96:H96">
    <cfRule type="expression" dxfId="89" priority="6">
      <formula>$E$95="N/A"</formula>
    </cfRule>
  </conditionalFormatting>
  <conditionalFormatting sqref="A98:H104">
    <cfRule type="expression" dxfId="88" priority="5">
      <formula>$E$97="N/A"</formula>
    </cfRule>
  </conditionalFormatting>
  <conditionalFormatting sqref="A9:H104">
    <cfRule type="expression" dxfId="87" priority="2">
      <formula>$X9=TRUE</formula>
    </cfRule>
  </conditionalFormatting>
  <dataValidations count="3">
    <dataValidation type="list" allowBlank="1" showInputMessage="1" showErrorMessage="1" sqref="C3" xr:uid="{00000000-0002-0000-0900-000000000000}">
      <formula1>$K$2:$K$3</formula1>
    </dataValidation>
    <dataValidation type="list" allowBlank="1" showInputMessage="1" showErrorMessage="1" sqref="E30 E32 E53:E55 E57:E59 E61:E66 E68 E79:E86 E88:E90 E92:E94 E96 E98:E104 E9:E28 E34:E37 E70:E77 E39:E51" xr:uid="{D715FDC8-2E1C-445A-8C04-B89D17FE9FCF}">
      <formula1>$J$1:$J$4</formula1>
    </dataValidation>
    <dataValidation type="list" allowBlank="1" showInputMessage="1" showErrorMessage="1" sqref="E8 E29 E31 E33 E38 E52 E56 E60 E67 E69 E78 E87 E91 E95 E97" xr:uid="{A76E372C-DB03-44B7-A7A0-2521D4B6A442}">
      <formula1>$AP$1</formula1>
    </dataValidation>
  </dataValidations>
  <hyperlinks>
    <hyperlink ref="D9" location="'F. Coverage'!A106" display="'F. Coverage'!A106" xr:uid="{EA57C22F-2AC0-4B82-8375-8981844232C7}"/>
    <hyperlink ref="D10" location="'F. Coverage'!A106" display="1,2" xr:uid="{D9676C42-6048-4C3A-9638-D447A24CFB7E}"/>
    <hyperlink ref="D14" location="'F. Coverage'!A106" display="1,3" xr:uid="{3A384DDF-91C7-4939-BDEA-84499D7C2D84}"/>
    <hyperlink ref="D30" location="'F. Coverage'!A109" display="'F. Coverage'!A109" xr:uid="{CC6A1F8A-5AFD-4A0D-96D7-939348A94F22}"/>
    <hyperlink ref="D34" location="'F. Coverage'!A110" display="'F. Coverage'!A110" xr:uid="{62388E17-F347-4C61-BA8E-009F5C3CEB1B}"/>
    <hyperlink ref="D37" location="'F. Coverage'!A111" display="6,7" xr:uid="{B1D57FD6-73BE-4D96-9F97-84C40A9C0825}"/>
    <hyperlink ref="D40" location="'F. Coverage'!A113" display="'F. Coverage'!A113" xr:uid="{0353F2EF-93DB-44AD-BD60-A093EFFC8370}"/>
    <hyperlink ref="D46" location="'F. Coverage'!A114" display="9,10" xr:uid="{B5052C9B-0EB0-47B5-B70C-4079153BFDFC}"/>
    <hyperlink ref="D47" location="'F. Coverage'!A115" display="'F. Coverage'!A115" xr:uid="{27C9CD9D-738F-4105-B0A8-E9BD9E0DA047}"/>
    <hyperlink ref="D48" location="'F. Coverage'!A116" display="'F. Coverage'!A116" xr:uid="{FD7F3A17-92E2-4B74-8DB0-AA4E93B7C687}"/>
    <hyperlink ref="D53" location="'F. Coverage'!A124" display="'F. Coverage'!A124" xr:uid="{F4B3A19E-5DB3-4DFF-A293-FE0DE2841E0B}"/>
    <hyperlink ref="D61" location="'F. Coverage'!A125" display="'F. Coverage'!A125" xr:uid="{A4C851C4-D217-4DE2-977A-A1BCECEA6654}"/>
    <hyperlink ref="D75" location="'F. Coverage'!A126" display="16,17" xr:uid="{1C0DC34C-1CDD-49C7-8F02-758106C900BE}"/>
    <hyperlink ref="D76" location="'F. Coverage'!A126" display="16,17, 18" xr:uid="{8F26ADEB-B728-4BEA-99A8-544ECA247569}"/>
    <hyperlink ref="D79" location="'F. Coverage'!A129" display="19,20, 21,22" xr:uid="{4F568671-0F11-4E23-BFBC-B3B8B4C69A52}"/>
    <hyperlink ref="D82" location="'F. Coverage'!A129" display="19,22" xr:uid="{AB1CDEB9-CCEB-40DA-B056-C2EB30D38A3B}"/>
    <hyperlink ref="D83" location="'F. Coverage'!A129" display="'F. Coverage'!A129" xr:uid="{7E642F1A-0126-417D-9EBB-DFB8C3F42D1B}"/>
    <hyperlink ref="D85" location="'F. Coverage'!A114" display="9,19" xr:uid="{7C722B4E-C7E9-411C-8028-F88F16500007}"/>
    <hyperlink ref="D90" location="'F. Coverage'!A133" display="23,24, 25,26" xr:uid="{C4F226A9-85B9-4756-9D16-4C66D48D9A6E}"/>
    <hyperlink ref="D92" location="'F. Coverage'!A139" display="'F. Coverage'!A139" xr:uid="{6DE5EAEC-50F0-46FD-A996-CF6AD92FE907}"/>
    <hyperlink ref="D103" location="'F. Coverage'!A140" display="'F. Coverage'!A140" xr:uid="{7C116FC6-D128-4C50-A120-ED1BCE0AC0C2}"/>
    <hyperlink ref="A106" location="'F. Coverage'!D9" display="'F. Coverage'!D9" xr:uid="{D57574DE-91AA-49A1-BE91-9A6AFD7BDBE7}"/>
    <hyperlink ref="A107" location="'F. Coverage'!D10" display="'F. Coverage'!D10" xr:uid="{12CC298D-0D5E-4EC7-8839-328F88859BD7}"/>
    <hyperlink ref="A108" location="'F. Coverage'!D14" display="'F. Coverage'!D14" xr:uid="{ACD190DA-A476-4D20-A387-6F08952A2481}"/>
    <hyperlink ref="A109" location="'F. Coverage'!D30" display="'F. Coverage'!D30" xr:uid="{9713400D-CD35-42B5-82B2-8487CA9738F0}"/>
    <hyperlink ref="A110" location="'F. Coverage'!D34" display="'F. Coverage'!D34" xr:uid="{B471AC84-C95F-4972-86EB-C43929D3B738}"/>
    <hyperlink ref="A111" location="'F. Coverage'!D37" display="6a" xr:uid="{49B345B3-FF0C-42A3-ADB0-513B10BDEF5D}"/>
    <hyperlink ref="A112" location="'F. Coverage'!D37" display="'F. Coverage'!D37" xr:uid="{0962C33F-180A-43C5-B3E1-6AE44D85C0E1}"/>
    <hyperlink ref="A113" location="'F. Coverage'!D40" display="'F. Coverage'!D40" xr:uid="{C4A1A791-84FA-46A4-A21E-D748DB65CD1B}"/>
    <hyperlink ref="A114" location="'F. Coverage'!D46" display="9a" xr:uid="{047AB521-5F9F-4526-8411-79AC2EA67136}"/>
    <hyperlink ref="A115" location="'F. Coverage'!D46" display="'F. Coverage'!D46" xr:uid="{084530A5-6766-4FB9-A3A1-BBDCE757F98E}"/>
    <hyperlink ref="A116" location="'F. Coverage'!D48" display="11a" xr:uid="{D28ACC3A-27E1-4670-B10B-96A77D9A129B}"/>
    <hyperlink ref="A117" location="'F. Coverage'!D49" display="'F. Coverage'!D49" xr:uid="{9D910E59-E891-47A5-8682-34097E3BE38B}"/>
    <hyperlink ref="A120" location="'F. Coverage'!D49" display="'F. Coverage'!D49" xr:uid="{923AC9B9-5723-4F80-B746-E4498D921102}"/>
    <hyperlink ref="A134" location="'F. Coverage'!D90" display="'F. Coverage'!D90" xr:uid="{2D833B5F-7E24-474D-8F3D-15F90DDF2DC3}"/>
    <hyperlink ref="A135" location="'F. Coverage'!D90" display="'F. Coverage'!D90" xr:uid="{BE7CEBA1-6F30-48F2-899B-59E7B97D21A9}"/>
    <hyperlink ref="A136" location="'F. Coverage'!D90" display="'F. Coverage'!D90" xr:uid="{DCF29FF0-2441-461C-9030-FCAD2330D12A}"/>
    <hyperlink ref="A124" location="'F. Coverage'!D53" display="'F. Coverage'!D53" xr:uid="{079941B4-94E0-434D-921F-5BB5BBAB4F19}"/>
    <hyperlink ref="A125" location="'F. Coverage'!D61" display="'F. Coverage'!D61" xr:uid="{3D3FFEE4-BC83-44F0-99A7-292B2DE5A426}"/>
    <hyperlink ref="A126" location="'F. Coverage'!D75" display="'F. Coverage'!D75" xr:uid="{76C55417-8D3D-4C43-81E5-21A7CCD1A882}"/>
    <hyperlink ref="A127" location="'F. Coverage'!D75" display="'F. Coverage'!D75" xr:uid="{F542B9D5-EF5B-4216-930C-9F89664B71D2}"/>
    <hyperlink ref="A128" location="'F. Coverage'!D76" display="'F. Coverage'!D76" xr:uid="{464E4309-4AF8-4757-9B3E-21EF236CC700}"/>
    <hyperlink ref="A129" location="'F. Coverage'!D79" display="'F. Coverage'!D79" xr:uid="{56FABEDE-1997-40F1-B937-54E8BC26DF95}"/>
    <hyperlink ref="A130" location="'F. Coverage'!D79" display="'F. Coverage'!D79" xr:uid="{2775326E-AF4B-4656-B38A-D9E4803F5B81}"/>
    <hyperlink ref="A131" location="'F. Coverage'!D79" display="'F. Coverage'!D79" xr:uid="{AE1D34FB-9899-4ECB-8F00-449AC691BC3F}"/>
    <hyperlink ref="A132" location="'F. Coverage'!D79" display="'F. Coverage'!D79" xr:uid="{1EBFA441-FB3D-4322-BBBE-DF8763439FC6}"/>
    <hyperlink ref="A133" location="'F. Coverage'!D90" display="'F. Coverage'!D90" xr:uid="{E771AFF0-A479-401A-949E-409C875F9A2B}"/>
    <hyperlink ref="D50" location="'F. Coverage'!A117" display="12,13" xr:uid="{74666878-BEE8-4D5F-8522-4DB9405C7ABD}"/>
    <hyperlink ref="A139" location="'F. Coverage'!D92" display="'F. Coverage'!D92" xr:uid="{23D71793-82CE-4589-9EA4-EB8455228FF0}"/>
    <hyperlink ref="D11" location="'F. Coverage'!A106" display="'F. Coverage'!A106" xr:uid="{C95D4E61-D962-4C89-AC00-9DF3EA8CFAC2}"/>
    <hyperlink ref="B119" r:id="rId1" xr:uid="{46B1EB2B-07CA-4380-91FC-35882EB6A92D}"/>
    <hyperlink ref="B120" r:id="rId2" display="https://urldefense.com/v3/__https:/wms-mmdl.cms.gov/WMS/help/TaxonomyCategoryDefinitions.pdf__;!!NwMct28-Ww!IP7MweADtqf4-zBzy0oUcjxJ7jJlI9YRV-m1lYrjkWBuRvrIbcXAOSbCWp2LM4iNUE4w-Mt0Gr4CsdE24sM2XJ-bXxCRHwQO3Sc$" xr:uid="{7E4358AB-B210-4F3C-8768-CC62E72D17A5}"/>
    <hyperlink ref="B121" r:id="rId3" display="https://urldefense.com/v3/__https:/www.medicaid.gov/sites/default/files/2023-11/cib11162023.pdf__;!!NwMct28-Ww!IP7MweADtqf4-zBzy0oUcjxJ7jJlI9YRV-m1lYrjkWBuRvrIbcXAOSbCWp2LM4iNUE4w-Mt0Gr4CsdE24sM2XJ-bXxCRMdjNHhs$" xr:uid="{E46F8F84-C76E-4EA7-9AAA-668BC398CA2E}"/>
    <hyperlink ref="B123" r:id="rId4" display="https://urldefense.com/v3/__https:/www.medicaid.gov/sites/default/files/2023-11/cib11162023.pdf__;!!NwMct28-Ww!IP7MweADtqf4-zBzy0oUcjxJ7jJlI9YRV-m1lYrjkWBuRvrIbcXAOSbCWp2LM4iNUE4w-Mt0Gr4CsdE24sM2XJ-bXxCRMdjNHhs$" xr:uid="{43001ACA-3710-4ED2-BAB9-90C62BC5760B}"/>
    <hyperlink ref="B137" r:id="rId5" xr:uid="{7BA6FCF0-5EE1-49E2-A3AC-D7DEB80FDBB1}"/>
    <hyperlink ref="A140" location="'F. Coverage'!D103" display="'F. Coverage'!D103" xr:uid="{90484D45-E407-4044-A19F-B38CC281BC80}"/>
    <hyperlink ref="D77" location="'F. Coverage'!A126" display="16,17, 18" xr:uid="{7F2B036F-6B1B-4907-BA28-39647ECD3B02}"/>
    <hyperlink ref="D49" location="'F. Coverage'!A117" display="12,13" xr:uid="{074A7B42-CB17-4664-9288-D68D149F3DD2}"/>
    <hyperlink ref="D12" location="'F. Coverage'!A106" display="'F. Coverage'!A106" xr:uid="{36F767E4-7ABF-4154-A2CC-B58258FCAF0D}"/>
    <hyperlink ref="D13" location="'F. Coverage'!A106" display="'F. Coverage'!A106" xr:uid="{1307DE67-F61D-4982-9A21-A76AA4E5C99A}"/>
    <hyperlink ref="D15" location="'F. Coverage'!A106" display="'F. Coverage'!A106" xr:uid="{AD635B3F-3644-46C4-9F23-C21E8476ABEB}"/>
    <hyperlink ref="D16" location="'F. Coverage'!A106" display="'F. Coverage'!A106" xr:uid="{1F5C62E5-ECCC-4F8B-972C-3D2D009D6995}"/>
    <hyperlink ref="D17" location="'F. Coverage'!A106" display="'F. Coverage'!A106" xr:uid="{3239C1E9-A8EC-436A-94DF-16A9B96B3BAF}"/>
    <hyperlink ref="D18" location="'F. Coverage'!A106" display="'F. Coverage'!A106" xr:uid="{7F6F1B08-6675-4C7A-91BE-1D6BB451E431}"/>
    <hyperlink ref="D19" location="'F. Coverage'!A106" display="'F. Coverage'!A106" xr:uid="{9DFF907A-3DF6-48C2-9206-EEC3A74D8176}"/>
    <hyperlink ref="D20" location="'F. Coverage'!A106" display="'F. Coverage'!A106" xr:uid="{A086840D-95B9-4742-BA93-6434152D7F88}"/>
    <hyperlink ref="D21" location="'F. Coverage'!A106" display="'F. Coverage'!A106" xr:uid="{385C4ED5-690A-4989-88DA-CF6EA91AB5FC}"/>
    <hyperlink ref="D22" location="'F. Coverage'!A106" display="'F. Coverage'!A106" xr:uid="{AD3D1631-4EB1-41D1-A993-4F7862540FDD}"/>
    <hyperlink ref="D23" location="'F. Coverage'!A106" display="'F. Coverage'!A106" xr:uid="{544EF103-D247-486C-B9C4-B9D4BAC412B2}"/>
    <hyperlink ref="D24" location="'F. Coverage'!A106" display="'F. Coverage'!A106" xr:uid="{A034A788-6CD0-4D7D-8529-506F672822B6}"/>
    <hyperlink ref="D25" location="'F. Coverage'!A106" display="'F. Coverage'!A106" xr:uid="{D0EAFE6E-1BE9-4B2D-BA83-F34DD4A248C3}"/>
    <hyperlink ref="D26" location="'F. Coverage'!A106" display="'F. Coverage'!A106" xr:uid="{D38C4003-7ECB-4EC8-8C2A-70BD6A6A8C25}"/>
    <hyperlink ref="D27" location="'F. Coverage'!A106" display="'F. Coverage'!A106" xr:uid="{A8FEC320-643B-4090-A9BC-73469FD993E4}"/>
    <hyperlink ref="D28" location="'F. Coverage'!A106" display="'F. Coverage'!A106" xr:uid="{0A2F3A09-823A-44F8-8AED-9D56DA71D775}"/>
    <hyperlink ref="D41" location="'F. Coverage'!A113" display="'F. Coverage'!A113" xr:uid="{8A3999A9-BC31-4875-A005-705E4662A051}"/>
    <hyperlink ref="D80" location="'F. Coverage'!A129" display="19,20, 21,22" xr:uid="{2F6C6B94-7AAB-4C7C-BC2B-64ADD0AEB755}"/>
    <hyperlink ref="D81" location="'F. Coverage'!A129" display="19,20, 21,22" xr:uid="{6A45926D-877F-42F7-8A75-34E5DBAD2C00}"/>
    <hyperlink ref="D84" location="'F. Coverage'!A129" display="'F. Coverage'!A129" xr:uid="{B25F26A7-199F-45F8-B838-F0783A994C8E}"/>
    <hyperlink ref="D86" location="'F. Coverage'!A129" display="'F. Coverage'!A129" xr:uid="{1410D8E6-9334-46F0-9A8C-011347962CC9}"/>
    <hyperlink ref="D93" location="'F. Coverage'!A139" display="'F. Coverage'!A139" xr:uid="{3312C6F8-049D-41E8-AAAD-41DB0FEDBA3B}"/>
    <hyperlink ref="D94" location="'F. Coverage'!A139" display="'F. Coverage'!A139" xr:uid="{5E11C7F6-D104-4314-B14D-F610E9204819}"/>
    <hyperlink ref="D51" location="'F. Coverage'!A117" display="12,13" xr:uid="{10B262C9-8391-47ED-9C5B-9684D62AE307}"/>
  </hyperlinks>
  <pageMargins left="0.25" right="0.25" top="0.75" bottom="0.75" header="0.3" footer="0.3"/>
  <pageSetup scale="78" fitToHeight="0" orientation="landscape" horizontalDpi="4294967293" verticalDpi="4294967293" r:id="rId6"/>
  <extLst>
    <ext xmlns:x14="http://schemas.microsoft.com/office/spreadsheetml/2009/9/main" uri="{78C0D931-6437-407d-A8EE-F0AAD7539E65}">
      <x14:conditionalFormattings>
        <x14:conditionalFormatting xmlns:xm="http://schemas.microsoft.com/office/excel/2006/main">
          <x14:cfRule type="expression" priority="1" id="{D0414413-6916-424E-A776-BF394BD93153}">
            <xm:f>AND('Cover Sheet'!$B$29="Streamlined Review")</xm:f>
            <x14:dxf>
              <fill>
                <patternFill patternType="lightUp"/>
              </fill>
            </x14:dxf>
          </x14:cfRule>
          <xm:sqref>A32:H32 A35:H35 A44:H45 A53:H66 A68:H68 A77:H77 A88:H89 A96:H96 A98:H104 A10:H28 A92:H94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pageSetUpPr fitToPage="1"/>
  </sheetPr>
  <dimension ref="A1:AY108"/>
  <sheetViews>
    <sheetView zoomScale="85" zoomScaleNormal="85" workbookViewId="0">
      <pane ySplit="7" topLeftCell="A8" activePane="bottomLeft" state="frozen"/>
      <selection pane="bottomLeft" activeCell="A2" sqref="A2:B2"/>
    </sheetView>
  </sheetViews>
  <sheetFormatPr defaultColWidth="9.28515625" defaultRowHeight="15" x14ac:dyDescent="0.25"/>
  <cols>
    <col min="1" max="1" width="10.5703125" customWidth="1"/>
    <col min="2" max="2" width="18.5703125" style="7" customWidth="1"/>
    <col min="3" max="3" width="77.5703125" style="152" customWidth="1"/>
    <col min="4" max="4" width="7.5703125" style="8" customWidth="1"/>
    <col min="5" max="5" width="8.5703125" style="5" customWidth="1"/>
    <col min="6" max="6" width="8.5703125" customWidth="1"/>
    <col min="7" max="7" width="22.42578125" customWidth="1"/>
    <col min="8" max="8" width="26.42578125" customWidth="1"/>
    <col min="9" max="9" width="10.7109375" style="141" hidden="1" customWidth="1"/>
    <col min="10" max="10" width="9.5703125" style="139" hidden="1" customWidth="1"/>
    <col min="11" max="12" width="6.28515625" style="139" hidden="1" customWidth="1"/>
    <col min="13" max="13" width="11.5703125" style="138" hidden="1" customWidth="1"/>
    <col min="14" max="14" width="6.28515625" style="116" hidden="1" customWidth="1"/>
    <col min="15" max="15" width="8.5703125" style="116" hidden="1" customWidth="1"/>
    <col min="16" max="16" width="9.28515625" style="116" hidden="1" customWidth="1"/>
    <col min="17" max="17" width="8.42578125" style="116" hidden="1" customWidth="1"/>
    <col min="18" max="20" width="12.42578125" style="117" hidden="1" customWidth="1"/>
    <col min="21" max="21" width="21" style="122" hidden="1" customWidth="1"/>
    <col min="22" max="31" width="23.5703125" style="116" hidden="1" customWidth="1"/>
    <col min="32" max="32" width="18.42578125" style="116" hidden="1" customWidth="1"/>
    <col min="33" max="33" width="32.42578125" style="121" hidden="1" customWidth="1"/>
    <col min="34" max="34" width="26.5703125" style="88" hidden="1" customWidth="1"/>
    <col min="35" max="35" width="65" style="69" hidden="1" customWidth="1"/>
    <col min="36" max="36" width="33.28515625" style="100" hidden="1" customWidth="1"/>
    <col min="37" max="37" width="9.28515625" style="69" hidden="1" customWidth="1"/>
    <col min="38" max="38" width="67.7109375" style="84" hidden="1" customWidth="1"/>
    <col min="39" max="42" width="9.28515625" style="69" hidden="1" customWidth="1"/>
    <col min="43" max="46" width="15" style="69" hidden="1" customWidth="1"/>
    <col min="47" max="49" width="9.28515625" style="69" hidden="1" customWidth="1"/>
    <col min="50" max="50" width="11" style="5" hidden="1" customWidth="1"/>
    <col min="51" max="51" width="9.28515625" hidden="1" customWidth="1"/>
    <col min="52" max="59" width="9.28515625" customWidth="1"/>
  </cols>
  <sheetData>
    <row r="1" spans="1:50" ht="25.5" customHeight="1" thickBot="1" x14ac:dyDescent="0.3">
      <c r="A1" s="573" t="s">
        <v>1523</v>
      </c>
      <c r="B1" s="574"/>
      <c r="C1" s="574"/>
      <c r="D1" s="574"/>
      <c r="E1" s="574"/>
      <c r="F1" s="574"/>
      <c r="G1" s="548"/>
      <c r="H1" s="280"/>
      <c r="I1" s="25"/>
      <c r="J1" s="26" t="s">
        <v>311</v>
      </c>
      <c r="K1" s="27"/>
      <c r="L1" s="51"/>
      <c r="M1" s="52" t="b">
        <f>IF($C$2="Base contract","Blist",IF($C$2="Contract Amendment","Alist"))</f>
        <v>0</v>
      </c>
      <c r="N1" s="53"/>
      <c r="O1" s="29"/>
      <c r="P1" s="53"/>
      <c r="Q1" s="53"/>
      <c r="R1" s="53"/>
      <c r="S1" s="53"/>
      <c r="T1" s="53"/>
      <c r="U1" s="38"/>
      <c r="V1" s="112"/>
      <c r="W1" s="112"/>
      <c r="X1" s="545"/>
      <c r="Y1" s="545"/>
      <c r="Z1" s="581" t="s">
        <v>313</v>
      </c>
      <c r="AA1" s="582"/>
      <c r="AB1" s="582"/>
      <c r="AC1" s="582"/>
      <c r="AD1" s="582"/>
      <c r="AE1" s="582"/>
      <c r="AF1" s="54"/>
      <c r="AG1" s="65"/>
      <c r="AH1" s="546"/>
      <c r="AI1" s="57"/>
      <c r="AJ1" s="46" t="s">
        <v>318</v>
      </c>
      <c r="AK1" s="56"/>
      <c r="AL1" s="56"/>
      <c r="AM1" s="56"/>
      <c r="AN1" s="56"/>
      <c r="AP1" s="69" t="s">
        <v>319</v>
      </c>
    </row>
    <row r="2" spans="1:50" ht="24.6" customHeight="1" x14ac:dyDescent="0.25">
      <c r="A2" s="588" t="s">
        <v>320</v>
      </c>
      <c r="B2" s="589"/>
      <c r="C2" s="551">
        <f>'Cover Sheet'!B6</f>
        <v>0</v>
      </c>
      <c r="D2" s="218"/>
      <c r="E2" s="281"/>
      <c r="F2" s="282"/>
      <c r="G2" s="283" t="s">
        <v>1077</v>
      </c>
      <c r="H2" s="284" t="str">
        <f>I2</f>
        <v>Not Started</v>
      </c>
      <c r="I2" s="25" t="str">
        <f>IF(OR($C$3="Yes, section requirements are not applicable",$C$3="Yes, all requirements on the sheet are crosshatched",AND(E8="N/A",E10="N/A",E21="N/A",E32="N/A",E38="N/A",E56="N/A",E58="N/A",E73="N/A")),"Section Review N/A",IF((COUNTA(A8:A77)+COUNTBLANK(A8:A77)=COUNTBLANK(E8:E77)),"Not Started",IF((COUNTA(A8:A77)&gt;SUM(U8:U77)),"In Progress","Section Review Complete")))</f>
        <v>Not Started</v>
      </c>
      <c r="J2" s="25" t="s">
        <v>322</v>
      </c>
      <c r="K2" s="27" t="s">
        <v>323</v>
      </c>
      <c r="L2" s="27"/>
      <c r="M2" s="28"/>
      <c r="N2" s="53"/>
      <c r="O2" s="29"/>
      <c r="P2" s="53"/>
      <c r="Q2" s="53"/>
      <c r="R2" s="53"/>
      <c r="S2" s="53"/>
      <c r="T2" s="53"/>
      <c r="U2" s="38"/>
      <c r="V2" s="59"/>
      <c r="W2" s="59"/>
      <c r="X2" s="59"/>
      <c r="Y2" s="59"/>
      <c r="Z2" s="54" t="str">
        <f>IF('Cover Sheet'!$B$13="Yes","MCO","--")</f>
        <v>MCO</v>
      </c>
      <c r="AA2" s="54" t="str">
        <f>IF('Cover Sheet'!$B$14="Yes","HIO","--")</f>
        <v>--</v>
      </c>
      <c r="AB2" s="54" t="str">
        <f>IF('Cover Sheet'!$B$15="Yes","PIHP","--")</f>
        <v>--</v>
      </c>
      <c r="AC2" s="54" t="str">
        <f>IF('Cover Sheet'!$B$16="Yes","PAHP","--")</f>
        <v>--</v>
      </c>
      <c r="AD2" s="54" t="str">
        <f>IF('Cover Sheet'!$B$17="Yes","NEMT PAHP","--")</f>
        <v>--</v>
      </c>
      <c r="AE2" s="54" t="str">
        <f>IF('Cover Sheet'!$B$18="Yes","PCCME","--")</f>
        <v>--</v>
      </c>
      <c r="AF2" s="54"/>
      <c r="AG2" s="53"/>
      <c r="AH2" s="29"/>
      <c r="AI2" s="57"/>
      <c r="AJ2" s="31">
        <f>IF('Cover Sheet'!$B$4="BOTH",1,0)</f>
        <v>1</v>
      </c>
      <c r="AK2" s="56"/>
      <c r="AL2" s="56" t="s">
        <v>224</v>
      </c>
      <c r="AM2" s="56"/>
      <c r="AN2" s="56"/>
    </row>
    <row r="3" spans="1:50" ht="15.75" thickBot="1" x14ac:dyDescent="0.3">
      <c r="A3" s="305" t="s">
        <v>324</v>
      </c>
      <c r="B3" s="306"/>
      <c r="C3" s="307" t="s">
        <v>325</v>
      </c>
      <c r="D3" s="226"/>
      <c r="E3" s="285"/>
      <c r="F3" s="286"/>
      <c r="G3" s="287" t="s">
        <v>326</v>
      </c>
      <c r="H3" s="288" t="str">
        <f>I3</f>
        <v>Not Started</v>
      </c>
      <c r="I3" s="25" t="str">
        <f>IF(OR($C$3="Yes, section requirements are not applicable",$C$3="Yes, all requirements on the sheet are crosshatched",AND(E8="N/A",E10="N/A",E21="N/A",E32="N/A",E38="N/A",E56="N/A",E58="N/A",E73="N/A")),"Section Review N/A",IF((COUNTA(A8:A77)+COUNTBLANK(A8:A77))=COUNTBLANK(E8:E77),"Not Started",IF(OR(COUNTA(A8:A77)+COUNTBLANK(A8:A77)&lt;&gt;COUNTIF(E8:E77,"Yes")+COUNTIF(E8:E77,"Met")+COUNTIF(E8:E77,"N/A")+COUNTBLANK(E8:E77),COUNTA(A8:A77)&lt;&gt;SUM(U8:U77)),"Revisions Needed","Approved")))</f>
        <v>Not Started</v>
      </c>
      <c r="J3" s="25" t="s">
        <v>327</v>
      </c>
      <c r="K3" s="27" t="s">
        <v>325</v>
      </c>
      <c r="L3" s="27"/>
      <c r="M3" s="28"/>
      <c r="N3" s="53"/>
      <c r="O3" s="29"/>
      <c r="P3" s="53"/>
      <c r="Q3" s="53"/>
      <c r="R3" s="53"/>
      <c r="S3" s="53"/>
      <c r="T3" s="53"/>
      <c r="U3" s="38"/>
      <c r="V3" s="54"/>
      <c r="W3" s="54"/>
      <c r="X3" s="56"/>
      <c r="Y3" s="56"/>
      <c r="Z3" s="56"/>
      <c r="AA3" s="56"/>
      <c r="AB3" s="56"/>
      <c r="AC3" s="56"/>
      <c r="AD3" s="56"/>
      <c r="AE3" s="56"/>
      <c r="AF3" s="54"/>
      <c r="AG3" s="54"/>
      <c r="AH3" s="54"/>
      <c r="AI3" s="57"/>
      <c r="AJ3" s="53"/>
      <c r="AK3" s="56"/>
      <c r="AL3" s="56"/>
      <c r="AM3" s="56"/>
      <c r="AN3" s="56"/>
    </row>
    <row r="4" spans="1:50" ht="18" hidden="1" customHeight="1" x14ac:dyDescent="0.25">
      <c r="A4" s="231"/>
      <c r="B4" s="232"/>
      <c r="C4" s="289"/>
      <c r="D4" s="234"/>
      <c r="E4" s="231"/>
      <c r="F4" s="290"/>
      <c r="G4" s="290"/>
      <c r="H4" s="290"/>
      <c r="I4" s="25"/>
      <c r="J4" s="25" t="s">
        <v>319</v>
      </c>
      <c r="K4" s="27"/>
      <c r="L4" s="27"/>
      <c r="M4" s="28"/>
      <c r="N4" s="53"/>
      <c r="O4" s="29"/>
      <c r="P4" s="53"/>
      <c r="Q4" s="53"/>
      <c r="R4" s="53"/>
      <c r="S4" s="53"/>
      <c r="T4" s="53"/>
      <c r="U4" s="38"/>
      <c r="V4" s="54"/>
      <c r="W4" s="54"/>
      <c r="X4" s="56"/>
      <c r="Y4" s="56"/>
      <c r="Z4" s="56"/>
      <c r="AA4" s="56"/>
      <c r="AB4" s="56"/>
      <c r="AC4" s="56"/>
      <c r="AD4" s="56"/>
      <c r="AE4" s="56"/>
      <c r="AF4" s="54"/>
      <c r="AG4" s="54"/>
      <c r="AH4" s="54"/>
      <c r="AI4" s="57"/>
      <c r="AJ4" s="53"/>
      <c r="AK4" s="56"/>
      <c r="AL4" s="56"/>
      <c r="AM4" s="56"/>
      <c r="AN4" s="56"/>
    </row>
    <row r="5" spans="1:50" ht="18" hidden="1" customHeight="1" x14ac:dyDescent="0.25">
      <c r="A5" s="237"/>
      <c r="B5" s="238"/>
      <c r="C5" s="291"/>
      <c r="D5" s="239"/>
      <c r="E5" s="237"/>
      <c r="F5" s="292"/>
      <c r="G5" s="292"/>
      <c r="H5" s="292"/>
      <c r="I5" s="25"/>
      <c r="J5" s="25"/>
      <c r="K5" s="27"/>
      <c r="L5" s="27"/>
      <c r="M5" s="28"/>
      <c r="N5" s="53"/>
      <c r="O5" s="29"/>
      <c r="P5" s="53"/>
      <c r="Q5" s="53"/>
      <c r="R5" s="53" t="s">
        <v>330</v>
      </c>
      <c r="S5" s="53"/>
      <c r="T5" s="53"/>
      <c r="U5" s="38"/>
      <c r="V5" s="54"/>
      <c r="W5" s="54"/>
      <c r="X5" s="56"/>
      <c r="Y5" s="56"/>
      <c r="Z5" s="56"/>
      <c r="AA5" s="56"/>
      <c r="AB5" s="56"/>
      <c r="AC5" s="56"/>
      <c r="AD5" s="56"/>
      <c r="AE5" s="56"/>
      <c r="AF5" s="54"/>
      <c r="AG5" s="54"/>
      <c r="AH5" s="54"/>
      <c r="AI5" s="57"/>
      <c r="AJ5" s="53"/>
      <c r="AK5" s="56"/>
      <c r="AL5" s="56"/>
      <c r="AM5" s="56"/>
      <c r="AN5" s="56"/>
      <c r="AP5" s="69" t="s">
        <v>331</v>
      </c>
    </row>
    <row r="6" spans="1:50" ht="18" hidden="1" customHeight="1" thickBot="1" x14ac:dyDescent="0.3">
      <c r="A6" s="242"/>
      <c r="B6" s="243"/>
      <c r="C6" s="244"/>
      <c r="D6" s="245"/>
      <c r="E6" s="246"/>
      <c r="F6" s="247"/>
      <c r="G6" s="247"/>
      <c r="H6" s="247"/>
      <c r="I6" s="26" t="s">
        <v>466</v>
      </c>
      <c r="J6" s="25"/>
      <c r="K6" s="32"/>
      <c r="L6" s="25"/>
      <c r="M6" s="53"/>
      <c r="N6" s="53"/>
      <c r="O6" s="53"/>
      <c r="P6" s="33" t="s">
        <v>332</v>
      </c>
      <c r="Q6" s="33" t="s">
        <v>333</v>
      </c>
      <c r="R6" s="63"/>
      <c r="S6" s="63"/>
      <c r="T6" s="63"/>
      <c r="U6" s="38"/>
      <c r="V6" s="54"/>
      <c r="W6" s="54"/>
      <c r="X6" s="101" t="s">
        <v>351</v>
      </c>
      <c r="Y6" s="101" t="s">
        <v>352</v>
      </c>
      <c r="Z6" s="101"/>
      <c r="AA6" s="101"/>
      <c r="AB6" s="101"/>
      <c r="AC6" s="101"/>
      <c r="AD6" s="101"/>
      <c r="AE6" s="101"/>
      <c r="AF6" s="54"/>
      <c r="AG6" s="54"/>
      <c r="AH6" s="57"/>
      <c r="AI6" s="57"/>
      <c r="AJ6" s="53"/>
      <c r="AK6" s="56"/>
      <c r="AL6" s="56"/>
      <c r="AM6" s="56" t="s">
        <v>336</v>
      </c>
      <c r="AN6" s="56"/>
    </row>
    <row r="7" spans="1:50" ht="39.6" customHeight="1" thickBot="1" x14ac:dyDescent="0.3">
      <c r="A7" s="249" t="s">
        <v>337</v>
      </c>
      <c r="B7" s="250" t="s">
        <v>338</v>
      </c>
      <c r="C7" s="251" t="s">
        <v>339</v>
      </c>
      <c r="D7" s="251" t="s">
        <v>340</v>
      </c>
      <c r="E7" s="251" t="s">
        <v>341</v>
      </c>
      <c r="F7" s="251" t="s">
        <v>342</v>
      </c>
      <c r="G7" s="251" t="s">
        <v>343</v>
      </c>
      <c r="H7" s="293" t="s">
        <v>344</v>
      </c>
      <c r="I7" s="34" t="s">
        <v>168</v>
      </c>
      <c r="J7" s="34" t="s">
        <v>178</v>
      </c>
      <c r="K7" s="34" t="s">
        <v>185</v>
      </c>
      <c r="L7" s="35" t="s">
        <v>190</v>
      </c>
      <c r="M7" s="36" t="s">
        <v>195</v>
      </c>
      <c r="N7" s="37" t="s">
        <v>345</v>
      </c>
      <c r="O7" s="37" t="s">
        <v>200</v>
      </c>
      <c r="P7" s="38"/>
      <c r="Q7" s="38"/>
      <c r="R7" s="39" t="s">
        <v>346</v>
      </c>
      <c r="S7" s="39"/>
      <c r="T7" s="39"/>
      <c r="U7" s="50" t="s">
        <v>467</v>
      </c>
      <c r="V7" s="101" t="s">
        <v>353</v>
      </c>
      <c r="W7" s="546"/>
      <c r="X7" s="158"/>
      <c r="Y7" s="158"/>
      <c r="Z7" s="158" t="s">
        <v>168</v>
      </c>
      <c r="AA7" s="158" t="s">
        <v>178</v>
      </c>
      <c r="AB7" s="158" t="s">
        <v>185</v>
      </c>
      <c r="AC7" s="158" t="s">
        <v>190</v>
      </c>
      <c r="AD7" s="158" t="s">
        <v>195</v>
      </c>
      <c r="AE7" s="158" t="s">
        <v>200</v>
      </c>
      <c r="AF7" s="101" t="s">
        <v>354</v>
      </c>
      <c r="AG7" s="101" t="s">
        <v>355</v>
      </c>
      <c r="AH7" s="70" t="s">
        <v>361</v>
      </c>
      <c r="AI7" s="70" t="s">
        <v>362</v>
      </c>
      <c r="AJ7" s="104" t="s">
        <v>363</v>
      </c>
      <c r="AK7" s="70" t="s">
        <v>364</v>
      </c>
      <c r="AL7" s="70" t="s">
        <v>365</v>
      </c>
      <c r="AM7" s="56" t="s">
        <v>366</v>
      </c>
      <c r="AN7" s="56" t="s">
        <v>367</v>
      </c>
      <c r="AO7" s="69" t="s">
        <v>368</v>
      </c>
      <c r="AP7" s="69" t="s">
        <v>331</v>
      </c>
      <c r="AQ7" s="80" t="s">
        <v>369</v>
      </c>
      <c r="AR7" s="80" t="s">
        <v>370</v>
      </c>
      <c r="AS7" s="80" t="s">
        <v>371</v>
      </c>
      <c r="AT7" s="80" t="s">
        <v>372</v>
      </c>
      <c r="AU7" s="81" t="s">
        <v>373</v>
      </c>
      <c r="AV7" s="82" t="s">
        <v>374</v>
      </c>
      <c r="AW7" s="83" t="s">
        <v>375</v>
      </c>
      <c r="AX7" s="5" t="s">
        <v>376</v>
      </c>
    </row>
    <row r="8" spans="1:50" ht="16.149999999999999" customHeight="1" thickBot="1" x14ac:dyDescent="0.3">
      <c r="A8" s="450"/>
      <c r="B8" s="451"/>
      <c r="C8" s="452" t="s">
        <v>60</v>
      </c>
      <c r="D8" s="442"/>
      <c r="E8" s="443"/>
      <c r="F8" s="444"/>
      <c r="G8" s="444"/>
      <c r="H8" s="445"/>
      <c r="I8" s="74"/>
      <c r="J8" s="74"/>
      <c r="K8" s="74"/>
      <c r="L8" s="87"/>
      <c r="M8" s="87"/>
      <c r="R8" s="116"/>
      <c r="S8" s="116"/>
      <c r="T8" s="116"/>
      <c r="AF8" s="86"/>
      <c r="AI8" s="89"/>
      <c r="AJ8" s="89"/>
      <c r="AK8" s="89"/>
      <c r="AL8" s="89"/>
      <c r="AM8" s="68"/>
      <c r="AN8" s="68"/>
    </row>
    <row r="9" spans="1:50" ht="44.25" customHeight="1" x14ac:dyDescent="0.25">
      <c r="A9" s="294" t="s">
        <v>1524</v>
      </c>
      <c r="B9" s="295" t="s">
        <v>1525</v>
      </c>
      <c r="C9" s="295" t="s">
        <v>1526</v>
      </c>
      <c r="D9" s="446"/>
      <c r="E9" s="297"/>
      <c r="F9" s="297"/>
      <c r="G9" s="297"/>
      <c r="H9" s="214"/>
      <c r="I9" s="92" t="s">
        <v>168</v>
      </c>
      <c r="J9" s="92" t="s">
        <v>178</v>
      </c>
      <c r="K9" s="92" t="s">
        <v>185</v>
      </c>
      <c r="L9" s="166" t="s">
        <v>190</v>
      </c>
      <c r="M9" s="71"/>
      <c r="N9" s="71"/>
      <c r="O9" s="166" t="s">
        <v>200</v>
      </c>
      <c r="P9" s="71" t="s">
        <v>380</v>
      </c>
      <c r="Q9" s="71" t="b">
        <f>IF(OR(AND($C$2="Base contract",$C$3="No, section requirements must be reviewed", $AF9=FALSE,$AG9=FALSE),AND($C$2="Contract amendment",$C$3="No, section requirements must be reviewed",$AF9=FALSE,$AG9=FALSE)),"MUNN")</f>
        <v>0</v>
      </c>
      <c r="R9" s="72"/>
      <c r="S9" s="72"/>
      <c r="T9" s="72"/>
      <c r="U9" s="97">
        <f>IF(OR($E$8="N/A",AND(AX9=0,'Cover Sheet'!$B$29="Streamlined Review"),AND(E9="Met",F9&lt;&gt;""),AND(E9="Not met",G9&lt;&gt;""),AND(E9="Unsure",G9&lt;&gt;""),AND(E9="N/A",H9&lt;&gt;""),AND(Y9=TRUE)),1,0)</f>
        <v>0</v>
      </c>
      <c r="X9" s="126" t="b">
        <f>IF(OR(Y9=TRUE,V9=TRUE,AM9=TRUE),TRUE,FALSE)</f>
        <v>0</v>
      </c>
      <c r="Y9" s="126" t="b">
        <f>IF(SUM(Z9:AE9)&lt;1,TRUE,FALSE)</f>
        <v>0</v>
      </c>
      <c r="Z9" s="126">
        <f>IF($Z$2=I9,1,0)</f>
        <v>1</v>
      </c>
      <c r="AA9" s="126">
        <f>IF($AA$2=J9,1,0)</f>
        <v>0</v>
      </c>
      <c r="AB9" s="126">
        <f>IF($AB$2=K9,1,0)</f>
        <v>0</v>
      </c>
      <c r="AC9" s="126">
        <f>IF($AC$2=L9,1,0)</f>
        <v>0</v>
      </c>
      <c r="AD9" s="126">
        <f>IF($AD$2=M9,1,0)</f>
        <v>0</v>
      </c>
      <c r="AE9" s="126">
        <f>IF($AE$2=O9,1,0)</f>
        <v>0</v>
      </c>
      <c r="AF9" s="53" t="b">
        <f>IF($H$1&lt;&gt;0,IF($H$1&lt;&gt;I9,IF($H$1&lt;&gt;J9,IF($H$1&lt;&gt;K9,IF($H$1&lt;&gt;L9,IF($H$1&lt;&gt;M9,IF($H$1&lt;&gt;N9,IF($H$1&lt;&gt;O9,TRUE,FALSE))))))))</f>
        <v>0</v>
      </c>
      <c r="AG9" s="54" t="b">
        <f>IF(AH9=TRUE,TRUE,FALSE)</f>
        <v>0</v>
      </c>
      <c r="AH9" s="56" t="b">
        <f>IF(OR(AND($H$6="Medicaid",MID($A9,1,FIND(".",$A9,1)-1)="II"),AND($H$6="CHIP",MID($A9,1,FIND(".",$A9,1)-1)="I")),TRUE,FALSE)</f>
        <v>0</v>
      </c>
      <c r="AP9" s="69" t="str">
        <f>IF(AO9=1,1,"")</f>
        <v/>
      </c>
      <c r="AX9" s="5">
        <v>0</v>
      </c>
    </row>
    <row r="10" spans="1:50" ht="15.75" thickBot="1" x14ac:dyDescent="0.3">
      <c r="A10" s="450"/>
      <c r="B10" s="451"/>
      <c r="C10" s="452" t="s">
        <v>61</v>
      </c>
      <c r="D10" s="442"/>
      <c r="E10" s="443"/>
      <c r="F10" s="444"/>
      <c r="G10" s="444"/>
      <c r="H10" s="445"/>
      <c r="I10" s="74"/>
      <c r="J10" s="74"/>
      <c r="K10" s="74"/>
      <c r="L10" s="87"/>
      <c r="M10" s="87"/>
      <c r="R10" s="116"/>
      <c r="S10" s="116"/>
      <c r="T10" s="116"/>
      <c r="U10" s="126"/>
      <c r="AH10" s="68"/>
    </row>
    <row r="11" spans="1:50" ht="35.25" customHeight="1" x14ac:dyDescent="0.25">
      <c r="A11" s="294" t="s">
        <v>1527</v>
      </c>
      <c r="B11" s="295" t="s">
        <v>1528</v>
      </c>
      <c r="C11" s="295" t="s">
        <v>1529</v>
      </c>
      <c r="D11" s="446"/>
      <c r="E11" s="297"/>
      <c r="F11" s="297"/>
      <c r="G11" s="297"/>
      <c r="H11" s="214"/>
      <c r="I11" s="92" t="s">
        <v>168</v>
      </c>
      <c r="J11" s="92" t="s">
        <v>178</v>
      </c>
      <c r="K11" s="92" t="s">
        <v>185</v>
      </c>
      <c r="L11" s="71" t="s">
        <v>190</v>
      </c>
      <c r="M11" s="71"/>
      <c r="N11" s="71"/>
      <c r="O11" s="71"/>
      <c r="P11" s="71" t="s">
        <v>380</v>
      </c>
      <c r="Q11" s="71" t="b">
        <f t="shared" ref="Q11:Q20" si="0">IF(OR(AND($C$2="Base contract",$C$3="No, section requirements must be reviewed", $AF11=FALSE,$AG11=FALSE),AND($C$2="Contract amendment",$C$3="No, section requirements must be reviewed",$AF11=FALSE,$AG11=FALSE)),"MUNN")</f>
        <v>0</v>
      </c>
      <c r="R11" s="72"/>
      <c r="S11" s="72"/>
      <c r="T11" s="72"/>
      <c r="U11" s="97">
        <f>IF(OR($E$10="N/A",AND(AX11=0,'Cover Sheet'!$B$29="Streamlined Review"),AND(E11="Met",F11&lt;&gt;""),AND(E11="Not met",G11&lt;&gt;""),AND(E11="Unsure",G11&lt;&gt;""),AND(E11="N/A",H11&lt;&gt;""),AND(Y11=TRUE)),1,0)</f>
        <v>0</v>
      </c>
      <c r="X11" s="126" t="b">
        <f>IF(OR(Y11=TRUE,V11=TRUE,AM11=TRUE),TRUE,FALSE)</f>
        <v>0</v>
      </c>
      <c r="Y11" s="126" t="b">
        <f>IF(SUM(Z11:AE11)&lt;1,TRUE,FALSE)</f>
        <v>0</v>
      </c>
      <c r="Z11" s="126">
        <f>IF($Z$2=I11,1,0)</f>
        <v>1</v>
      </c>
      <c r="AA11" s="126">
        <f>IF($AA$2=J11,1,0)</f>
        <v>0</v>
      </c>
      <c r="AB11" s="126">
        <f>IF($AB$2=K11,1,0)</f>
        <v>0</v>
      </c>
      <c r="AC11" s="126">
        <f>IF($AC$2=L11,1,0)</f>
        <v>0</v>
      </c>
      <c r="AD11" s="126">
        <f>IF($AD$2=M11,1,0)</f>
        <v>0</v>
      </c>
      <c r="AE11" s="126">
        <f>IF($AE$2=O11,1,0)</f>
        <v>0</v>
      </c>
      <c r="AF11" s="53" t="b">
        <f t="shared" ref="AF11:AF20" si="1">IF($H$1&lt;&gt;0,IF($H$1&lt;&gt;I11,IF($H$1&lt;&gt;J11,IF($H$1&lt;&gt;K11,IF($H$1&lt;&gt;L11,IF($H$1&lt;&gt;M11,IF($H$1&lt;&gt;N11,IF($H$1&lt;&gt;O11,TRUE,FALSE))))))))</f>
        <v>0</v>
      </c>
      <c r="AG11" s="54" t="b">
        <f t="shared" ref="AG11:AG20" si="2">IF(AH11=TRUE,TRUE,FALSE)</f>
        <v>0</v>
      </c>
      <c r="AH11" s="56" t="b">
        <f t="shared" ref="AH11:AH20" si="3">IF(OR(AND($H$6="Medicaid",MID($A11,1,FIND(".",$A11,1)-1)="II"),AND($H$6="CHIP",MID($A11,1,FIND(".",$A11,1)-1)="I")),TRUE,FALSE)</f>
        <v>0</v>
      </c>
      <c r="AP11" s="69" t="str">
        <f t="shared" ref="AP11:AP20" si="4">IF(AO11=1,1,"")</f>
        <v/>
      </c>
      <c r="AX11" s="5">
        <v>0</v>
      </c>
    </row>
    <row r="12" spans="1:50" ht="33" customHeight="1" x14ac:dyDescent="0.25">
      <c r="A12" s="294" t="s">
        <v>1530</v>
      </c>
      <c r="B12" s="295" t="s">
        <v>1528</v>
      </c>
      <c r="C12" s="295" t="s">
        <v>1531</v>
      </c>
      <c r="D12" s="446"/>
      <c r="E12" s="297"/>
      <c r="F12" s="297"/>
      <c r="G12" s="297"/>
      <c r="H12" s="214"/>
      <c r="I12" s="92" t="s">
        <v>168</v>
      </c>
      <c r="J12" s="92" t="s">
        <v>178</v>
      </c>
      <c r="K12" s="92" t="s">
        <v>185</v>
      </c>
      <c r="L12" s="71" t="s">
        <v>190</v>
      </c>
      <c r="M12" s="71"/>
      <c r="N12" s="71"/>
      <c r="O12" s="71"/>
      <c r="P12" s="71" t="s">
        <v>380</v>
      </c>
      <c r="Q12" s="71" t="b">
        <f t="shared" si="0"/>
        <v>0</v>
      </c>
      <c r="R12" s="64"/>
      <c r="S12" s="64"/>
      <c r="T12" s="64"/>
      <c r="U12" s="97">
        <f>IF(OR($E$10="N/A",AND(AX12=0,'Cover Sheet'!$B$29="Streamlined Review"),AND(E12="Met",F12&lt;&gt;""),AND(E12="Not met",G12&lt;&gt;""),AND(E12="Unsure",G12&lt;&gt;""),AND(E12="N/A",H12&lt;&gt;""),AND(Y12=TRUE)),1,0)</f>
        <v>0</v>
      </c>
      <c r="X12" s="126" t="b">
        <f t="shared" ref="X12:X20" si="5">IF(OR(Y12=TRUE,V12=TRUE,AM12=TRUE),TRUE,FALSE)</f>
        <v>0</v>
      </c>
      <c r="Y12" s="126" t="b">
        <f t="shared" ref="Y12:Y20" si="6">IF(SUM(Z12:AE12)&lt;1,TRUE,FALSE)</f>
        <v>0</v>
      </c>
      <c r="Z12" s="126">
        <f t="shared" ref="Z12:Z20" si="7">IF($Z$2=I12,1,0)</f>
        <v>1</v>
      </c>
      <c r="AA12" s="126">
        <f t="shared" ref="AA12:AA20" si="8">IF($AA$2=J12,1,0)</f>
        <v>0</v>
      </c>
      <c r="AB12" s="126">
        <f t="shared" ref="AB12:AB20" si="9">IF($AB$2=K12,1,0)</f>
        <v>0</v>
      </c>
      <c r="AC12" s="126">
        <f t="shared" ref="AC12:AC20" si="10">IF($AC$2=L12,1,0)</f>
        <v>0</v>
      </c>
      <c r="AD12" s="126">
        <f t="shared" ref="AD12:AD20" si="11">IF($AD$2=M12,1,0)</f>
        <v>0</v>
      </c>
      <c r="AE12" s="126">
        <f t="shared" ref="AE12:AE20" si="12">IF($AE$2=O12,1,0)</f>
        <v>0</v>
      </c>
      <c r="AF12" s="53" t="b">
        <f t="shared" si="1"/>
        <v>0</v>
      </c>
      <c r="AG12" s="54" t="b">
        <f t="shared" si="2"/>
        <v>0</v>
      </c>
      <c r="AH12" s="56" t="b">
        <f t="shared" si="3"/>
        <v>0</v>
      </c>
      <c r="AP12" s="69" t="str">
        <f t="shared" si="4"/>
        <v/>
      </c>
      <c r="AX12" s="5">
        <v>0</v>
      </c>
    </row>
    <row r="13" spans="1:50" ht="35.25" customHeight="1" x14ac:dyDescent="0.25">
      <c r="A13" s="294" t="s">
        <v>1532</v>
      </c>
      <c r="B13" s="295" t="s">
        <v>1528</v>
      </c>
      <c r="C13" s="295" t="s">
        <v>1533</v>
      </c>
      <c r="D13" s="446"/>
      <c r="E13" s="297"/>
      <c r="F13" s="297"/>
      <c r="G13" s="297"/>
      <c r="H13" s="214"/>
      <c r="I13" s="92" t="s">
        <v>168</v>
      </c>
      <c r="J13" s="92" t="s">
        <v>178</v>
      </c>
      <c r="K13" s="92" t="s">
        <v>185</v>
      </c>
      <c r="L13" s="71" t="s">
        <v>190</v>
      </c>
      <c r="M13" s="71"/>
      <c r="N13" s="71"/>
      <c r="O13" s="71"/>
      <c r="P13" s="71" t="s">
        <v>380</v>
      </c>
      <c r="Q13" s="71" t="b">
        <f t="shared" si="0"/>
        <v>0</v>
      </c>
      <c r="R13" s="64">
        <v>42917</v>
      </c>
      <c r="S13" s="64"/>
      <c r="T13" s="64"/>
      <c r="U13" s="97">
        <f>IF(OR($E$10="N/A",AND(AX13=0,'Cover Sheet'!$B$29="Streamlined Review"),AND(E13="Met",F13&lt;&gt;""),AND(E13="Not met",G13&lt;&gt;""),AND(E13="Unsure",G13&lt;&gt;""),AND(E13="N/A",H13&lt;&gt;""),AND(Y13=TRUE)),1,0)</f>
        <v>0</v>
      </c>
      <c r="X13" s="126" t="b">
        <f t="shared" si="5"/>
        <v>0</v>
      </c>
      <c r="Y13" s="126" t="b">
        <f t="shared" si="6"/>
        <v>0</v>
      </c>
      <c r="Z13" s="126">
        <f t="shared" si="7"/>
        <v>1</v>
      </c>
      <c r="AA13" s="126">
        <f t="shared" si="8"/>
        <v>0</v>
      </c>
      <c r="AB13" s="126">
        <f t="shared" si="9"/>
        <v>0</v>
      </c>
      <c r="AC13" s="126">
        <f t="shared" si="10"/>
        <v>0</v>
      </c>
      <c r="AD13" s="126">
        <f t="shared" si="11"/>
        <v>0</v>
      </c>
      <c r="AE13" s="126">
        <f t="shared" si="12"/>
        <v>0</v>
      </c>
      <c r="AF13" s="53" t="b">
        <f t="shared" si="1"/>
        <v>0</v>
      </c>
      <c r="AG13" s="54" t="b">
        <f t="shared" si="2"/>
        <v>0</v>
      </c>
      <c r="AH13" s="56" t="b">
        <f t="shared" si="3"/>
        <v>0</v>
      </c>
      <c r="AP13" s="69" t="str">
        <f t="shared" si="4"/>
        <v/>
      </c>
      <c r="AX13" s="5">
        <v>0</v>
      </c>
    </row>
    <row r="14" spans="1:50" ht="70.5" customHeight="1" x14ac:dyDescent="0.25">
      <c r="A14" s="294" t="s">
        <v>1534</v>
      </c>
      <c r="B14" s="295" t="s">
        <v>1535</v>
      </c>
      <c r="C14" s="295" t="s">
        <v>1536</v>
      </c>
      <c r="D14" s="446"/>
      <c r="E14" s="297"/>
      <c r="F14" s="297"/>
      <c r="G14" s="297"/>
      <c r="H14" s="214"/>
      <c r="I14" s="92" t="s">
        <v>168</v>
      </c>
      <c r="J14" s="92" t="s">
        <v>178</v>
      </c>
      <c r="K14" s="92" t="s">
        <v>185</v>
      </c>
      <c r="L14" s="71" t="s">
        <v>190</v>
      </c>
      <c r="M14" s="71"/>
      <c r="N14" s="71"/>
      <c r="O14" s="71"/>
      <c r="P14" s="71" t="s">
        <v>380</v>
      </c>
      <c r="Q14" s="71" t="b">
        <f t="shared" si="0"/>
        <v>0</v>
      </c>
      <c r="R14" s="64">
        <v>42917</v>
      </c>
      <c r="S14" s="64"/>
      <c r="T14" s="64"/>
      <c r="U14" s="97">
        <f>IF(OR($E$10="N/A",AND(AX14=0,'Cover Sheet'!$B$29="Streamlined Review"),AND(E14="Met",F14&lt;&gt;""),AND(E14="Not met",G14&lt;&gt;""),AND(E14="Unsure",G14&lt;&gt;""),AND(E14="N/A",H14&lt;&gt;""),AND(Y14=TRUE)),1,0)</f>
        <v>0</v>
      </c>
      <c r="X14" s="126" t="b">
        <f t="shared" si="5"/>
        <v>0</v>
      </c>
      <c r="Y14" s="126" t="b">
        <f t="shared" si="6"/>
        <v>0</v>
      </c>
      <c r="Z14" s="126">
        <f t="shared" si="7"/>
        <v>1</v>
      </c>
      <c r="AA14" s="126">
        <f t="shared" si="8"/>
        <v>0</v>
      </c>
      <c r="AB14" s="126">
        <f t="shared" si="9"/>
        <v>0</v>
      </c>
      <c r="AC14" s="126">
        <f t="shared" si="10"/>
        <v>0</v>
      </c>
      <c r="AD14" s="126">
        <f t="shared" si="11"/>
        <v>0</v>
      </c>
      <c r="AE14" s="126">
        <f t="shared" si="12"/>
        <v>0</v>
      </c>
      <c r="AF14" s="53" t="b">
        <f t="shared" si="1"/>
        <v>0</v>
      </c>
      <c r="AG14" s="54" t="b">
        <f t="shared" si="2"/>
        <v>0</v>
      </c>
      <c r="AH14" s="56" t="b">
        <f t="shared" si="3"/>
        <v>0</v>
      </c>
      <c r="AP14" s="69" t="str">
        <f t="shared" si="4"/>
        <v/>
      </c>
      <c r="AX14" s="5">
        <v>1</v>
      </c>
    </row>
    <row r="15" spans="1:50" ht="38.25" x14ac:dyDescent="0.25">
      <c r="A15" s="294" t="s">
        <v>1537</v>
      </c>
      <c r="B15" s="295" t="s">
        <v>1538</v>
      </c>
      <c r="C15" s="295" t="s">
        <v>1539</v>
      </c>
      <c r="D15" s="446"/>
      <c r="E15" s="297"/>
      <c r="F15" s="297"/>
      <c r="G15" s="297"/>
      <c r="H15" s="214"/>
      <c r="I15" s="92" t="s">
        <v>168</v>
      </c>
      <c r="J15" s="92" t="s">
        <v>178</v>
      </c>
      <c r="K15" s="92" t="s">
        <v>185</v>
      </c>
      <c r="L15" s="71" t="s">
        <v>190</v>
      </c>
      <c r="M15" s="71"/>
      <c r="N15" s="71"/>
      <c r="O15" s="71"/>
      <c r="P15" s="71" t="s">
        <v>380</v>
      </c>
      <c r="Q15" s="71" t="b">
        <f t="shared" si="0"/>
        <v>0</v>
      </c>
      <c r="R15" s="64">
        <v>42917</v>
      </c>
      <c r="S15" s="64"/>
      <c r="T15" s="64"/>
      <c r="U15" s="97">
        <f>IF(OR($E$10="N/A",AND(AX15=0,'Cover Sheet'!$B$29="Streamlined Review"),AND(E15="Met",F15&lt;&gt;""),AND(E15="Not met",G15&lt;&gt;""),AND(E15="Unsure",G15&lt;&gt;""),AND(E15="N/A",H15&lt;&gt;""),AND(Y15=TRUE)),1,0)</f>
        <v>0</v>
      </c>
      <c r="X15" s="126" t="b">
        <f t="shared" si="5"/>
        <v>0</v>
      </c>
      <c r="Y15" s="126" t="b">
        <f t="shared" si="6"/>
        <v>0</v>
      </c>
      <c r="Z15" s="126">
        <f t="shared" si="7"/>
        <v>1</v>
      </c>
      <c r="AA15" s="126">
        <f t="shared" si="8"/>
        <v>0</v>
      </c>
      <c r="AB15" s="126">
        <f t="shared" si="9"/>
        <v>0</v>
      </c>
      <c r="AC15" s="126">
        <f t="shared" si="10"/>
        <v>0</v>
      </c>
      <c r="AD15" s="126">
        <f t="shared" si="11"/>
        <v>0</v>
      </c>
      <c r="AE15" s="126">
        <f t="shared" si="12"/>
        <v>0</v>
      </c>
      <c r="AF15" s="53" t="b">
        <f t="shared" si="1"/>
        <v>0</v>
      </c>
      <c r="AG15" s="54" t="b">
        <f t="shared" si="2"/>
        <v>0</v>
      </c>
      <c r="AH15" s="56" t="b">
        <f t="shared" si="3"/>
        <v>0</v>
      </c>
      <c r="AP15" s="69" t="str">
        <f t="shared" si="4"/>
        <v/>
      </c>
      <c r="AX15" s="5">
        <v>0</v>
      </c>
    </row>
    <row r="16" spans="1:50" ht="38.25" x14ac:dyDescent="0.25">
      <c r="A16" s="294" t="s">
        <v>1540</v>
      </c>
      <c r="B16" s="295" t="s">
        <v>1538</v>
      </c>
      <c r="C16" s="295" t="s">
        <v>1541</v>
      </c>
      <c r="D16" s="446"/>
      <c r="E16" s="297"/>
      <c r="F16" s="297"/>
      <c r="G16" s="297"/>
      <c r="H16" s="214"/>
      <c r="I16" s="92" t="s">
        <v>168</v>
      </c>
      <c r="J16" s="92" t="s">
        <v>178</v>
      </c>
      <c r="K16" s="92" t="s">
        <v>185</v>
      </c>
      <c r="L16" s="71" t="s">
        <v>190</v>
      </c>
      <c r="M16" s="71"/>
      <c r="N16" s="71"/>
      <c r="O16" s="71"/>
      <c r="P16" s="71" t="s">
        <v>380</v>
      </c>
      <c r="Q16" s="71" t="b">
        <f t="shared" si="0"/>
        <v>0</v>
      </c>
      <c r="R16" s="64">
        <v>42917</v>
      </c>
      <c r="S16" s="64"/>
      <c r="T16" s="64"/>
      <c r="U16" s="97">
        <f>IF(OR($E$10="N/A",AND(AX16=0,'Cover Sheet'!$B$29="Streamlined Review"),AND(E16="Met",F16&lt;&gt;""),AND(E16="Not met",G16&lt;&gt;""),AND(E16="Unsure",G16&lt;&gt;""),AND(E16="N/A",H16&lt;&gt;""),AND(Y16=TRUE)),1,0)</f>
        <v>0</v>
      </c>
      <c r="X16" s="126" t="b">
        <f t="shared" si="5"/>
        <v>0</v>
      </c>
      <c r="Y16" s="126" t="b">
        <f t="shared" si="6"/>
        <v>0</v>
      </c>
      <c r="Z16" s="126">
        <f t="shared" si="7"/>
        <v>1</v>
      </c>
      <c r="AA16" s="126">
        <f t="shared" si="8"/>
        <v>0</v>
      </c>
      <c r="AB16" s="126">
        <f t="shared" si="9"/>
        <v>0</v>
      </c>
      <c r="AC16" s="126">
        <f t="shared" si="10"/>
        <v>0</v>
      </c>
      <c r="AD16" s="126">
        <f t="shared" si="11"/>
        <v>0</v>
      </c>
      <c r="AE16" s="126">
        <f t="shared" si="12"/>
        <v>0</v>
      </c>
      <c r="AF16" s="53" t="b">
        <f t="shared" si="1"/>
        <v>0</v>
      </c>
      <c r="AG16" s="54" t="b">
        <f t="shared" si="2"/>
        <v>0</v>
      </c>
      <c r="AH16" s="56" t="b">
        <f t="shared" si="3"/>
        <v>0</v>
      </c>
      <c r="AP16" s="69" t="str">
        <f t="shared" si="4"/>
        <v/>
      </c>
      <c r="AX16" s="5">
        <v>0</v>
      </c>
    </row>
    <row r="17" spans="1:50" ht="45.75" customHeight="1" x14ac:dyDescent="0.25">
      <c r="A17" s="294" t="s">
        <v>1542</v>
      </c>
      <c r="B17" s="295" t="s">
        <v>1543</v>
      </c>
      <c r="C17" s="295" t="s">
        <v>1544</v>
      </c>
      <c r="D17" s="446"/>
      <c r="E17" s="297"/>
      <c r="F17" s="297"/>
      <c r="G17" s="297"/>
      <c r="H17" s="214"/>
      <c r="I17" s="92" t="s">
        <v>168</v>
      </c>
      <c r="J17" s="92" t="s">
        <v>178</v>
      </c>
      <c r="K17" s="92" t="s">
        <v>185</v>
      </c>
      <c r="L17" s="71" t="s">
        <v>190</v>
      </c>
      <c r="M17" s="71"/>
      <c r="N17" s="71"/>
      <c r="O17" s="71"/>
      <c r="P17" s="71" t="s">
        <v>380</v>
      </c>
      <c r="Q17" s="71" t="b">
        <f t="shared" si="0"/>
        <v>0</v>
      </c>
      <c r="R17" s="64">
        <v>42917</v>
      </c>
      <c r="S17" s="64"/>
      <c r="T17" s="64"/>
      <c r="U17" s="97">
        <f>IF(OR($E$10="N/A",AND(AX17=0,'Cover Sheet'!$B$29="Streamlined Review"),AND(E17="Met",F17&lt;&gt;""),AND(E17="Not met",G17&lt;&gt;""),AND(E17="Unsure",G17&lt;&gt;""),AND(E17="N/A",H17&lt;&gt;""),AND(Y17=TRUE)),1,0)</f>
        <v>0</v>
      </c>
      <c r="X17" s="126" t="b">
        <f t="shared" si="5"/>
        <v>0</v>
      </c>
      <c r="Y17" s="126" t="b">
        <f t="shared" si="6"/>
        <v>0</v>
      </c>
      <c r="Z17" s="126">
        <f t="shared" si="7"/>
        <v>1</v>
      </c>
      <c r="AA17" s="126">
        <f t="shared" si="8"/>
        <v>0</v>
      </c>
      <c r="AB17" s="126">
        <f t="shared" si="9"/>
        <v>0</v>
      </c>
      <c r="AC17" s="126">
        <f t="shared" si="10"/>
        <v>0</v>
      </c>
      <c r="AD17" s="126">
        <f t="shared" si="11"/>
        <v>0</v>
      </c>
      <c r="AE17" s="126">
        <f t="shared" si="12"/>
        <v>0</v>
      </c>
      <c r="AF17" s="53" t="b">
        <f t="shared" si="1"/>
        <v>0</v>
      </c>
      <c r="AG17" s="54" t="b">
        <f t="shared" si="2"/>
        <v>0</v>
      </c>
      <c r="AH17" s="56" t="b">
        <f t="shared" si="3"/>
        <v>0</v>
      </c>
      <c r="AP17" s="69" t="str">
        <f t="shared" si="4"/>
        <v/>
      </c>
      <c r="AX17" s="5">
        <v>0</v>
      </c>
    </row>
    <row r="18" spans="1:50" ht="38.25" x14ac:dyDescent="0.25">
      <c r="A18" s="294" t="s">
        <v>1545</v>
      </c>
      <c r="B18" s="295" t="s">
        <v>1546</v>
      </c>
      <c r="C18" s="295" t="s">
        <v>1547</v>
      </c>
      <c r="D18" s="446"/>
      <c r="E18" s="297"/>
      <c r="F18" s="297"/>
      <c r="G18" s="297"/>
      <c r="H18" s="214"/>
      <c r="I18" s="92" t="s">
        <v>168</v>
      </c>
      <c r="J18" s="92" t="s">
        <v>178</v>
      </c>
      <c r="K18" s="92" t="s">
        <v>185</v>
      </c>
      <c r="L18" s="71" t="s">
        <v>190</v>
      </c>
      <c r="M18" s="71"/>
      <c r="N18" s="71"/>
      <c r="O18" s="71"/>
      <c r="P18" s="71" t="s">
        <v>380</v>
      </c>
      <c r="Q18" s="71" t="b">
        <f t="shared" si="0"/>
        <v>0</v>
      </c>
      <c r="R18" s="64">
        <v>42917</v>
      </c>
      <c r="S18" s="64"/>
      <c r="T18" s="64"/>
      <c r="U18" s="97">
        <f>IF(OR($E$10="N/A",AND(AX18=0,'Cover Sheet'!$B$29="Streamlined Review"),AND(E18="Met",F18&lt;&gt;""),AND(E18="Not met",G18&lt;&gt;""),AND(E18="Unsure",G18&lt;&gt;""),AND(E18="N/A",H18&lt;&gt;""),AND(Y18=TRUE)),1,0)</f>
        <v>0</v>
      </c>
      <c r="X18" s="126" t="b">
        <f t="shared" si="5"/>
        <v>0</v>
      </c>
      <c r="Y18" s="126" t="b">
        <f t="shared" si="6"/>
        <v>0</v>
      </c>
      <c r="Z18" s="126">
        <f t="shared" si="7"/>
        <v>1</v>
      </c>
      <c r="AA18" s="126">
        <f t="shared" si="8"/>
        <v>0</v>
      </c>
      <c r="AB18" s="126">
        <f t="shared" si="9"/>
        <v>0</v>
      </c>
      <c r="AC18" s="126">
        <f t="shared" si="10"/>
        <v>0</v>
      </c>
      <c r="AD18" s="126">
        <f t="shared" si="11"/>
        <v>0</v>
      </c>
      <c r="AE18" s="126">
        <f t="shared" si="12"/>
        <v>0</v>
      </c>
      <c r="AF18" s="53" t="b">
        <f t="shared" si="1"/>
        <v>0</v>
      </c>
      <c r="AG18" s="54" t="b">
        <f t="shared" si="2"/>
        <v>0</v>
      </c>
      <c r="AH18" s="56" t="b">
        <f t="shared" si="3"/>
        <v>0</v>
      </c>
      <c r="AP18" s="69" t="str">
        <f t="shared" si="4"/>
        <v/>
      </c>
      <c r="AX18" s="5">
        <v>0</v>
      </c>
    </row>
    <row r="19" spans="1:50" ht="66" customHeight="1" x14ac:dyDescent="0.25">
      <c r="A19" s="294" t="s">
        <v>1548</v>
      </c>
      <c r="B19" s="295" t="s">
        <v>1549</v>
      </c>
      <c r="C19" s="295" t="s">
        <v>1550</v>
      </c>
      <c r="D19" s="446"/>
      <c r="E19" s="297"/>
      <c r="F19" s="297"/>
      <c r="G19" s="297"/>
      <c r="H19" s="214"/>
      <c r="I19" s="92" t="s">
        <v>168</v>
      </c>
      <c r="J19" s="92" t="s">
        <v>178</v>
      </c>
      <c r="K19" s="92" t="s">
        <v>185</v>
      </c>
      <c r="L19" s="71" t="s">
        <v>190</v>
      </c>
      <c r="M19" s="71"/>
      <c r="N19" s="71"/>
      <c r="O19" s="71"/>
      <c r="P19" s="71" t="s">
        <v>380</v>
      </c>
      <c r="Q19" s="71" t="b">
        <f t="shared" si="0"/>
        <v>0</v>
      </c>
      <c r="R19" s="64"/>
      <c r="S19" s="64"/>
      <c r="T19" s="64"/>
      <c r="U19" s="97">
        <f>IF(OR($E$10="N/A",AND(AX19=0,'Cover Sheet'!$B$29="Streamlined Review"),AND(E19="Met",F19&lt;&gt;""),AND(E19="Not met",G19&lt;&gt;""),AND(E19="Unsure",G19&lt;&gt;""),AND(E19="N/A",H19&lt;&gt;""),AND(Y19=TRUE)),1,0)</f>
        <v>0</v>
      </c>
      <c r="X19" s="126" t="b">
        <f t="shared" si="5"/>
        <v>0</v>
      </c>
      <c r="Y19" s="126" t="b">
        <f t="shared" si="6"/>
        <v>0</v>
      </c>
      <c r="Z19" s="126">
        <f t="shared" si="7"/>
        <v>1</v>
      </c>
      <c r="AA19" s="126">
        <f t="shared" si="8"/>
        <v>0</v>
      </c>
      <c r="AB19" s="126">
        <f t="shared" si="9"/>
        <v>0</v>
      </c>
      <c r="AC19" s="126">
        <f t="shared" si="10"/>
        <v>0</v>
      </c>
      <c r="AD19" s="126">
        <f t="shared" si="11"/>
        <v>0</v>
      </c>
      <c r="AE19" s="126">
        <f t="shared" si="12"/>
        <v>0</v>
      </c>
      <c r="AF19" s="53" t="b">
        <f t="shared" si="1"/>
        <v>0</v>
      </c>
      <c r="AG19" s="54" t="b">
        <f t="shared" si="2"/>
        <v>0</v>
      </c>
      <c r="AH19" s="56" t="b">
        <f t="shared" si="3"/>
        <v>0</v>
      </c>
      <c r="AP19" s="69" t="str">
        <f t="shared" si="4"/>
        <v/>
      </c>
      <c r="AX19" s="5">
        <v>0</v>
      </c>
    </row>
    <row r="20" spans="1:50" ht="47.25" customHeight="1" thickBot="1" x14ac:dyDescent="0.3">
      <c r="A20" s="294" t="s">
        <v>1551</v>
      </c>
      <c r="B20" s="295" t="s">
        <v>1552</v>
      </c>
      <c r="C20" s="295" t="s">
        <v>1553</v>
      </c>
      <c r="D20" s="496" t="s">
        <v>621</v>
      </c>
      <c r="E20" s="340"/>
      <c r="F20" s="340"/>
      <c r="G20" s="340"/>
      <c r="H20" s="215"/>
      <c r="I20" s="92" t="s">
        <v>168</v>
      </c>
      <c r="J20" s="92" t="s">
        <v>178</v>
      </c>
      <c r="K20" s="92" t="s">
        <v>185</v>
      </c>
      <c r="L20" s="71" t="s">
        <v>190</v>
      </c>
      <c r="M20" s="71"/>
      <c r="N20" s="71"/>
      <c r="O20" s="71"/>
      <c r="P20" s="71" t="s">
        <v>380</v>
      </c>
      <c r="Q20" s="71" t="b">
        <f t="shared" si="0"/>
        <v>0</v>
      </c>
      <c r="R20" s="64">
        <v>43282</v>
      </c>
      <c r="S20" s="64"/>
      <c r="T20" s="64"/>
      <c r="U20" s="97">
        <f>IF(OR($E$10="N/A",AND(AX20=0,'Cover Sheet'!$B$29="Streamlined Review"),AND(E20="Met",F20&lt;&gt;""),AND(E20="Not met",G20&lt;&gt;""),AND(E20="Unsure",G20&lt;&gt;""),AND(E20="N/A",H20&lt;&gt;""),AND(Y20=TRUE)),1,0)</f>
        <v>0</v>
      </c>
      <c r="X20" s="126" t="b">
        <f t="shared" si="5"/>
        <v>0</v>
      </c>
      <c r="Y20" s="126" t="b">
        <f t="shared" si="6"/>
        <v>0</v>
      </c>
      <c r="Z20" s="126">
        <f t="shared" si="7"/>
        <v>1</v>
      </c>
      <c r="AA20" s="126">
        <f t="shared" si="8"/>
        <v>0</v>
      </c>
      <c r="AB20" s="126">
        <f t="shared" si="9"/>
        <v>0</v>
      </c>
      <c r="AC20" s="126">
        <f t="shared" si="10"/>
        <v>0</v>
      </c>
      <c r="AD20" s="126">
        <f t="shared" si="11"/>
        <v>0</v>
      </c>
      <c r="AE20" s="126">
        <f t="shared" si="12"/>
        <v>0</v>
      </c>
      <c r="AF20" s="53" t="b">
        <f t="shared" si="1"/>
        <v>0</v>
      </c>
      <c r="AG20" s="54" t="b">
        <f t="shared" si="2"/>
        <v>0</v>
      </c>
      <c r="AH20" s="56" t="b">
        <f t="shared" si="3"/>
        <v>0</v>
      </c>
      <c r="AP20" s="69" t="str">
        <f t="shared" si="4"/>
        <v/>
      </c>
      <c r="AX20" s="5">
        <v>0</v>
      </c>
    </row>
    <row r="21" spans="1:50" ht="15.75" thickBot="1" x14ac:dyDescent="0.3">
      <c r="A21" s="450"/>
      <c r="B21" s="451"/>
      <c r="C21" s="452" t="s">
        <v>62</v>
      </c>
      <c r="D21" s="491"/>
      <c r="E21" s="443"/>
      <c r="F21" s="492"/>
      <c r="G21" s="492"/>
      <c r="H21" s="493"/>
      <c r="I21" s="74"/>
      <c r="J21" s="74"/>
      <c r="K21" s="74"/>
      <c r="L21" s="87"/>
      <c r="M21" s="87"/>
      <c r="R21" s="116"/>
      <c r="S21" s="116"/>
      <c r="T21" s="116"/>
      <c r="U21" s="126"/>
      <c r="AH21" s="68"/>
    </row>
    <row r="22" spans="1:50" ht="45.75" customHeight="1" x14ac:dyDescent="0.25">
      <c r="A22" s="294" t="s">
        <v>1554</v>
      </c>
      <c r="B22" s="295" t="s">
        <v>1555</v>
      </c>
      <c r="C22" s="295" t="s">
        <v>1556</v>
      </c>
      <c r="D22" s="473"/>
      <c r="E22" s="297"/>
      <c r="F22" s="313"/>
      <c r="G22" s="313"/>
      <c r="H22" s="314"/>
      <c r="I22" s="92" t="s">
        <v>168</v>
      </c>
      <c r="J22" s="92" t="s">
        <v>178</v>
      </c>
      <c r="K22" s="92" t="s">
        <v>185</v>
      </c>
      <c r="L22" s="71" t="s">
        <v>190</v>
      </c>
      <c r="M22" s="71" t="s">
        <v>195</v>
      </c>
      <c r="N22" s="71"/>
      <c r="O22" s="71"/>
      <c r="P22" s="71" t="s">
        <v>380</v>
      </c>
      <c r="Q22" s="71" t="b">
        <f t="shared" ref="Q22:Q31" si="13">IF(OR(AND($C$2="Base contract",$C$3="No, section requirements must be reviewed", $AF22=FALSE,$AG22=FALSE),AND($C$2="Contract amendment",$C$3="No, section requirements must be reviewed",$AF22=FALSE,$AG22=FALSE)),"MUNN")</f>
        <v>0</v>
      </c>
      <c r="R22" s="64"/>
      <c r="S22" s="64"/>
      <c r="T22" s="64"/>
      <c r="U22" s="97">
        <f>IF(OR($E$21="N/A",AND(AX22=0,'Cover Sheet'!$B$29="Streamlined Review"),AND(E22="Met",F22&lt;&gt;""),AND(E22="Not met",G22&lt;&gt;""),AND(E22="Unsure",G22&lt;&gt;""),AND(E22="N/A",H22&lt;&gt;""),AND(Y22=TRUE)),1,0)</f>
        <v>0</v>
      </c>
      <c r="X22" s="126" t="b">
        <f>IF(OR(Y22=TRUE,V22=TRUE,AM22=TRUE),TRUE,FALSE)</f>
        <v>0</v>
      </c>
      <c r="Y22" s="126" t="b">
        <f>IF(SUM(Z22:AE22)&lt;1,TRUE,FALSE)</f>
        <v>0</v>
      </c>
      <c r="Z22" s="126">
        <f>IF($Z$2=I22,1,0)</f>
        <v>1</v>
      </c>
      <c r="AA22" s="126">
        <f>IF($AA$2=J22,1,0)</f>
        <v>0</v>
      </c>
      <c r="AB22" s="126">
        <f>IF($AB$2=K22,1,0)</f>
        <v>0</v>
      </c>
      <c r="AC22" s="126">
        <f>IF($AC$2=L22,1,0)</f>
        <v>0</v>
      </c>
      <c r="AD22" s="126">
        <f>IF($AD$2=M22,1,0)</f>
        <v>0</v>
      </c>
      <c r="AE22" s="126">
        <f>IF($AE$2=O22,1,0)</f>
        <v>0</v>
      </c>
      <c r="AF22" s="53" t="b">
        <f t="shared" ref="AF22:AF31" si="14">IF($H$1&lt;&gt;0,IF($H$1&lt;&gt;I22,IF($H$1&lt;&gt;J22,IF($H$1&lt;&gt;K22,IF($H$1&lt;&gt;L22,IF($H$1&lt;&gt;M22,IF($H$1&lt;&gt;N22,IF($H$1&lt;&gt;O22,TRUE,FALSE))))))))</f>
        <v>0</v>
      </c>
      <c r="AG22" s="54" t="b">
        <f t="shared" ref="AG22:AG31" si="15">IF(AH22=TRUE,TRUE,FALSE)</f>
        <v>0</v>
      </c>
      <c r="AH22" s="56" t="b">
        <f t="shared" ref="AH22:AH31" si="16">IF(OR(AND($H$6="Medicaid",MID($A22,1,FIND(".",$A22,1)-1)="II"),AND($H$6="CHIP",MID($A22,1,FIND(".",$A22,1)-1)="I")),TRUE,FALSE)</f>
        <v>0</v>
      </c>
      <c r="AP22" s="69" t="str">
        <f t="shared" ref="AP22:AP31" si="17">IF(AO22=1,1,"")</f>
        <v/>
      </c>
      <c r="AX22" s="5">
        <v>1</v>
      </c>
    </row>
    <row r="23" spans="1:50" ht="33.75" customHeight="1" x14ac:dyDescent="0.25">
      <c r="A23" s="294" t="s">
        <v>1557</v>
      </c>
      <c r="B23" s="295" t="s">
        <v>1558</v>
      </c>
      <c r="C23" s="295" t="s">
        <v>1559</v>
      </c>
      <c r="D23" s="446"/>
      <c r="E23" s="297"/>
      <c r="F23" s="297"/>
      <c r="G23" s="297"/>
      <c r="H23" s="214"/>
      <c r="I23" s="92" t="s">
        <v>168</v>
      </c>
      <c r="J23" s="92" t="s">
        <v>178</v>
      </c>
      <c r="K23" s="92" t="s">
        <v>185</v>
      </c>
      <c r="L23" s="71" t="s">
        <v>190</v>
      </c>
      <c r="M23" s="71" t="s">
        <v>195</v>
      </c>
      <c r="N23" s="71"/>
      <c r="O23" s="71"/>
      <c r="P23" s="71" t="s">
        <v>380</v>
      </c>
      <c r="Q23" s="71" t="b">
        <f t="shared" si="13"/>
        <v>0</v>
      </c>
      <c r="R23" s="64"/>
      <c r="S23" s="64"/>
      <c r="T23" s="64"/>
      <c r="U23" s="97">
        <f>IF(OR($E$21="N/A",AND(AX23=0,'Cover Sheet'!$B$29="Streamlined Review"),AND(E23="Met",F23&lt;&gt;""),AND(E23="Not met",G23&lt;&gt;""),AND(E23="Unsure",G23&lt;&gt;""),AND(E23="N/A",H23&lt;&gt;""),AND(Y23=TRUE)),1,0)</f>
        <v>0</v>
      </c>
      <c r="X23" s="126" t="b">
        <f t="shared" ref="X23:X31" si="18">IF(OR(Y23=TRUE,V23=TRUE,AM23=TRUE),TRUE,FALSE)</f>
        <v>0</v>
      </c>
      <c r="Y23" s="126" t="b">
        <f t="shared" ref="Y23:Y31" si="19">IF(SUM(Z23:AE23)&lt;1,TRUE,FALSE)</f>
        <v>0</v>
      </c>
      <c r="Z23" s="126">
        <f t="shared" ref="Z23:Z31" si="20">IF($Z$2=I23,1,0)</f>
        <v>1</v>
      </c>
      <c r="AA23" s="126">
        <f t="shared" ref="AA23:AA31" si="21">IF($AA$2=J23,1,0)</f>
        <v>0</v>
      </c>
      <c r="AB23" s="126">
        <f t="shared" ref="AB23:AB31" si="22">IF($AB$2=K23,1,0)</f>
        <v>0</v>
      </c>
      <c r="AC23" s="126">
        <f t="shared" ref="AC23:AC31" si="23">IF($AC$2=L23,1,0)</f>
        <v>0</v>
      </c>
      <c r="AD23" s="126">
        <f t="shared" ref="AD23:AD31" si="24">IF($AD$2=M23,1,0)</f>
        <v>0</v>
      </c>
      <c r="AE23" s="126">
        <f t="shared" ref="AE23:AE31" si="25">IF($AE$2=O23,1,0)</f>
        <v>0</v>
      </c>
      <c r="AF23" s="53" t="b">
        <f t="shared" si="14"/>
        <v>0</v>
      </c>
      <c r="AG23" s="54" t="b">
        <f t="shared" si="15"/>
        <v>0</v>
      </c>
      <c r="AH23" s="56" t="b">
        <f t="shared" si="16"/>
        <v>0</v>
      </c>
      <c r="AP23" s="69" t="str">
        <f t="shared" si="17"/>
        <v/>
      </c>
      <c r="AX23" s="5">
        <v>0</v>
      </c>
    </row>
    <row r="24" spans="1:50" ht="35.25" customHeight="1" x14ac:dyDescent="0.25">
      <c r="A24" s="294" t="s">
        <v>1560</v>
      </c>
      <c r="B24" s="295" t="s">
        <v>1561</v>
      </c>
      <c r="C24" s="295" t="s">
        <v>1562</v>
      </c>
      <c r="D24" s="446"/>
      <c r="E24" s="297"/>
      <c r="F24" s="297"/>
      <c r="G24" s="497"/>
      <c r="H24" s="214"/>
      <c r="I24" s="92" t="s">
        <v>168</v>
      </c>
      <c r="J24" s="92" t="s">
        <v>178</v>
      </c>
      <c r="K24" s="92" t="s">
        <v>185</v>
      </c>
      <c r="L24" s="71" t="s">
        <v>190</v>
      </c>
      <c r="M24" s="71" t="s">
        <v>195</v>
      </c>
      <c r="N24" s="71"/>
      <c r="O24" s="71"/>
      <c r="P24" s="71" t="s">
        <v>380</v>
      </c>
      <c r="Q24" s="71" t="b">
        <f t="shared" si="13"/>
        <v>0</v>
      </c>
      <c r="R24" s="64"/>
      <c r="S24" s="64"/>
      <c r="T24" s="64"/>
      <c r="U24" s="97">
        <f>IF(OR($E$21="N/A",AND(AX24=0,'Cover Sheet'!$B$29="Streamlined Review"),AND(E24="Met",F24&lt;&gt;""),AND(E24="Not met",G24&lt;&gt;""),AND(E24="Unsure",G24&lt;&gt;""),AND(E24="N/A",H24&lt;&gt;""),AND(Y24=TRUE)),1,0)</f>
        <v>0</v>
      </c>
      <c r="X24" s="126" t="b">
        <f t="shared" si="18"/>
        <v>0</v>
      </c>
      <c r="Y24" s="126" t="b">
        <f t="shared" si="19"/>
        <v>0</v>
      </c>
      <c r="Z24" s="126">
        <f t="shared" si="20"/>
        <v>1</v>
      </c>
      <c r="AA24" s="126">
        <f t="shared" si="21"/>
        <v>0</v>
      </c>
      <c r="AB24" s="126">
        <f t="shared" si="22"/>
        <v>0</v>
      </c>
      <c r="AC24" s="126">
        <f t="shared" si="23"/>
        <v>0</v>
      </c>
      <c r="AD24" s="126">
        <f t="shared" si="24"/>
        <v>0</v>
      </c>
      <c r="AE24" s="126">
        <f t="shared" si="25"/>
        <v>0</v>
      </c>
      <c r="AF24" s="53" t="b">
        <f t="shared" si="14"/>
        <v>0</v>
      </c>
      <c r="AG24" s="54" t="b">
        <f t="shared" si="15"/>
        <v>0</v>
      </c>
      <c r="AH24" s="56" t="b">
        <f t="shared" si="16"/>
        <v>0</v>
      </c>
      <c r="AP24" s="69" t="str">
        <f t="shared" si="17"/>
        <v/>
      </c>
      <c r="AX24" s="5">
        <v>0</v>
      </c>
    </row>
    <row r="25" spans="1:50" ht="45" customHeight="1" x14ac:dyDescent="0.25">
      <c r="A25" s="294" t="s">
        <v>1563</v>
      </c>
      <c r="B25" s="295" t="s">
        <v>1564</v>
      </c>
      <c r="C25" s="295" t="s">
        <v>1565</v>
      </c>
      <c r="D25" s="446"/>
      <c r="E25" s="297"/>
      <c r="F25" s="297"/>
      <c r="G25" s="297"/>
      <c r="H25" s="214"/>
      <c r="I25" s="92" t="s">
        <v>168</v>
      </c>
      <c r="J25" s="92" t="s">
        <v>178</v>
      </c>
      <c r="K25" s="92" t="s">
        <v>185</v>
      </c>
      <c r="L25" s="71" t="s">
        <v>190</v>
      </c>
      <c r="M25" s="71"/>
      <c r="N25" s="71"/>
      <c r="O25" s="71"/>
      <c r="P25" s="71" t="s">
        <v>380</v>
      </c>
      <c r="Q25" s="71" t="b">
        <f t="shared" si="13"/>
        <v>0</v>
      </c>
      <c r="R25" s="64">
        <v>42917</v>
      </c>
      <c r="S25" s="64"/>
      <c r="T25" s="64"/>
      <c r="U25" s="97">
        <f>IF(OR($E$21="N/A",AND(AX25=0,'Cover Sheet'!$B$29="Streamlined Review"),AND(E25="Met",F25&lt;&gt;""),AND(E25="Not met",G25&lt;&gt;""),AND(E25="Unsure",G25&lt;&gt;""),AND(E25="N/A",H25&lt;&gt;""),AND(Y25=TRUE)),1,0)</f>
        <v>0</v>
      </c>
      <c r="X25" s="126" t="b">
        <f t="shared" si="18"/>
        <v>0</v>
      </c>
      <c r="Y25" s="126" t="b">
        <f t="shared" si="19"/>
        <v>0</v>
      </c>
      <c r="Z25" s="126">
        <f t="shared" si="20"/>
        <v>1</v>
      </c>
      <c r="AA25" s="126">
        <f t="shared" si="21"/>
        <v>0</v>
      </c>
      <c r="AB25" s="126">
        <f t="shared" si="22"/>
        <v>0</v>
      </c>
      <c r="AC25" s="126">
        <f t="shared" si="23"/>
        <v>0</v>
      </c>
      <c r="AD25" s="126">
        <f t="shared" si="24"/>
        <v>0</v>
      </c>
      <c r="AE25" s="126">
        <f t="shared" si="25"/>
        <v>0</v>
      </c>
      <c r="AF25" s="53" t="b">
        <f t="shared" si="14"/>
        <v>0</v>
      </c>
      <c r="AG25" s="54" t="b">
        <f t="shared" si="15"/>
        <v>0</v>
      </c>
      <c r="AH25" s="56" t="b">
        <f t="shared" si="16"/>
        <v>0</v>
      </c>
      <c r="AO25" s="69">
        <v>1</v>
      </c>
      <c r="AP25" s="69">
        <f t="shared" si="17"/>
        <v>1</v>
      </c>
      <c r="AX25" s="5">
        <v>0</v>
      </c>
    </row>
    <row r="26" spans="1:50" ht="62.25" customHeight="1" x14ac:dyDescent="0.25">
      <c r="A26" s="294" t="s">
        <v>1566</v>
      </c>
      <c r="B26" s="295" t="s">
        <v>1567</v>
      </c>
      <c r="C26" s="295" t="s">
        <v>1568</v>
      </c>
      <c r="D26" s="446"/>
      <c r="E26" s="297"/>
      <c r="F26" s="297"/>
      <c r="G26" s="297"/>
      <c r="H26" s="214"/>
      <c r="I26" s="92" t="s">
        <v>168</v>
      </c>
      <c r="J26" s="92" t="s">
        <v>178</v>
      </c>
      <c r="K26" s="92" t="s">
        <v>185</v>
      </c>
      <c r="L26" s="71" t="s">
        <v>190</v>
      </c>
      <c r="M26" s="71" t="s">
        <v>195</v>
      </c>
      <c r="N26" s="71"/>
      <c r="O26" s="71"/>
      <c r="P26" s="71" t="s">
        <v>380</v>
      </c>
      <c r="Q26" s="71" t="b">
        <f t="shared" si="13"/>
        <v>0</v>
      </c>
      <c r="R26" s="64">
        <v>42917</v>
      </c>
      <c r="S26" s="64"/>
      <c r="T26" s="64"/>
      <c r="U26" s="97">
        <f>IF(OR($E$21="N/A",AND(AX26=0,'Cover Sheet'!$B$29="Streamlined Review"),AND(E26="Met",F26&lt;&gt;""),AND(E26="Not met",G26&lt;&gt;""),AND(E26="Unsure",G26&lt;&gt;""),AND(E26="N/A",H26&lt;&gt;""),AND(Y26=TRUE)),1,0)</f>
        <v>0</v>
      </c>
      <c r="X26" s="126" t="b">
        <f t="shared" si="18"/>
        <v>0</v>
      </c>
      <c r="Y26" s="126" t="b">
        <f t="shared" si="19"/>
        <v>0</v>
      </c>
      <c r="Z26" s="126">
        <f t="shared" si="20"/>
        <v>1</v>
      </c>
      <c r="AA26" s="126">
        <f t="shared" si="21"/>
        <v>0</v>
      </c>
      <c r="AB26" s="126">
        <f t="shared" si="22"/>
        <v>0</v>
      </c>
      <c r="AC26" s="126">
        <f t="shared" si="23"/>
        <v>0</v>
      </c>
      <c r="AD26" s="126">
        <f t="shared" si="24"/>
        <v>0</v>
      </c>
      <c r="AE26" s="126">
        <f t="shared" si="25"/>
        <v>0</v>
      </c>
      <c r="AF26" s="53" t="b">
        <f t="shared" si="14"/>
        <v>0</v>
      </c>
      <c r="AG26" s="54" t="b">
        <f t="shared" si="15"/>
        <v>0</v>
      </c>
      <c r="AH26" s="56" t="b">
        <f t="shared" si="16"/>
        <v>0</v>
      </c>
      <c r="AP26" s="69" t="str">
        <f t="shared" si="17"/>
        <v/>
      </c>
      <c r="AX26" s="5">
        <v>0</v>
      </c>
    </row>
    <row r="27" spans="1:50" ht="44.25" customHeight="1" x14ac:dyDescent="0.25">
      <c r="A27" s="294" t="s">
        <v>1569</v>
      </c>
      <c r="B27" s="295" t="s">
        <v>1440</v>
      </c>
      <c r="C27" s="295" t="s">
        <v>1570</v>
      </c>
      <c r="D27" s="470">
        <v>3</v>
      </c>
      <c r="E27" s="297"/>
      <c r="F27" s="297"/>
      <c r="G27" s="297"/>
      <c r="H27" s="214"/>
      <c r="I27" s="92" t="s">
        <v>168</v>
      </c>
      <c r="J27" s="92" t="s">
        <v>178</v>
      </c>
      <c r="K27" s="92" t="s">
        <v>185</v>
      </c>
      <c r="L27" s="71" t="s">
        <v>190</v>
      </c>
      <c r="M27" s="71"/>
      <c r="N27" s="71"/>
      <c r="O27" s="71"/>
      <c r="P27" s="71" t="s">
        <v>380</v>
      </c>
      <c r="Q27" s="71" t="b">
        <f t="shared" si="13"/>
        <v>0</v>
      </c>
      <c r="R27" s="64">
        <v>43010</v>
      </c>
      <c r="S27" s="64"/>
      <c r="T27" s="64"/>
      <c r="U27" s="97">
        <f>IF(OR($E$21="N/A",AND(AX27=0,'Cover Sheet'!$B$29="Streamlined Review"),AND(E27="Met",F27&lt;&gt;""),AND(E27="Not met",G27&lt;&gt;""),AND(E27="Unsure",G27&lt;&gt;""),AND(E27="N/A",H27&lt;&gt;""),AND(Y27=TRUE)),1,0)</f>
        <v>0</v>
      </c>
      <c r="X27" s="126" t="b">
        <f t="shared" si="18"/>
        <v>0</v>
      </c>
      <c r="Y27" s="126" t="b">
        <f t="shared" si="19"/>
        <v>0</v>
      </c>
      <c r="Z27" s="126">
        <f t="shared" si="20"/>
        <v>1</v>
      </c>
      <c r="AA27" s="126">
        <f t="shared" si="21"/>
        <v>0</v>
      </c>
      <c r="AB27" s="126">
        <f t="shared" si="22"/>
        <v>0</v>
      </c>
      <c r="AC27" s="126">
        <f t="shared" si="23"/>
        <v>0</v>
      </c>
      <c r="AD27" s="126">
        <f t="shared" si="24"/>
        <v>0</v>
      </c>
      <c r="AE27" s="126">
        <f t="shared" si="25"/>
        <v>0</v>
      </c>
      <c r="AF27" s="53" t="b">
        <f t="shared" si="14"/>
        <v>0</v>
      </c>
      <c r="AG27" s="54" t="b">
        <f t="shared" si="15"/>
        <v>0</v>
      </c>
      <c r="AH27" s="56" t="b">
        <f t="shared" si="16"/>
        <v>0</v>
      </c>
      <c r="AP27" s="69" t="str">
        <f t="shared" si="17"/>
        <v/>
      </c>
      <c r="AX27" s="5">
        <v>1</v>
      </c>
    </row>
    <row r="28" spans="1:50" ht="63.75" x14ac:dyDescent="0.25">
      <c r="A28" s="294" t="s">
        <v>1571</v>
      </c>
      <c r="B28" s="295" t="s">
        <v>1572</v>
      </c>
      <c r="C28" s="295" t="s">
        <v>1573</v>
      </c>
      <c r="D28" s="446"/>
      <c r="E28" s="297"/>
      <c r="F28" s="297"/>
      <c r="G28" s="297"/>
      <c r="H28" s="214"/>
      <c r="I28" s="92" t="s">
        <v>168</v>
      </c>
      <c r="J28" s="92" t="s">
        <v>178</v>
      </c>
      <c r="K28" s="92" t="s">
        <v>185</v>
      </c>
      <c r="L28" s="71" t="s">
        <v>190</v>
      </c>
      <c r="M28" s="71" t="s">
        <v>195</v>
      </c>
      <c r="N28" s="71"/>
      <c r="O28" s="71"/>
      <c r="P28" s="71" t="s">
        <v>380</v>
      </c>
      <c r="Q28" s="71" t="b">
        <f t="shared" si="13"/>
        <v>0</v>
      </c>
      <c r="R28" s="64"/>
      <c r="S28" s="64"/>
      <c r="T28" s="64"/>
      <c r="U28" s="97">
        <f>IF(OR($E$21="N/A",AND(AX28=0,'Cover Sheet'!$B$29="Streamlined Review"),AND(E28="Met",F28&lt;&gt;""),AND(E28="Not met",G28&lt;&gt;""),AND(E28="Unsure",G28&lt;&gt;""),AND(E28="N/A",H28&lt;&gt;""),AND(Y28=TRUE)),1,0)</f>
        <v>0</v>
      </c>
      <c r="X28" s="126" t="b">
        <f t="shared" si="18"/>
        <v>0</v>
      </c>
      <c r="Y28" s="126" t="b">
        <f t="shared" si="19"/>
        <v>0</v>
      </c>
      <c r="Z28" s="126">
        <f t="shared" si="20"/>
        <v>1</v>
      </c>
      <c r="AA28" s="126">
        <f t="shared" si="21"/>
        <v>0</v>
      </c>
      <c r="AB28" s="126">
        <f t="shared" si="22"/>
        <v>0</v>
      </c>
      <c r="AC28" s="126">
        <f t="shared" si="23"/>
        <v>0</v>
      </c>
      <c r="AD28" s="126">
        <f t="shared" si="24"/>
        <v>0</v>
      </c>
      <c r="AE28" s="126">
        <f t="shared" si="25"/>
        <v>0</v>
      </c>
      <c r="AF28" s="53" t="b">
        <f t="shared" si="14"/>
        <v>0</v>
      </c>
      <c r="AG28" s="54" t="b">
        <f t="shared" si="15"/>
        <v>0</v>
      </c>
      <c r="AH28" s="56" t="b">
        <f t="shared" si="16"/>
        <v>0</v>
      </c>
      <c r="AP28" s="69" t="str">
        <f t="shared" si="17"/>
        <v/>
      </c>
      <c r="AX28" s="5">
        <v>1</v>
      </c>
    </row>
    <row r="29" spans="1:50" ht="71.25" customHeight="1" x14ac:dyDescent="0.25">
      <c r="A29" s="294" t="s">
        <v>1574</v>
      </c>
      <c r="B29" s="295" t="s">
        <v>1575</v>
      </c>
      <c r="C29" s="295" t="s">
        <v>1576</v>
      </c>
      <c r="D29" s="446"/>
      <c r="E29" s="297"/>
      <c r="F29" s="297"/>
      <c r="G29" s="297"/>
      <c r="H29" s="214"/>
      <c r="I29" s="92" t="s">
        <v>168</v>
      </c>
      <c r="J29" s="92" t="s">
        <v>178</v>
      </c>
      <c r="K29" s="92" t="s">
        <v>185</v>
      </c>
      <c r="L29" s="71" t="s">
        <v>190</v>
      </c>
      <c r="M29" s="71" t="s">
        <v>195</v>
      </c>
      <c r="N29" s="71"/>
      <c r="O29" s="71"/>
      <c r="P29" s="71" t="s">
        <v>380</v>
      </c>
      <c r="Q29" s="71" t="b">
        <f t="shared" si="13"/>
        <v>0</v>
      </c>
      <c r="R29" s="64">
        <v>42917</v>
      </c>
      <c r="S29" s="64"/>
      <c r="T29" s="64"/>
      <c r="U29" s="97">
        <f>IF(OR($E$21="N/A",AND(AX29=0,'Cover Sheet'!$B$29="Streamlined Review"),AND(E29="Met",F29&lt;&gt;""),AND(E29="Not met",G29&lt;&gt;""),AND(E29="Unsure",G29&lt;&gt;""),AND(E29="N/A",H29&lt;&gt;""),AND(Y29=TRUE)),1,0)</f>
        <v>0</v>
      </c>
      <c r="X29" s="126" t="b">
        <f t="shared" si="18"/>
        <v>0</v>
      </c>
      <c r="Y29" s="126" t="b">
        <f t="shared" si="19"/>
        <v>0</v>
      </c>
      <c r="Z29" s="126">
        <f t="shared" si="20"/>
        <v>1</v>
      </c>
      <c r="AA29" s="126">
        <f t="shared" si="21"/>
        <v>0</v>
      </c>
      <c r="AB29" s="126">
        <f t="shared" si="22"/>
        <v>0</v>
      </c>
      <c r="AC29" s="126">
        <f t="shared" si="23"/>
        <v>0</v>
      </c>
      <c r="AD29" s="126">
        <f t="shared" si="24"/>
        <v>0</v>
      </c>
      <c r="AE29" s="126">
        <f t="shared" si="25"/>
        <v>0</v>
      </c>
      <c r="AF29" s="53" t="b">
        <f t="shared" si="14"/>
        <v>0</v>
      </c>
      <c r="AG29" s="54" t="b">
        <f t="shared" si="15"/>
        <v>0</v>
      </c>
      <c r="AH29" s="56" t="b">
        <f t="shared" si="16"/>
        <v>0</v>
      </c>
      <c r="AP29" s="69" t="str">
        <f t="shared" si="17"/>
        <v/>
      </c>
      <c r="AX29" s="5">
        <v>1</v>
      </c>
    </row>
    <row r="30" spans="1:50" ht="97.5" customHeight="1" x14ac:dyDescent="0.25">
      <c r="A30" s="294" t="s">
        <v>1577</v>
      </c>
      <c r="B30" s="295" t="s">
        <v>1578</v>
      </c>
      <c r="C30" s="295" t="s">
        <v>1579</v>
      </c>
      <c r="D30" s="498"/>
      <c r="E30" s="297"/>
      <c r="F30" s="297"/>
      <c r="G30" s="297"/>
      <c r="H30" s="214"/>
      <c r="I30" s="92" t="s">
        <v>168</v>
      </c>
      <c r="J30" s="92" t="s">
        <v>178</v>
      </c>
      <c r="K30" s="92" t="s">
        <v>185</v>
      </c>
      <c r="L30" s="71" t="s">
        <v>190</v>
      </c>
      <c r="M30" s="71"/>
      <c r="N30" s="71"/>
      <c r="O30" s="71"/>
      <c r="P30" s="71" t="s">
        <v>380</v>
      </c>
      <c r="Q30" s="71" t="b">
        <f t="shared" si="13"/>
        <v>0</v>
      </c>
      <c r="R30" s="64">
        <v>42917</v>
      </c>
      <c r="S30" s="64"/>
      <c r="T30" s="64"/>
      <c r="U30" s="97">
        <f>IF(OR($E$21="N/A",AND(AX30=0,'Cover Sheet'!$B$29="Streamlined Review"),AND(E30="Met",F30&lt;&gt;""),AND(E30="Not met",G30&lt;&gt;""),AND(E30="Unsure",G30&lt;&gt;""),AND(E30="N/A",H30&lt;&gt;""),AND(Y30=TRUE)),1,0)</f>
        <v>0</v>
      </c>
      <c r="X30" s="126" t="b">
        <f t="shared" si="18"/>
        <v>0</v>
      </c>
      <c r="Y30" s="126" t="b">
        <f t="shared" si="19"/>
        <v>0</v>
      </c>
      <c r="Z30" s="126">
        <f t="shared" si="20"/>
        <v>1</v>
      </c>
      <c r="AA30" s="126">
        <f t="shared" si="21"/>
        <v>0</v>
      </c>
      <c r="AB30" s="126">
        <f t="shared" si="22"/>
        <v>0</v>
      </c>
      <c r="AC30" s="126">
        <f t="shared" si="23"/>
        <v>0</v>
      </c>
      <c r="AD30" s="126">
        <f t="shared" si="24"/>
        <v>0</v>
      </c>
      <c r="AE30" s="126">
        <f t="shared" si="25"/>
        <v>0</v>
      </c>
      <c r="AF30" s="53" t="b">
        <f t="shared" si="14"/>
        <v>0</v>
      </c>
      <c r="AG30" s="54" t="b">
        <f t="shared" si="15"/>
        <v>0</v>
      </c>
      <c r="AH30" s="56" t="b">
        <f t="shared" si="16"/>
        <v>0</v>
      </c>
      <c r="AP30" s="69" t="str">
        <f t="shared" si="17"/>
        <v/>
      </c>
      <c r="AX30" s="5">
        <v>1</v>
      </c>
    </row>
    <row r="31" spans="1:50" ht="47.25" customHeight="1" x14ac:dyDescent="0.25">
      <c r="A31" s="308" t="s">
        <v>1580</v>
      </c>
      <c r="B31" s="309" t="s">
        <v>1581</v>
      </c>
      <c r="C31" s="309" t="s">
        <v>1582</v>
      </c>
      <c r="D31" s="471"/>
      <c r="E31" s="311"/>
      <c r="F31" s="311"/>
      <c r="G31" s="311"/>
      <c r="H31" s="312"/>
      <c r="I31" s="92" t="s">
        <v>168</v>
      </c>
      <c r="J31" s="92" t="s">
        <v>178</v>
      </c>
      <c r="K31" s="92" t="s">
        <v>185</v>
      </c>
      <c r="L31" s="71" t="s">
        <v>190</v>
      </c>
      <c r="M31" s="71" t="s">
        <v>195</v>
      </c>
      <c r="N31" s="71"/>
      <c r="O31" s="71"/>
      <c r="P31" s="71" t="s">
        <v>380</v>
      </c>
      <c r="Q31" s="71" t="b">
        <f t="shared" si="13"/>
        <v>0</v>
      </c>
      <c r="R31" s="64"/>
      <c r="S31" s="64"/>
      <c r="T31" s="64"/>
      <c r="U31" s="97">
        <f>IF(OR($E$21="N/A",AND(AX31=0,'Cover Sheet'!$B$29="Streamlined Review"),AND(E31="Met",F31&lt;&gt;""),AND(E31="Not met",G31&lt;&gt;""),AND(E31="Unsure",G31&lt;&gt;""),AND(E31="N/A",H31&lt;&gt;""),AND(Y31=TRUE)),1,0)</f>
        <v>0</v>
      </c>
      <c r="X31" s="126" t="b">
        <f t="shared" si="18"/>
        <v>0</v>
      </c>
      <c r="Y31" s="126" t="b">
        <f t="shared" si="19"/>
        <v>0</v>
      </c>
      <c r="Z31" s="126">
        <f t="shared" si="20"/>
        <v>1</v>
      </c>
      <c r="AA31" s="126">
        <f t="shared" si="21"/>
        <v>0</v>
      </c>
      <c r="AB31" s="126">
        <f t="shared" si="22"/>
        <v>0</v>
      </c>
      <c r="AC31" s="126">
        <f t="shared" si="23"/>
        <v>0</v>
      </c>
      <c r="AD31" s="126">
        <f t="shared" si="24"/>
        <v>0</v>
      </c>
      <c r="AE31" s="126">
        <f t="shared" si="25"/>
        <v>0</v>
      </c>
      <c r="AF31" s="53" t="b">
        <f t="shared" si="14"/>
        <v>0</v>
      </c>
      <c r="AG31" s="54" t="b">
        <f t="shared" si="15"/>
        <v>0</v>
      </c>
      <c r="AH31" s="56" t="b">
        <f t="shared" si="16"/>
        <v>0</v>
      </c>
      <c r="AP31" s="69" t="str">
        <f t="shared" si="17"/>
        <v/>
      </c>
      <c r="AX31" s="5">
        <v>0</v>
      </c>
    </row>
    <row r="32" spans="1:50" ht="15.75" thickBot="1" x14ac:dyDescent="0.3">
      <c r="A32" s="450"/>
      <c r="B32" s="451"/>
      <c r="C32" s="452" t="s">
        <v>63</v>
      </c>
      <c r="D32" s="442"/>
      <c r="E32" s="443"/>
      <c r="F32" s="444"/>
      <c r="G32" s="444"/>
      <c r="H32" s="445"/>
      <c r="I32" s="74"/>
      <c r="J32" s="74"/>
      <c r="K32" s="74"/>
      <c r="L32" s="87"/>
      <c r="M32" s="87"/>
      <c r="R32" s="116"/>
      <c r="S32" s="116"/>
      <c r="T32" s="116"/>
      <c r="U32" s="126"/>
      <c r="AH32" s="68"/>
    </row>
    <row r="33" spans="1:50" ht="33" customHeight="1" x14ac:dyDescent="0.25">
      <c r="A33" s="294" t="s">
        <v>1583</v>
      </c>
      <c r="B33" s="295" t="s">
        <v>1584</v>
      </c>
      <c r="C33" s="295" t="s">
        <v>1585</v>
      </c>
      <c r="D33" s="473"/>
      <c r="E33" s="297"/>
      <c r="F33" s="313"/>
      <c r="G33" s="313"/>
      <c r="H33" s="314"/>
      <c r="I33" s="92" t="s">
        <v>168</v>
      </c>
      <c r="J33" s="92" t="s">
        <v>178</v>
      </c>
      <c r="K33" s="92" t="s">
        <v>185</v>
      </c>
      <c r="L33" s="71" t="s">
        <v>190</v>
      </c>
      <c r="M33" s="71"/>
      <c r="N33" s="71"/>
      <c r="O33" s="71"/>
      <c r="P33" s="71" t="s">
        <v>380</v>
      </c>
      <c r="Q33" s="71" t="b">
        <f>IF(OR(AND($C$2="Base contract",$C$3="No, section requirements must be reviewed", $AF33=FALSE,$AG33=FALSE),AND($C$2="Contract amendment",$C$3="No, section requirements must be reviewed",$AF33=FALSE,$AG33=FALSE)),"MUNN")</f>
        <v>0</v>
      </c>
      <c r="R33" s="64"/>
      <c r="S33" s="64"/>
      <c r="T33" s="64"/>
      <c r="U33" s="97">
        <f>IF(OR($E$32="N/A",AND(AX33=0,'Cover Sheet'!$B$29="Streamlined Review"),AND(E33="Met",F33&lt;&gt;""),AND(E33="Not met",G33&lt;&gt;""),AND(E33="Unsure",G33&lt;&gt;""),AND(E33="N/A",H33&lt;&gt;""),AND(Y33=TRUE)),1,0)</f>
        <v>0</v>
      </c>
      <c r="X33" s="126" t="b">
        <f>IF(OR(Y33=TRUE,V33=TRUE,AM33=TRUE),TRUE,FALSE)</f>
        <v>0</v>
      </c>
      <c r="Y33" s="126" t="b">
        <f>IF(SUM(Z33:AE33)&lt;1,TRUE,FALSE)</f>
        <v>0</v>
      </c>
      <c r="Z33" s="126">
        <f>IF($Z$2=I33,1,0)</f>
        <v>1</v>
      </c>
      <c r="AA33" s="126">
        <f>IF($AA$2=J33,1,0)</f>
        <v>0</v>
      </c>
      <c r="AB33" s="126">
        <f>IF($AB$2=K33,1,0)</f>
        <v>0</v>
      </c>
      <c r="AC33" s="126">
        <f>IF($AC$2=L33,1,0)</f>
        <v>0</v>
      </c>
      <c r="AD33" s="126">
        <f>IF($AD$2=M33,1,0)</f>
        <v>0</v>
      </c>
      <c r="AE33" s="126">
        <f>IF($AE$2=O33,1,0)</f>
        <v>0</v>
      </c>
      <c r="AF33" s="53" t="b">
        <f>IF($H$1&lt;&gt;0,IF($H$1&lt;&gt;I33,IF($H$1&lt;&gt;J33,IF($H$1&lt;&gt;K33,IF($H$1&lt;&gt;L33,IF($H$1&lt;&gt;M33,IF($H$1&lt;&gt;N33,IF($H$1&lt;&gt;O33,TRUE,FALSE))))))))</f>
        <v>0</v>
      </c>
      <c r="AG33" s="54" t="b">
        <f>IF(AH33=TRUE,TRUE,FALSE)</f>
        <v>0</v>
      </c>
      <c r="AH33" s="56" t="b">
        <f>IF(OR(AND($H$6="Medicaid",MID($A33,1,FIND(".",$A33,1)-1)="II"),AND($H$6="CHIP",MID($A33,1,FIND(".",$A33,1)-1)="I")),TRUE,FALSE)</f>
        <v>0</v>
      </c>
      <c r="AP33" s="69" t="str">
        <f>IF(AO33=1,1,"")</f>
        <v/>
      </c>
      <c r="AX33" s="5">
        <v>0</v>
      </c>
    </row>
    <row r="34" spans="1:50" ht="34.5" customHeight="1" x14ac:dyDescent="0.25">
      <c r="A34" s="294" t="s">
        <v>1586</v>
      </c>
      <c r="B34" s="295" t="s">
        <v>1587</v>
      </c>
      <c r="C34" s="295" t="s">
        <v>1588</v>
      </c>
      <c r="D34" s="446"/>
      <c r="E34" s="297"/>
      <c r="F34" s="297"/>
      <c r="G34" s="297"/>
      <c r="H34" s="214"/>
      <c r="I34" s="92" t="s">
        <v>168</v>
      </c>
      <c r="J34" s="92" t="s">
        <v>178</v>
      </c>
      <c r="K34" s="92" t="s">
        <v>185</v>
      </c>
      <c r="L34" s="71" t="s">
        <v>190</v>
      </c>
      <c r="M34" s="71"/>
      <c r="N34" s="71"/>
      <c r="O34" s="71"/>
      <c r="P34" s="71" t="s">
        <v>380</v>
      </c>
      <c r="Q34" s="71" t="b">
        <f>IF(OR(AND($C$2="Base contract",$C$3="No, section requirements must be reviewed", $AF34=FALSE,$AG34=FALSE),AND($C$2="Contract amendment",$C$3="No, section requirements must be reviewed",$AF34=FALSE,$AG34=FALSE)),"MUNN")</f>
        <v>0</v>
      </c>
      <c r="R34" s="64"/>
      <c r="S34" s="64"/>
      <c r="T34" s="64"/>
      <c r="U34" s="97">
        <f>IF(OR($E$32="N/A",AND(AX34=0,'Cover Sheet'!$B$29="Streamlined Review"),AND(E34="Met",F34&lt;&gt;""),AND(E34="Not met",G34&lt;&gt;""),AND(E34="Unsure",G34&lt;&gt;""),AND(E34="N/A",H34&lt;&gt;""),AND(Y34=TRUE)),1,0)</f>
        <v>0</v>
      </c>
      <c r="X34" s="126" t="b">
        <f>IF(OR(Y34=TRUE,V34=TRUE,AM34=TRUE),TRUE,FALSE)</f>
        <v>0</v>
      </c>
      <c r="Y34" s="126" t="b">
        <f>IF(SUM(Z34:AE34)&lt;1,TRUE,FALSE)</f>
        <v>0</v>
      </c>
      <c r="Z34" s="126">
        <f>IF($Z$2=I34,1,0)</f>
        <v>1</v>
      </c>
      <c r="AA34" s="126">
        <f>IF($AA$2=J34,1,0)</f>
        <v>0</v>
      </c>
      <c r="AB34" s="126">
        <f>IF($AB$2=K34,1,0)</f>
        <v>0</v>
      </c>
      <c r="AC34" s="126">
        <f>IF($AC$2=L34,1,0)</f>
        <v>0</v>
      </c>
      <c r="AD34" s="126">
        <f>IF($AD$2=M34,1,0)</f>
        <v>0</v>
      </c>
      <c r="AE34" s="126">
        <f>IF($AE$2=O34,1,0)</f>
        <v>0</v>
      </c>
      <c r="AF34" s="53" t="b">
        <f>IF($H$1&lt;&gt;0,IF($H$1&lt;&gt;I34,IF($H$1&lt;&gt;J34,IF($H$1&lt;&gt;K34,IF($H$1&lt;&gt;L34,IF($H$1&lt;&gt;M34,IF($H$1&lt;&gt;N34,IF($H$1&lt;&gt;O34,TRUE,FALSE))))))))</f>
        <v>0</v>
      </c>
      <c r="AG34" s="54" t="b">
        <f>IF(AH34=TRUE,TRUE,FALSE)</f>
        <v>0</v>
      </c>
      <c r="AH34" s="56" t="b">
        <f>IF(OR(AND($H$6="Medicaid",MID($A34,1,FIND(".",$A34,1)-1)="II"),AND($H$6="CHIP",MID($A34,1,FIND(".",$A34,1)-1)="I")),TRUE,FALSE)</f>
        <v>0</v>
      </c>
      <c r="AP34" s="69" t="str">
        <f>IF(AO34=1,1,"")</f>
        <v/>
      </c>
      <c r="AX34" s="5">
        <v>0</v>
      </c>
    </row>
    <row r="35" spans="1:50" ht="39" customHeight="1" x14ac:dyDescent="0.25">
      <c r="A35" s="294" t="s">
        <v>1589</v>
      </c>
      <c r="B35" s="295" t="s">
        <v>1590</v>
      </c>
      <c r="C35" s="263" t="s">
        <v>1591</v>
      </c>
      <c r="D35" s="446"/>
      <c r="E35" s="297"/>
      <c r="F35" s="297"/>
      <c r="G35" s="297"/>
      <c r="H35" s="214"/>
      <c r="I35" s="92" t="s">
        <v>168</v>
      </c>
      <c r="J35" s="92" t="s">
        <v>178</v>
      </c>
      <c r="K35" s="92" t="s">
        <v>185</v>
      </c>
      <c r="L35" s="71" t="s">
        <v>190</v>
      </c>
      <c r="M35" s="71"/>
      <c r="N35" s="71"/>
      <c r="O35" s="71"/>
      <c r="P35" s="71" t="s">
        <v>380</v>
      </c>
      <c r="Q35" s="71" t="b">
        <f>IF(OR(AND($C$2="Base contract",$C$3="No, section requirements must be reviewed", $AF35=FALSE,$AG35=FALSE),AND($C$2="Contract amendment",$C$3="No, section requirements must be reviewed",$AF35=FALSE,$AG35=FALSE)),"MUNN")</f>
        <v>0</v>
      </c>
      <c r="R35" s="64">
        <v>44179</v>
      </c>
      <c r="S35" s="64"/>
      <c r="T35" s="64"/>
      <c r="U35" s="97">
        <f>IF(OR($E$32="N/A",AND(AX35=0,'Cover Sheet'!$B$29="Streamlined Review"),AND(E35="Met",F35&lt;&gt;""),AND(E35="Not met",G35&lt;&gt;""),AND(E35="Unsure",G35&lt;&gt;""),AND(E35="N/A",H35&lt;&gt;""),AND(Y35=TRUE)),1,0)</f>
        <v>0</v>
      </c>
      <c r="X35" s="126" t="b">
        <f>IF(OR(Y35=TRUE,V35=TRUE,AM35=TRUE),TRUE,FALSE)</f>
        <v>0</v>
      </c>
      <c r="Y35" s="126" t="b">
        <f>IF(SUM(Z35:AE35)&lt;1,TRUE,FALSE)</f>
        <v>0</v>
      </c>
      <c r="Z35" s="126">
        <f>IF($Z$2=I35,1,0)</f>
        <v>1</v>
      </c>
      <c r="AA35" s="126">
        <f>IF($AA$2=J35,1,0)</f>
        <v>0</v>
      </c>
      <c r="AB35" s="126">
        <f>IF($AB$2=K35,1,0)</f>
        <v>0</v>
      </c>
      <c r="AC35" s="126">
        <f>IF($AC$2=L35,1,0)</f>
        <v>0</v>
      </c>
      <c r="AD35" s="126">
        <f>IF($AD$2=M35,1,0)</f>
        <v>0</v>
      </c>
      <c r="AE35" s="126">
        <f>IF($AE$2=O35,1,0)</f>
        <v>0</v>
      </c>
      <c r="AF35" s="53" t="b">
        <f>IF($H$1&lt;&gt;0,IF($H$1&lt;&gt;I35,IF($H$1&lt;&gt;J35,IF($H$1&lt;&gt;K35,IF($H$1&lt;&gt;L35,IF($H$1&lt;&gt;M35,IF($H$1&lt;&gt;N35,IF($H$1&lt;&gt;O35,TRUE,FALSE))))))))</f>
        <v>0</v>
      </c>
      <c r="AG35" s="54" t="b">
        <f>IF(AH35=TRUE,TRUE,FALSE)</f>
        <v>0</v>
      </c>
      <c r="AH35" s="56" t="b">
        <f>IF(OR(AND($H$6="Medicaid",MID($A35,1,FIND(".",$A35,1)-1)="II"),AND($H$6="CHIP",MID($A35,1,FIND(".",$A35,1)-1)="I")),TRUE,FALSE)</f>
        <v>0</v>
      </c>
      <c r="AP35" s="69" t="str">
        <f>IF(AO35=1,1,"")</f>
        <v/>
      </c>
      <c r="AX35" s="5">
        <v>0</v>
      </c>
    </row>
    <row r="36" spans="1:50" ht="32.25" customHeight="1" x14ac:dyDescent="0.25">
      <c r="A36" s="294" t="s">
        <v>1592</v>
      </c>
      <c r="B36" s="295" t="s">
        <v>1593</v>
      </c>
      <c r="C36" s="295" t="s">
        <v>1594</v>
      </c>
      <c r="D36" s="446"/>
      <c r="E36" s="297"/>
      <c r="F36" s="297"/>
      <c r="G36" s="297"/>
      <c r="H36" s="214"/>
      <c r="I36" s="92" t="s">
        <v>168</v>
      </c>
      <c r="J36" s="92" t="s">
        <v>178</v>
      </c>
      <c r="K36" s="92" t="s">
        <v>185</v>
      </c>
      <c r="L36" s="71" t="s">
        <v>190</v>
      </c>
      <c r="M36" s="71"/>
      <c r="N36" s="71"/>
      <c r="O36" s="71"/>
      <c r="P36" s="71" t="s">
        <v>380</v>
      </c>
      <c r="Q36" s="71" t="b">
        <f>IF(OR(AND($C$2="Base contract",$C$3="No, section requirements must be reviewed", $AF36=FALSE,$AG36=FALSE),AND($C$2="Contract amendment",$C$3="No, section requirements must be reviewed",$AF36=FALSE,$AG36=FALSE)),"MUNN")</f>
        <v>0</v>
      </c>
      <c r="R36" s="64"/>
      <c r="S36" s="64"/>
      <c r="T36" s="64"/>
      <c r="U36" s="97">
        <f>IF(OR($E$32="N/A",AND(AX36=0,'Cover Sheet'!$B$29="Streamlined Review"),AND(E36="Met",F36&lt;&gt;""),AND(E36="Not met",G36&lt;&gt;""),AND(E36="Unsure",G36&lt;&gt;""),AND(E36="N/A",H36&lt;&gt;""),AND(Y36=TRUE)),1,0)</f>
        <v>0</v>
      </c>
      <c r="X36" s="126" t="b">
        <f>IF(OR(Y36=TRUE,V36=TRUE,AM36=TRUE),TRUE,FALSE)</f>
        <v>0</v>
      </c>
      <c r="Y36" s="126" t="b">
        <f>IF(SUM(Z36:AE36)&lt;1,TRUE,FALSE)</f>
        <v>0</v>
      </c>
      <c r="Z36" s="126">
        <f>IF($Z$2=I36,1,0)</f>
        <v>1</v>
      </c>
      <c r="AA36" s="126">
        <f>IF($AA$2=J36,1,0)</f>
        <v>0</v>
      </c>
      <c r="AB36" s="126">
        <f>IF($AB$2=K36,1,0)</f>
        <v>0</v>
      </c>
      <c r="AC36" s="126">
        <f>IF($AC$2=L36,1,0)</f>
        <v>0</v>
      </c>
      <c r="AD36" s="126">
        <f>IF($AD$2=M36,1,0)</f>
        <v>0</v>
      </c>
      <c r="AE36" s="126">
        <f>IF($AE$2=O36,1,0)</f>
        <v>0</v>
      </c>
      <c r="AF36" s="53" t="b">
        <f>IF($H$1&lt;&gt;0,IF($H$1&lt;&gt;I36,IF($H$1&lt;&gt;J36,IF($H$1&lt;&gt;K36,IF($H$1&lt;&gt;L36,IF($H$1&lt;&gt;M36,IF($H$1&lt;&gt;N36,IF($H$1&lt;&gt;O36,TRUE,FALSE))))))))</f>
        <v>0</v>
      </c>
      <c r="AG36" s="54" t="b">
        <f>IF(AH36=TRUE,TRUE,FALSE)</f>
        <v>0</v>
      </c>
      <c r="AH36" s="56" t="b">
        <f>IF(OR(AND($H$6="Medicaid",MID($A36,1,FIND(".",$A36,1)-1)="II"),AND($H$6="CHIP",MID($A36,1,FIND(".",$A36,1)-1)="I")),TRUE,FALSE)</f>
        <v>0</v>
      </c>
      <c r="AP36" s="69" t="str">
        <f>IF(AO36=1,1,"")</f>
        <v/>
      </c>
      <c r="AX36" s="5">
        <v>0</v>
      </c>
    </row>
    <row r="37" spans="1:50" ht="47.25" customHeight="1" thickBot="1" x14ac:dyDescent="0.3">
      <c r="A37" s="308" t="s">
        <v>1595</v>
      </c>
      <c r="B37" s="309" t="s">
        <v>1596</v>
      </c>
      <c r="C37" s="309" t="s">
        <v>1597</v>
      </c>
      <c r="D37" s="471"/>
      <c r="E37" s="311"/>
      <c r="F37" s="311"/>
      <c r="G37" s="311"/>
      <c r="H37" s="312"/>
      <c r="I37" s="92" t="s">
        <v>168</v>
      </c>
      <c r="J37" s="92" t="s">
        <v>178</v>
      </c>
      <c r="K37" s="92" t="s">
        <v>185</v>
      </c>
      <c r="L37" s="71" t="s">
        <v>190</v>
      </c>
      <c r="M37" s="71"/>
      <c r="N37" s="71"/>
      <c r="O37" s="71"/>
      <c r="P37" s="71" t="s">
        <v>380</v>
      </c>
      <c r="Q37" s="71" t="b">
        <f>IF(OR(AND($C$2="Base contract",$C$3="No, section requirements must be reviewed", $AF37=FALSE,$AG37=FALSE),AND($C$2="Contract amendment",$C$3="No, section requirements must be reviewed",$AF37=FALSE,$AG37=FALSE)),"MUNN")</f>
        <v>0</v>
      </c>
      <c r="R37" s="64"/>
      <c r="S37" s="64"/>
      <c r="T37" s="64"/>
      <c r="U37" s="97">
        <f>IF(OR($E$32="N/A",AND(AX37=0,'Cover Sheet'!$B$29="Streamlined Review"),AND(E37="Met",F37&lt;&gt;""),AND(E37="Not met",G37&lt;&gt;""),AND(E37="Unsure",G37&lt;&gt;""),AND(E37="N/A",H37&lt;&gt;""),AND(Y37=TRUE)),1,0)</f>
        <v>0</v>
      </c>
      <c r="X37" s="126" t="b">
        <f>IF(OR(Y37=TRUE,V37=TRUE,AM37=TRUE),TRUE,FALSE)</f>
        <v>0</v>
      </c>
      <c r="Y37" s="126" t="b">
        <f>IF(SUM(Z37:AE37)&lt;1,TRUE,FALSE)</f>
        <v>0</v>
      </c>
      <c r="Z37" s="126">
        <f>IF($Z$2=I37,1,0)</f>
        <v>1</v>
      </c>
      <c r="AA37" s="126">
        <f>IF($AA$2=J37,1,0)</f>
        <v>0</v>
      </c>
      <c r="AB37" s="126">
        <f>IF($AB$2=K37,1,0)</f>
        <v>0</v>
      </c>
      <c r="AC37" s="126">
        <f>IF($AC$2=L37,1,0)</f>
        <v>0</v>
      </c>
      <c r="AD37" s="126">
        <f>IF($AD$2=M37,1,0)</f>
        <v>0</v>
      </c>
      <c r="AE37" s="126">
        <f>IF($AE$2=O37,1,0)</f>
        <v>0</v>
      </c>
      <c r="AF37" s="53" t="b">
        <f>IF($H$1&lt;&gt;0,IF($H$1&lt;&gt;I37,IF($H$1&lt;&gt;J37,IF($H$1&lt;&gt;K37,IF($H$1&lt;&gt;L37,IF($H$1&lt;&gt;M37,IF($H$1&lt;&gt;N37,IF($H$1&lt;&gt;O37,TRUE,FALSE))))))))</f>
        <v>0</v>
      </c>
      <c r="AG37" s="54" t="b">
        <f>IF(AH37=TRUE,TRUE,FALSE)</f>
        <v>0</v>
      </c>
      <c r="AH37" s="56" t="b">
        <f>IF(OR(AND($H$6="Medicaid",MID($A37,1,FIND(".",$A37,1)-1)="II"),AND($H$6="CHIP",MID($A37,1,FIND(".",$A37,1)-1)="I")),TRUE,FALSE)</f>
        <v>0</v>
      </c>
      <c r="AP37" s="69" t="str">
        <f>IF(AO37=1,1,"")</f>
        <v/>
      </c>
      <c r="AX37" s="5">
        <v>0</v>
      </c>
    </row>
    <row r="38" spans="1:50" ht="15.75" thickBot="1" x14ac:dyDescent="0.3">
      <c r="A38" s="450"/>
      <c r="B38" s="451"/>
      <c r="C38" s="452" t="s">
        <v>64</v>
      </c>
      <c r="D38" s="442"/>
      <c r="E38" s="443"/>
      <c r="F38" s="444"/>
      <c r="G38" s="444"/>
      <c r="H38" s="445"/>
      <c r="I38" s="74"/>
      <c r="J38" s="74"/>
      <c r="K38" s="74"/>
      <c r="L38" s="87"/>
      <c r="M38" s="87"/>
      <c r="R38" s="116"/>
      <c r="S38" s="116"/>
      <c r="T38" s="116"/>
      <c r="U38" s="126"/>
      <c r="AH38" s="68"/>
    </row>
    <row r="39" spans="1:50" ht="43.5" customHeight="1" x14ac:dyDescent="0.25">
      <c r="A39" s="294" t="s">
        <v>1598</v>
      </c>
      <c r="B39" s="295" t="s">
        <v>1599</v>
      </c>
      <c r="C39" s="295" t="s">
        <v>1600</v>
      </c>
      <c r="D39" s="447">
        <v>4</v>
      </c>
      <c r="E39" s="297"/>
      <c r="F39" s="313"/>
      <c r="G39" s="313"/>
      <c r="H39" s="314"/>
      <c r="I39" s="92" t="s">
        <v>168</v>
      </c>
      <c r="J39" s="92" t="s">
        <v>178</v>
      </c>
      <c r="K39" s="92" t="s">
        <v>185</v>
      </c>
      <c r="L39" s="166" t="s">
        <v>190</v>
      </c>
      <c r="M39" s="71"/>
      <c r="N39" s="71"/>
      <c r="O39" s="166" t="s">
        <v>200</v>
      </c>
      <c r="P39" s="71" t="s">
        <v>380</v>
      </c>
      <c r="Q39" s="71" t="b">
        <f t="shared" ref="Q39:Q55" si="26">IF(OR(AND($C$2="Base contract",$C$3="No, section requirements must be reviewed", $AF39=FALSE,$AG39=FALSE),AND($C$2="Contract amendment",$C$3="No, section requirements must be reviewed",$AF39=FALSE,$AG39=FALSE)),"MUNN")</f>
        <v>0</v>
      </c>
      <c r="R39" s="64"/>
      <c r="S39" s="64"/>
      <c r="T39" s="64"/>
      <c r="U39" s="97">
        <f>IF(OR($E$38="N/A",AND(AX39=0,'Cover Sheet'!$B$29="Streamlined Review"),AND(E39="Met",F39&lt;&gt;""),AND(E39="Not met",G39&lt;&gt;""),AND(E39="Unsure",G39&lt;&gt;""),AND(E39="N/A",H39&lt;&gt;""),AND(Y39=TRUE)),1,0)</f>
        <v>0</v>
      </c>
      <c r="X39" s="126" t="b">
        <f>IF(OR(Y39=TRUE,V39=TRUE,AM39=TRUE),TRUE,FALSE)</f>
        <v>0</v>
      </c>
      <c r="Y39" s="126" t="b">
        <f>IF(SUM(Z39:AE39)&lt;1,TRUE,FALSE)</f>
        <v>0</v>
      </c>
      <c r="Z39" s="126">
        <f>IF($Z$2=I39,1,0)</f>
        <v>1</v>
      </c>
      <c r="AA39" s="126">
        <f>IF($AA$2=J39,1,0)</f>
        <v>0</v>
      </c>
      <c r="AB39" s="126">
        <f>IF($AB$2=K39,1,0)</f>
        <v>0</v>
      </c>
      <c r="AC39" s="126">
        <f>IF($AC$2=L39,1,0)</f>
        <v>0</v>
      </c>
      <c r="AD39" s="126">
        <f>IF($AD$2=M39,1,0)</f>
        <v>0</v>
      </c>
      <c r="AE39" s="126">
        <f>IF($AE$2=O39,1,0)</f>
        <v>0</v>
      </c>
      <c r="AF39" s="53" t="b">
        <f t="shared" ref="AF39:AF55" si="27">IF($H$1&lt;&gt;0,IF($H$1&lt;&gt;I39,IF($H$1&lt;&gt;J39,IF($H$1&lt;&gt;K39,IF($H$1&lt;&gt;L39,IF($H$1&lt;&gt;M39,IF($H$1&lt;&gt;N39,IF($H$1&lt;&gt;O39,TRUE,FALSE))))))))</f>
        <v>0</v>
      </c>
      <c r="AG39" s="54" t="b">
        <f t="shared" ref="AG39:AG55" si="28">IF(AH39=TRUE,TRUE,FALSE)</f>
        <v>0</v>
      </c>
      <c r="AH39" s="56" t="b">
        <f t="shared" ref="AH39:AH55" si="29">IF(OR(AND($H$6="Medicaid",MID($A39,1,FIND(".",$A39,1)-1)="II"),AND($H$6="CHIP",MID($A39,1,FIND(".",$A39,1)-1)="I")),TRUE,FALSE)</f>
        <v>0</v>
      </c>
      <c r="AP39" s="69" t="str">
        <f t="shared" ref="AP39:AP55" si="30">IF(AO39=1,1,"")</f>
        <v/>
      </c>
      <c r="AX39" s="5">
        <v>0</v>
      </c>
    </row>
    <row r="40" spans="1:50" ht="68.25" customHeight="1" x14ac:dyDescent="0.25">
      <c r="A40" s="294" t="s">
        <v>1601</v>
      </c>
      <c r="B40" s="295" t="s">
        <v>1602</v>
      </c>
      <c r="C40" s="295" t="s">
        <v>1603</v>
      </c>
      <c r="D40" s="446"/>
      <c r="E40" s="297"/>
      <c r="F40" s="297"/>
      <c r="G40" s="297"/>
      <c r="H40" s="214"/>
      <c r="I40" s="92" t="s">
        <v>168</v>
      </c>
      <c r="J40" s="92" t="s">
        <v>178</v>
      </c>
      <c r="K40" s="92" t="s">
        <v>185</v>
      </c>
      <c r="L40" s="71" t="s">
        <v>190</v>
      </c>
      <c r="M40" s="71"/>
      <c r="N40" s="71"/>
      <c r="O40" s="71"/>
      <c r="P40" s="71" t="s">
        <v>380</v>
      </c>
      <c r="Q40" s="71" t="b">
        <f t="shared" si="26"/>
        <v>0</v>
      </c>
      <c r="R40" s="64">
        <v>42917</v>
      </c>
      <c r="S40" s="64"/>
      <c r="T40" s="64"/>
      <c r="U40" s="97">
        <f>IF(OR($E$38="N/A",AND(AX40=0,'Cover Sheet'!$B$29="Streamlined Review"),AND(E40="Met",F40&lt;&gt;""),AND(E40="Not met",G40&lt;&gt;""),AND(E40="Unsure",G40&lt;&gt;""),AND(E40="N/A",H40&lt;&gt;""),AND(Y40=TRUE)),1,0)</f>
        <v>0</v>
      </c>
      <c r="X40" s="126" t="b">
        <f t="shared" ref="X40:X55" si="31">IF(OR(Y40=TRUE,V40=TRUE,AM40=TRUE),TRUE,FALSE)</f>
        <v>0</v>
      </c>
      <c r="Y40" s="126" t="b">
        <f t="shared" ref="Y40:Y55" si="32">IF(SUM(Z40:AE40)&lt;1,TRUE,FALSE)</f>
        <v>0</v>
      </c>
      <c r="Z40" s="126">
        <f t="shared" ref="Z40:Z55" si="33">IF($Z$2=I40,1,0)</f>
        <v>1</v>
      </c>
      <c r="AA40" s="126">
        <f t="shared" ref="AA40:AA55" si="34">IF($AA$2=J40,1,0)</f>
        <v>0</v>
      </c>
      <c r="AB40" s="126">
        <f t="shared" ref="AB40:AB55" si="35">IF($AB$2=K40,1,0)</f>
        <v>0</v>
      </c>
      <c r="AC40" s="126">
        <f t="shared" ref="AC40:AC55" si="36">IF($AC$2=L40,1,0)</f>
        <v>0</v>
      </c>
      <c r="AD40" s="126">
        <f t="shared" ref="AD40:AD55" si="37">IF($AD$2=M40,1,0)</f>
        <v>0</v>
      </c>
      <c r="AE40" s="126">
        <f t="shared" ref="AE40:AE55" si="38">IF($AE$2=O40,1,0)</f>
        <v>0</v>
      </c>
      <c r="AF40" s="53" t="b">
        <f t="shared" si="27"/>
        <v>0</v>
      </c>
      <c r="AG40" s="54" t="b">
        <f t="shared" si="28"/>
        <v>0</v>
      </c>
      <c r="AH40" s="56" t="b">
        <f t="shared" si="29"/>
        <v>0</v>
      </c>
      <c r="AP40" s="69" t="str">
        <f t="shared" si="30"/>
        <v/>
      </c>
      <c r="AX40" s="5">
        <v>0</v>
      </c>
    </row>
    <row r="41" spans="1:50" ht="51" x14ac:dyDescent="0.25">
      <c r="A41" s="294" t="s">
        <v>1604</v>
      </c>
      <c r="B41" s="295" t="s">
        <v>1605</v>
      </c>
      <c r="C41" s="295" t="s">
        <v>1606</v>
      </c>
      <c r="D41" s="447">
        <v>4</v>
      </c>
      <c r="E41" s="297"/>
      <c r="F41" s="297"/>
      <c r="G41" s="297"/>
      <c r="H41" s="214"/>
      <c r="I41" s="92" t="s">
        <v>168</v>
      </c>
      <c r="J41" s="92" t="s">
        <v>178</v>
      </c>
      <c r="K41" s="92" t="s">
        <v>185</v>
      </c>
      <c r="L41" s="166" t="s">
        <v>190</v>
      </c>
      <c r="M41" s="71"/>
      <c r="N41" s="71"/>
      <c r="O41" s="166" t="s">
        <v>200</v>
      </c>
      <c r="P41" s="71" t="s">
        <v>380</v>
      </c>
      <c r="Q41" s="71" t="b">
        <f t="shared" si="26"/>
        <v>0</v>
      </c>
      <c r="R41" s="64"/>
      <c r="S41" s="64"/>
      <c r="T41" s="64"/>
      <c r="U41" s="97">
        <f>IF(OR($E$38="N/A",AND(AX41=0,'Cover Sheet'!$B$29="Streamlined Review"),AND(E41="Met",F41&lt;&gt;""),AND(E41="Not met",G41&lt;&gt;""),AND(E41="Unsure",G41&lt;&gt;""),AND(E41="N/A",H41&lt;&gt;""),AND(Y41=TRUE)),1,0)</f>
        <v>0</v>
      </c>
      <c r="X41" s="126" t="b">
        <f t="shared" si="31"/>
        <v>0</v>
      </c>
      <c r="Y41" s="126" t="b">
        <f t="shared" si="32"/>
        <v>0</v>
      </c>
      <c r="Z41" s="126">
        <f t="shared" si="33"/>
        <v>1</v>
      </c>
      <c r="AA41" s="126">
        <f t="shared" si="34"/>
        <v>0</v>
      </c>
      <c r="AB41" s="126">
        <f t="shared" si="35"/>
        <v>0</v>
      </c>
      <c r="AC41" s="126">
        <f t="shared" si="36"/>
        <v>0</v>
      </c>
      <c r="AD41" s="126">
        <f t="shared" si="37"/>
        <v>0</v>
      </c>
      <c r="AE41" s="126">
        <f t="shared" si="38"/>
        <v>0</v>
      </c>
      <c r="AF41" s="53" t="b">
        <f t="shared" si="27"/>
        <v>0</v>
      </c>
      <c r="AG41" s="54" t="b">
        <f t="shared" si="28"/>
        <v>0</v>
      </c>
      <c r="AH41" s="56" t="b">
        <f t="shared" si="29"/>
        <v>0</v>
      </c>
      <c r="AP41" s="69" t="str">
        <f t="shared" si="30"/>
        <v/>
      </c>
      <c r="AX41" s="5">
        <v>0</v>
      </c>
    </row>
    <row r="42" spans="1:50" ht="31.5" customHeight="1" x14ac:dyDescent="0.25">
      <c r="A42" s="294" t="s">
        <v>1607</v>
      </c>
      <c r="B42" s="295" t="s">
        <v>1608</v>
      </c>
      <c r="C42" s="295" t="s">
        <v>1609</v>
      </c>
      <c r="D42" s="447">
        <v>4</v>
      </c>
      <c r="E42" s="297"/>
      <c r="F42" s="297"/>
      <c r="G42" s="297"/>
      <c r="H42" s="214"/>
      <c r="I42" s="92" t="s">
        <v>168</v>
      </c>
      <c r="J42" s="92" t="s">
        <v>178</v>
      </c>
      <c r="K42" s="92" t="s">
        <v>185</v>
      </c>
      <c r="L42" s="166" t="s">
        <v>190</v>
      </c>
      <c r="M42" s="71"/>
      <c r="N42" s="71"/>
      <c r="O42" s="166" t="s">
        <v>200</v>
      </c>
      <c r="P42" s="71" t="s">
        <v>380</v>
      </c>
      <c r="Q42" s="71" t="b">
        <f t="shared" si="26"/>
        <v>0</v>
      </c>
      <c r="R42" s="64"/>
      <c r="S42" s="64"/>
      <c r="T42" s="64"/>
      <c r="U42" s="97">
        <f>IF(OR($E$38="N/A",AND(AX42=0,'Cover Sheet'!$B$29="Streamlined Review"),AND(E42="Met",F42&lt;&gt;""),AND(E42="Not met",G42&lt;&gt;""),AND(E42="Unsure",G42&lt;&gt;""),AND(E42="N/A",H42&lt;&gt;""),AND(Y42=TRUE)),1,0)</f>
        <v>0</v>
      </c>
      <c r="X42" s="126" t="b">
        <f t="shared" si="31"/>
        <v>0</v>
      </c>
      <c r="Y42" s="126" t="b">
        <f t="shared" si="32"/>
        <v>0</v>
      </c>
      <c r="Z42" s="126">
        <f t="shared" si="33"/>
        <v>1</v>
      </c>
      <c r="AA42" s="126">
        <f t="shared" si="34"/>
        <v>0</v>
      </c>
      <c r="AB42" s="126">
        <f t="shared" si="35"/>
        <v>0</v>
      </c>
      <c r="AC42" s="126">
        <f t="shared" si="36"/>
        <v>0</v>
      </c>
      <c r="AD42" s="126">
        <f t="shared" si="37"/>
        <v>0</v>
      </c>
      <c r="AE42" s="126">
        <f t="shared" si="38"/>
        <v>0</v>
      </c>
      <c r="AF42" s="53" t="b">
        <f t="shared" si="27"/>
        <v>0</v>
      </c>
      <c r="AG42" s="54" t="b">
        <f t="shared" si="28"/>
        <v>0</v>
      </c>
      <c r="AH42" s="56" t="b">
        <f t="shared" si="29"/>
        <v>0</v>
      </c>
      <c r="AP42" s="69" t="str">
        <f t="shared" si="30"/>
        <v/>
      </c>
      <c r="AX42" s="5">
        <v>0</v>
      </c>
    </row>
    <row r="43" spans="1:50" ht="44.25" customHeight="1" x14ac:dyDescent="0.25">
      <c r="A43" s="294" t="s">
        <v>1610</v>
      </c>
      <c r="B43" s="295" t="s">
        <v>1611</v>
      </c>
      <c r="C43" s="295" t="s">
        <v>1612</v>
      </c>
      <c r="D43" s="446"/>
      <c r="E43" s="297"/>
      <c r="F43" s="297"/>
      <c r="G43" s="297"/>
      <c r="H43" s="214"/>
      <c r="I43" s="92" t="s">
        <v>168</v>
      </c>
      <c r="J43" s="92" t="s">
        <v>178</v>
      </c>
      <c r="K43" s="92" t="s">
        <v>185</v>
      </c>
      <c r="L43" s="166" t="s">
        <v>190</v>
      </c>
      <c r="M43" s="71"/>
      <c r="N43" s="71"/>
      <c r="O43" s="71"/>
      <c r="P43" s="71" t="s">
        <v>380</v>
      </c>
      <c r="Q43" s="71" t="b">
        <f t="shared" si="26"/>
        <v>0</v>
      </c>
      <c r="R43" s="64"/>
      <c r="S43" s="64"/>
      <c r="T43" s="64"/>
      <c r="U43" s="97">
        <f>IF(OR($E$38="N/A",AND(AX43=0,'Cover Sheet'!$B$29="Streamlined Review"),AND(E43="Met",F43&lt;&gt;""),AND(E43="Not met",G43&lt;&gt;""),AND(E43="Unsure",G43&lt;&gt;""),AND(E43="N/A",H43&lt;&gt;""),AND(Y43=TRUE)),1,0)</f>
        <v>0</v>
      </c>
      <c r="X43" s="126" t="b">
        <f t="shared" si="31"/>
        <v>0</v>
      </c>
      <c r="Y43" s="126" t="b">
        <f t="shared" si="32"/>
        <v>0</v>
      </c>
      <c r="Z43" s="126">
        <f t="shared" si="33"/>
        <v>1</v>
      </c>
      <c r="AA43" s="126">
        <f t="shared" si="34"/>
        <v>0</v>
      </c>
      <c r="AB43" s="126">
        <f t="shared" si="35"/>
        <v>0</v>
      </c>
      <c r="AC43" s="126">
        <f t="shared" si="36"/>
        <v>0</v>
      </c>
      <c r="AD43" s="126">
        <f t="shared" si="37"/>
        <v>0</v>
      </c>
      <c r="AE43" s="126">
        <f t="shared" si="38"/>
        <v>0</v>
      </c>
      <c r="AF43" s="53" t="b">
        <f t="shared" si="27"/>
        <v>0</v>
      </c>
      <c r="AG43" s="54" t="b">
        <f t="shared" si="28"/>
        <v>0</v>
      </c>
      <c r="AH43" s="56" t="b">
        <f t="shared" si="29"/>
        <v>0</v>
      </c>
      <c r="AP43" s="69" t="str">
        <f t="shared" si="30"/>
        <v/>
      </c>
      <c r="AX43" s="5">
        <v>0</v>
      </c>
    </row>
    <row r="44" spans="1:50" ht="45" customHeight="1" x14ac:dyDescent="0.25">
      <c r="A44" s="294" t="s">
        <v>1613</v>
      </c>
      <c r="B44" s="295" t="s">
        <v>1614</v>
      </c>
      <c r="C44" s="295" t="s">
        <v>1615</v>
      </c>
      <c r="D44" s="446"/>
      <c r="E44" s="297"/>
      <c r="F44" s="297"/>
      <c r="G44" s="297"/>
      <c r="H44" s="214"/>
      <c r="I44" s="92" t="s">
        <v>168</v>
      </c>
      <c r="J44" s="92" t="s">
        <v>178</v>
      </c>
      <c r="K44" s="92" t="s">
        <v>185</v>
      </c>
      <c r="L44" s="71" t="s">
        <v>190</v>
      </c>
      <c r="M44" s="71"/>
      <c r="N44" s="71"/>
      <c r="O44" s="71"/>
      <c r="P44" s="71" t="s">
        <v>380</v>
      </c>
      <c r="Q44" s="71" t="b">
        <f t="shared" si="26"/>
        <v>0</v>
      </c>
      <c r="R44" s="64">
        <v>42917</v>
      </c>
      <c r="S44" s="64"/>
      <c r="T44" s="64"/>
      <c r="U44" s="97">
        <f>IF(OR($E$38="N/A",AND(AX44=0,'Cover Sheet'!$B$29="Streamlined Review"),AND(E44="Met",F44&lt;&gt;""),AND(E44="Not met",G44&lt;&gt;""),AND(E44="Unsure",G44&lt;&gt;""),AND(E44="N/A",H44&lt;&gt;""),AND(Y44=TRUE)),1,0)</f>
        <v>0</v>
      </c>
      <c r="X44" s="126" t="b">
        <f t="shared" si="31"/>
        <v>0</v>
      </c>
      <c r="Y44" s="126" t="b">
        <f t="shared" si="32"/>
        <v>0</v>
      </c>
      <c r="Z44" s="126">
        <f t="shared" si="33"/>
        <v>1</v>
      </c>
      <c r="AA44" s="126">
        <f t="shared" si="34"/>
        <v>0</v>
      </c>
      <c r="AB44" s="126">
        <f t="shared" si="35"/>
        <v>0</v>
      </c>
      <c r="AC44" s="126">
        <f t="shared" si="36"/>
        <v>0</v>
      </c>
      <c r="AD44" s="126">
        <f t="shared" si="37"/>
        <v>0</v>
      </c>
      <c r="AE44" s="126">
        <f t="shared" si="38"/>
        <v>0</v>
      </c>
      <c r="AF44" s="53" t="b">
        <f t="shared" si="27"/>
        <v>0</v>
      </c>
      <c r="AG44" s="54" t="b">
        <f t="shared" si="28"/>
        <v>0</v>
      </c>
      <c r="AH44" s="56" t="b">
        <f t="shared" si="29"/>
        <v>0</v>
      </c>
      <c r="AO44" s="69">
        <v>1</v>
      </c>
      <c r="AP44" s="69">
        <f t="shared" si="30"/>
        <v>1</v>
      </c>
      <c r="AX44" s="5">
        <v>0</v>
      </c>
    </row>
    <row r="45" spans="1:50" ht="57.75" customHeight="1" x14ac:dyDescent="0.25">
      <c r="A45" s="294" t="s">
        <v>1616</v>
      </c>
      <c r="B45" s="295" t="s">
        <v>1614</v>
      </c>
      <c r="C45" s="295" t="s">
        <v>1617</v>
      </c>
      <c r="D45" s="446"/>
      <c r="E45" s="297"/>
      <c r="F45" s="297"/>
      <c r="G45" s="297"/>
      <c r="H45" s="214"/>
      <c r="I45" s="92" t="s">
        <v>168</v>
      </c>
      <c r="J45" s="92" t="s">
        <v>178</v>
      </c>
      <c r="K45" s="92" t="s">
        <v>185</v>
      </c>
      <c r="L45" s="71" t="s">
        <v>190</v>
      </c>
      <c r="M45" s="71"/>
      <c r="N45" s="71"/>
      <c r="O45" s="71"/>
      <c r="P45" s="71" t="s">
        <v>380</v>
      </c>
      <c r="Q45" s="71" t="b">
        <f t="shared" si="26"/>
        <v>0</v>
      </c>
      <c r="R45" s="64">
        <v>42917</v>
      </c>
      <c r="S45" s="64"/>
      <c r="T45" s="64"/>
      <c r="U45" s="97">
        <f>IF(OR($E$38="N/A",AND(AX45=0,'Cover Sheet'!$B$29="Streamlined Review"),AND(E45="Met",F45&lt;&gt;""),AND(E45="Not met",G45&lt;&gt;""),AND(E45="Unsure",G45&lt;&gt;""),AND(E45="N/A",H45&lt;&gt;""),AND(Y45=TRUE)),1,0)</f>
        <v>0</v>
      </c>
      <c r="X45" s="126" t="b">
        <f t="shared" si="31"/>
        <v>0</v>
      </c>
      <c r="Y45" s="126" t="b">
        <f t="shared" si="32"/>
        <v>0</v>
      </c>
      <c r="Z45" s="126">
        <f t="shared" si="33"/>
        <v>1</v>
      </c>
      <c r="AA45" s="126">
        <f t="shared" si="34"/>
        <v>0</v>
      </c>
      <c r="AB45" s="126">
        <f t="shared" si="35"/>
        <v>0</v>
      </c>
      <c r="AC45" s="126">
        <f t="shared" si="36"/>
        <v>0</v>
      </c>
      <c r="AD45" s="126">
        <f t="shared" si="37"/>
        <v>0</v>
      </c>
      <c r="AE45" s="126">
        <f t="shared" si="38"/>
        <v>0</v>
      </c>
      <c r="AF45" s="53" t="b">
        <f t="shared" si="27"/>
        <v>0</v>
      </c>
      <c r="AG45" s="54" t="b">
        <f t="shared" si="28"/>
        <v>0</v>
      </c>
      <c r="AH45" s="56" t="b">
        <f t="shared" si="29"/>
        <v>0</v>
      </c>
      <c r="AO45" s="69">
        <v>1</v>
      </c>
      <c r="AP45" s="69">
        <f t="shared" si="30"/>
        <v>1</v>
      </c>
      <c r="AX45" s="5">
        <v>0</v>
      </c>
    </row>
    <row r="46" spans="1:50" ht="69" customHeight="1" x14ac:dyDescent="0.25">
      <c r="A46" s="294" t="s">
        <v>1618</v>
      </c>
      <c r="B46" s="295" t="s">
        <v>1619</v>
      </c>
      <c r="C46" s="295" t="s">
        <v>1620</v>
      </c>
      <c r="D46" s="446"/>
      <c r="E46" s="297"/>
      <c r="F46" s="297"/>
      <c r="G46" s="297"/>
      <c r="H46" s="214"/>
      <c r="I46" s="92" t="s">
        <v>168</v>
      </c>
      <c r="J46" s="92" t="s">
        <v>178</v>
      </c>
      <c r="K46" s="92" t="s">
        <v>185</v>
      </c>
      <c r="L46" s="71" t="s">
        <v>190</v>
      </c>
      <c r="M46" s="71"/>
      <c r="N46" s="71"/>
      <c r="O46" s="71"/>
      <c r="P46" s="71" t="s">
        <v>380</v>
      </c>
      <c r="Q46" s="71" t="b">
        <f t="shared" si="26"/>
        <v>0</v>
      </c>
      <c r="R46" s="64">
        <v>42917</v>
      </c>
      <c r="S46" s="64"/>
      <c r="T46" s="64"/>
      <c r="U46" s="97">
        <f>IF(OR($E$38="N/A",AND(AX46=0,'Cover Sheet'!$B$29="Streamlined Review"),AND(E46="Met",F46&lt;&gt;""),AND(E46="Not met",G46&lt;&gt;""),AND(E46="Unsure",G46&lt;&gt;""),AND(E46="N/A",H46&lt;&gt;""),AND(Y46=TRUE)),1,0)</f>
        <v>0</v>
      </c>
      <c r="X46" s="126" t="b">
        <f t="shared" si="31"/>
        <v>0</v>
      </c>
      <c r="Y46" s="126" t="b">
        <f t="shared" si="32"/>
        <v>0</v>
      </c>
      <c r="Z46" s="126">
        <f t="shared" si="33"/>
        <v>1</v>
      </c>
      <c r="AA46" s="126">
        <f t="shared" si="34"/>
        <v>0</v>
      </c>
      <c r="AB46" s="126">
        <f t="shared" si="35"/>
        <v>0</v>
      </c>
      <c r="AC46" s="126">
        <f t="shared" si="36"/>
        <v>0</v>
      </c>
      <c r="AD46" s="126">
        <f t="shared" si="37"/>
        <v>0</v>
      </c>
      <c r="AE46" s="126">
        <f t="shared" si="38"/>
        <v>0</v>
      </c>
      <c r="AF46" s="53" t="b">
        <f t="shared" si="27"/>
        <v>0</v>
      </c>
      <c r="AG46" s="54" t="b">
        <f t="shared" si="28"/>
        <v>0</v>
      </c>
      <c r="AH46" s="56" t="b">
        <f t="shared" si="29"/>
        <v>0</v>
      </c>
      <c r="AO46" s="69">
        <v>1</v>
      </c>
      <c r="AP46" s="69">
        <f t="shared" si="30"/>
        <v>1</v>
      </c>
      <c r="AX46" s="5">
        <v>0</v>
      </c>
    </row>
    <row r="47" spans="1:50" ht="70.5" customHeight="1" x14ac:dyDescent="0.25">
      <c r="A47" s="294" t="s">
        <v>1621</v>
      </c>
      <c r="B47" s="295" t="s">
        <v>1622</v>
      </c>
      <c r="C47" s="295" t="s">
        <v>1623</v>
      </c>
      <c r="D47" s="447">
        <v>4</v>
      </c>
      <c r="E47" s="297"/>
      <c r="F47" s="297"/>
      <c r="G47" s="297"/>
      <c r="H47" s="214"/>
      <c r="I47" s="92" t="s">
        <v>168</v>
      </c>
      <c r="J47" s="92" t="s">
        <v>178</v>
      </c>
      <c r="K47" s="92" t="s">
        <v>185</v>
      </c>
      <c r="L47" s="166" t="s">
        <v>190</v>
      </c>
      <c r="M47" s="71"/>
      <c r="N47" s="71"/>
      <c r="O47" s="166" t="s">
        <v>200</v>
      </c>
      <c r="P47" s="71" t="s">
        <v>380</v>
      </c>
      <c r="Q47" s="71" t="b">
        <f t="shared" si="26"/>
        <v>0</v>
      </c>
      <c r="R47" s="64"/>
      <c r="S47" s="64"/>
      <c r="T47" s="64"/>
      <c r="U47" s="97">
        <f>IF(OR($E$38="N/A",AND(AX47=0,'Cover Sheet'!$B$29="Streamlined Review"),AND(E47="Met",F47&lt;&gt;""),AND(E47="Not met",G47&lt;&gt;""),AND(E47="Unsure",G47&lt;&gt;""),AND(E47="N/A",H47&lt;&gt;""),AND(Y47=TRUE)),1,0)</f>
        <v>0</v>
      </c>
      <c r="X47" s="126" t="b">
        <f t="shared" si="31"/>
        <v>0</v>
      </c>
      <c r="Y47" s="126" t="b">
        <f t="shared" si="32"/>
        <v>0</v>
      </c>
      <c r="Z47" s="126">
        <f t="shared" si="33"/>
        <v>1</v>
      </c>
      <c r="AA47" s="126">
        <f t="shared" si="34"/>
        <v>0</v>
      </c>
      <c r="AB47" s="126">
        <f t="shared" si="35"/>
        <v>0</v>
      </c>
      <c r="AC47" s="126">
        <f t="shared" si="36"/>
        <v>0</v>
      </c>
      <c r="AD47" s="126">
        <f t="shared" si="37"/>
        <v>0</v>
      </c>
      <c r="AE47" s="126">
        <f t="shared" si="38"/>
        <v>0</v>
      </c>
      <c r="AF47" s="53" t="b">
        <f t="shared" si="27"/>
        <v>0</v>
      </c>
      <c r="AG47" s="54" t="b">
        <f t="shared" si="28"/>
        <v>0</v>
      </c>
      <c r="AH47" s="56" t="b">
        <f t="shared" si="29"/>
        <v>0</v>
      </c>
      <c r="AP47" s="69" t="str">
        <f t="shared" si="30"/>
        <v/>
      </c>
      <c r="AX47" s="5">
        <v>0</v>
      </c>
    </row>
    <row r="48" spans="1:50" ht="32.25" customHeight="1" x14ac:dyDescent="0.25">
      <c r="A48" s="294" t="s">
        <v>1624</v>
      </c>
      <c r="B48" s="295" t="s">
        <v>1625</v>
      </c>
      <c r="C48" s="295" t="s">
        <v>1626</v>
      </c>
      <c r="D48" s="446"/>
      <c r="E48" s="297"/>
      <c r="F48" s="297"/>
      <c r="G48" s="297"/>
      <c r="H48" s="214"/>
      <c r="I48" s="92" t="s">
        <v>168</v>
      </c>
      <c r="J48" s="92" t="s">
        <v>178</v>
      </c>
      <c r="K48" s="92" t="s">
        <v>185</v>
      </c>
      <c r="L48" s="166" t="s">
        <v>190</v>
      </c>
      <c r="M48" s="71"/>
      <c r="N48" s="71"/>
      <c r="O48" s="71"/>
      <c r="P48" s="71" t="s">
        <v>380</v>
      </c>
      <c r="Q48" s="71" t="b">
        <f t="shared" si="26"/>
        <v>0</v>
      </c>
      <c r="R48" s="64"/>
      <c r="S48" s="64"/>
      <c r="T48" s="64"/>
      <c r="U48" s="97">
        <f>IF(OR($E$38="N/A",AND(AX48=0,'Cover Sheet'!$B$29="Streamlined Review"),AND(E48="Met",F48&lt;&gt;""),AND(E48="Not met",G48&lt;&gt;""),AND(E48="Unsure",G48&lt;&gt;""),AND(E48="N/A",H48&lt;&gt;""),AND(Y48=TRUE)),1,0)</f>
        <v>0</v>
      </c>
      <c r="X48" s="126" t="b">
        <f t="shared" si="31"/>
        <v>0</v>
      </c>
      <c r="Y48" s="126" t="b">
        <f t="shared" si="32"/>
        <v>0</v>
      </c>
      <c r="Z48" s="126">
        <f t="shared" si="33"/>
        <v>1</v>
      </c>
      <c r="AA48" s="126">
        <f t="shared" si="34"/>
        <v>0</v>
      </c>
      <c r="AB48" s="126">
        <f t="shared" si="35"/>
        <v>0</v>
      </c>
      <c r="AC48" s="126">
        <f t="shared" si="36"/>
        <v>0</v>
      </c>
      <c r="AD48" s="126">
        <f t="shared" si="37"/>
        <v>0</v>
      </c>
      <c r="AE48" s="126">
        <f t="shared" si="38"/>
        <v>0</v>
      </c>
      <c r="AF48" s="53" t="b">
        <f t="shared" si="27"/>
        <v>0</v>
      </c>
      <c r="AG48" s="54" t="b">
        <f t="shared" si="28"/>
        <v>0</v>
      </c>
      <c r="AH48" s="56" t="b">
        <f t="shared" si="29"/>
        <v>0</v>
      </c>
      <c r="AP48" s="69" t="str">
        <f t="shared" si="30"/>
        <v/>
      </c>
      <c r="AX48" s="5">
        <v>0</v>
      </c>
    </row>
    <row r="49" spans="1:51" ht="31.5" customHeight="1" x14ac:dyDescent="0.25">
      <c r="A49" s="294" t="s">
        <v>1627</v>
      </c>
      <c r="B49" s="295" t="s">
        <v>1628</v>
      </c>
      <c r="C49" s="295" t="s">
        <v>1629</v>
      </c>
      <c r="D49" s="446"/>
      <c r="E49" s="297"/>
      <c r="F49" s="297"/>
      <c r="G49" s="297"/>
      <c r="H49" s="214"/>
      <c r="I49" s="92" t="s">
        <v>168</v>
      </c>
      <c r="J49" s="92" t="s">
        <v>178</v>
      </c>
      <c r="K49" s="92" t="s">
        <v>185</v>
      </c>
      <c r="L49" s="166" t="s">
        <v>190</v>
      </c>
      <c r="M49" s="71"/>
      <c r="N49" s="71"/>
      <c r="O49" s="71"/>
      <c r="P49" s="71" t="s">
        <v>380</v>
      </c>
      <c r="Q49" s="71" t="b">
        <f t="shared" si="26"/>
        <v>0</v>
      </c>
      <c r="R49" s="64"/>
      <c r="S49" s="64"/>
      <c r="T49" s="64"/>
      <c r="U49" s="97">
        <f>IF(OR($E$38="N/A",AND(AX49=0,'Cover Sheet'!$B$29="Streamlined Review"),AND(E49="Met",F49&lt;&gt;""),AND(E49="Not met",G49&lt;&gt;""),AND(E49="Unsure",G49&lt;&gt;""),AND(E49="N/A",H49&lt;&gt;""),AND(Y49=TRUE)),1,0)</f>
        <v>0</v>
      </c>
      <c r="X49" s="126" t="b">
        <f t="shared" si="31"/>
        <v>0</v>
      </c>
      <c r="Y49" s="126" t="b">
        <f t="shared" si="32"/>
        <v>0</v>
      </c>
      <c r="Z49" s="126">
        <f t="shared" si="33"/>
        <v>1</v>
      </c>
      <c r="AA49" s="126">
        <f t="shared" si="34"/>
        <v>0</v>
      </c>
      <c r="AB49" s="126">
        <f t="shared" si="35"/>
        <v>0</v>
      </c>
      <c r="AC49" s="126">
        <f t="shared" si="36"/>
        <v>0</v>
      </c>
      <c r="AD49" s="126">
        <f t="shared" si="37"/>
        <v>0</v>
      </c>
      <c r="AE49" s="126">
        <f t="shared" si="38"/>
        <v>0</v>
      </c>
      <c r="AF49" s="53" t="b">
        <f t="shared" si="27"/>
        <v>0</v>
      </c>
      <c r="AG49" s="54" t="b">
        <f t="shared" si="28"/>
        <v>0</v>
      </c>
      <c r="AH49" s="56" t="b">
        <f t="shared" si="29"/>
        <v>0</v>
      </c>
      <c r="AI49" s="117"/>
      <c r="AP49" s="69" t="str">
        <f t="shared" si="30"/>
        <v/>
      </c>
      <c r="AX49" s="5">
        <v>0</v>
      </c>
    </row>
    <row r="50" spans="1:51" ht="30.75" customHeight="1" x14ac:dyDescent="0.25">
      <c r="A50" s="294" t="s">
        <v>1630</v>
      </c>
      <c r="B50" s="295" t="s">
        <v>1631</v>
      </c>
      <c r="C50" s="295" t="s">
        <v>1632</v>
      </c>
      <c r="D50" s="446"/>
      <c r="E50" s="297"/>
      <c r="F50" s="297"/>
      <c r="G50" s="297"/>
      <c r="H50" s="214"/>
      <c r="I50" s="92" t="s">
        <v>168</v>
      </c>
      <c r="J50" s="92" t="s">
        <v>178</v>
      </c>
      <c r="K50" s="92" t="s">
        <v>185</v>
      </c>
      <c r="L50" s="71" t="s">
        <v>190</v>
      </c>
      <c r="M50" s="71"/>
      <c r="N50" s="71"/>
      <c r="O50" s="71"/>
      <c r="P50" s="71" t="s">
        <v>380</v>
      </c>
      <c r="Q50" s="71" t="b">
        <f t="shared" si="26"/>
        <v>0</v>
      </c>
      <c r="R50" s="64">
        <v>42917</v>
      </c>
      <c r="S50" s="64"/>
      <c r="T50" s="64"/>
      <c r="U50" s="97">
        <f>IF(OR($E$38="N/A",AND(AX50=0,'Cover Sheet'!$B$29="Streamlined Review"),AND(E50="Met",F50&lt;&gt;""),AND(E50="Not met",G50&lt;&gt;""),AND(E50="Unsure",G50&lt;&gt;""),AND(E50="N/A",H50&lt;&gt;""),AND(Y50=TRUE)),1,0)</f>
        <v>0</v>
      </c>
      <c r="X50" s="126" t="b">
        <f t="shared" si="31"/>
        <v>0</v>
      </c>
      <c r="Y50" s="126" t="b">
        <f t="shared" si="32"/>
        <v>0</v>
      </c>
      <c r="Z50" s="126">
        <f t="shared" si="33"/>
        <v>1</v>
      </c>
      <c r="AA50" s="126">
        <f t="shared" si="34"/>
        <v>0</v>
      </c>
      <c r="AB50" s="126">
        <f t="shared" si="35"/>
        <v>0</v>
      </c>
      <c r="AC50" s="126">
        <f t="shared" si="36"/>
        <v>0</v>
      </c>
      <c r="AD50" s="126">
        <f t="shared" si="37"/>
        <v>0</v>
      </c>
      <c r="AE50" s="126">
        <f t="shared" si="38"/>
        <v>0</v>
      </c>
      <c r="AF50" s="53" t="b">
        <f t="shared" si="27"/>
        <v>0</v>
      </c>
      <c r="AG50" s="54" t="b">
        <f t="shared" si="28"/>
        <v>0</v>
      </c>
      <c r="AH50" s="56" t="b">
        <f t="shared" si="29"/>
        <v>0</v>
      </c>
      <c r="AI50" s="117"/>
      <c r="AP50" s="69" t="str">
        <f t="shared" si="30"/>
        <v/>
      </c>
      <c r="AX50" s="5">
        <v>0</v>
      </c>
    </row>
    <row r="51" spans="1:51" ht="33" customHeight="1" x14ac:dyDescent="0.25">
      <c r="A51" s="294" t="s">
        <v>1633</v>
      </c>
      <c r="B51" s="295" t="s">
        <v>1634</v>
      </c>
      <c r="C51" s="295" t="s">
        <v>1635</v>
      </c>
      <c r="D51" s="446"/>
      <c r="E51" s="297"/>
      <c r="F51" s="297"/>
      <c r="G51" s="297"/>
      <c r="H51" s="214"/>
      <c r="I51" s="92" t="s">
        <v>168</v>
      </c>
      <c r="J51" s="92" t="s">
        <v>178</v>
      </c>
      <c r="K51" s="92" t="s">
        <v>185</v>
      </c>
      <c r="L51" s="71" t="s">
        <v>190</v>
      </c>
      <c r="M51" s="71"/>
      <c r="N51" s="71"/>
      <c r="O51" s="71"/>
      <c r="P51" s="71" t="s">
        <v>380</v>
      </c>
      <c r="Q51" s="71" t="b">
        <f t="shared" si="26"/>
        <v>0</v>
      </c>
      <c r="R51" s="64">
        <v>42917</v>
      </c>
      <c r="S51" s="64"/>
      <c r="T51" s="64"/>
      <c r="U51" s="97">
        <f>IF(OR($E$38="N/A",AND(AX51=0,'Cover Sheet'!$B$29="Streamlined Review"),AND(E51="Met",F51&lt;&gt;""),AND(E51="Not met",G51&lt;&gt;""),AND(E51="Unsure",G51&lt;&gt;""),AND(E51="N/A",H51&lt;&gt;""),AND(Y51=TRUE)),1,0)</f>
        <v>0</v>
      </c>
      <c r="X51" s="126" t="b">
        <f t="shared" si="31"/>
        <v>0</v>
      </c>
      <c r="Y51" s="126" t="b">
        <f t="shared" si="32"/>
        <v>0</v>
      </c>
      <c r="Z51" s="126">
        <f t="shared" si="33"/>
        <v>1</v>
      </c>
      <c r="AA51" s="126">
        <f t="shared" si="34"/>
        <v>0</v>
      </c>
      <c r="AB51" s="126">
        <f t="shared" si="35"/>
        <v>0</v>
      </c>
      <c r="AC51" s="126">
        <f t="shared" si="36"/>
        <v>0</v>
      </c>
      <c r="AD51" s="126">
        <f t="shared" si="37"/>
        <v>0</v>
      </c>
      <c r="AE51" s="126">
        <f t="shared" si="38"/>
        <v>0</v>
      </c>
      <c r="AF51" s="53" t="b">
        <f t="shared" si="27"/>
        <v>0</v>
      </c>
      <c r="AG51" s="54" t="b">
        <f t="shared" si="28"/>
        <v>0</v>
      </c>
      <c r="AH51" s="56" t="b">
        <f t="shared" si="29"/>
        <v>0</v>
      </c>
      <c r="AP51" s="69" t="str">
        <f t="shared" si="30"/>
        <v/>
      </c>
      <c r="AX51" s="5">
        <v>0</v>
      </c>
    </row>
    <row r="52" spans="1:51" ht="33" customHeight="1" x14ac:dyDescent="0.25">
      <c r="A52" s="294" t="s">
        <v>1636</v>
      </c>
      <c r="B52" s="295" t="s">
        <v>1637</v>
      </c>
      <c r="C52" s="295" t="s">
        <v>1638</v>
      </c>
      <c r="D52" s="446"/>
      <c r="E52" s="297"/>
      <c r="F52" s="297"/>
      <c r="G52" s="297"/>
      <c r="H52" s="214"/>
      <c r="I52" s="92" t="s">
        <v>168</v>
      </c>
      <c r="J52" s="92" t="s">
        <v>178</v>
      </c>
      <c r="K52" s="92" t="s">
        <v>185</v>
      </c>
      <c r="L52" s="166" t="s">
        <v>190</v>
      </c>
      <c r="M52" s="71"/>
      <c r="N52" s="71"/>
      <c r="O52" s="71"/>
      <c r="P52" s="71" t="s">
        <v>380</v>
      </c>
      <c r="Q52" s="71" t="b">
        <f t="shared" si="26"/>
        <v>0</v>
      </c>
      <c r="R52" s="64"/>
      <c r="S52" s="64"/>
      <c r="T52" s="64"/>
      <c r="U52" s="97">
        <f>IF(OR($E$38="N/A",AND(AX52=0,'Cover Sheet'!$B$29="Streamlined Review"),AND(E52="Met",F52&lt;&gt;""),AND(E52="Not met",G52&lt;&gt;""),AND(E52="Unsure",G52&lt;&gt;""),AND(E52="N/A",H52&lt;&gt;""),AND(Y52=TRUE)),1,0)</f>
        <v>0</v>
      </c>
      <c r="X52" s="126" t="b">
        <f t="shared" si="31"/>
        <v>0</v>
      </c>
      <c r="Y52" s="126" t="b">
        <f t="shared" si="32"/>
        <v>0</v>
      </c>
      <c r="Z52" s="126">
        <f t="shared" si="33"/>
        <v>1</v>
      </c>
      <c r="AA52" s="126">
        <f t="shared" si="34"/>
        <v>0</v>
      </c>
      <c r="AB52" s="126">
        <f t="shared" si="35"/>
        <v>0</v>
      </c>
      <c r="AC52" s="126">
        <f t="shared" si="36"/>
        <v>0</v>
      </c>
      <c r="AD52" s="126">
        <f t="shared" si="37"/>
        <v>0</v>
      </c>
      <c r="AE52" s="126">
        <f t="shared" si="38"/>
        <v>0</v>
      </c>
      <c r="AF52" s="53" t="b">
        <f t="shared" si="27"/>
        <v>0</v>
      </c>
      <c r="AG52" s="54" t="b">
        <f t="shared" si="28"/>
        <v>0</v>
      </c>
      <c r="AH52" s="56" t="b">
        <f t="shared" si="29"/>
        <v>0</v>
      </c>
      <c r="AP52" s="69" t="str">
        <f t="shared" si="30"/>
        <v/>
      </c>
      <c r="AX52" s="5">
        <v>0</v>
      </c>
    </row>
    <row r="53" spans="1:51" ht="31.5" customHeight="1" x14ac:dyDescent="0.25">
      <c r="A53" s="294" t="s">
        <v>1639</v>
      </c>
      <c r="B53" s="295" t="s">
        <v>1640</v>
      </c>
      <c r="C53" s="295" t="s">
        <v>1641</v>
      </c>
      <c r="D53" s="446"/>
      <c r="E53" s="297"/>
      <c r="F53" s="297"/>
      <c r="G53" s="297"/>
      <c r="H53" s="214"/>
      <c r="I53" s="92" t="s">
        <v>168</v>
      </c>
      <c r="J53" s="92" t="s">
        <v>178</v>
      </c>
      <c r="K53" s="92" t="s">
        <v>185</v>
      </c>
      <c r="L53" s="71" t="s">
        <v>190</v>
      </c>
      <c r="M53" s="71"/>
      <c r="N53" s="71"/>
      <c r="O53" s="71"/>
      <c r="P53" s="71" t="s">
        <v>380</v>
      </c>
      <c r="Q53" s="71" t="b">
        <f t="shared" si="26"/>
        <v>0</v>
      </c>
      <c r="R53" s="64">
        <v>42917</v>
      </c>
      <c r="S53" s="64"/>
      <c r="T53" s="64"/>
      <c r="U53" s="97">
        <f>IF(OR($E$38="N/A",AND(AX53=0,'Cover Sheet'!$B$29="Streamlined Review"),AND(E53="Met",F53&lt;&gt;""),AND(E53="Not met",G53&lt;&gt;""),AND(E53="Unsure",G53&lt;&gt;""),AND(E53="N/A",H53&lt;&gt;""),AND(Y53=TRUE)),1,0)</f>
        <v>0</v>
      </c>
      <c r="X53" s="126" t="b">
        <f t="shared" si="31"/>
        <v>0</v>
      </c>
      <c r="Y53" s="126" t="b">
        <f t="shared" si="32"/>
        <v>0</v>
      </c>
      <c r="Z53" s="126">
        <f t="shared" si="33"/>
        <v>1</v>
      </c>
      <c r="AA53" s="126">
        <f t="shared" si="34"/>
        <v>0</v>
      </c>
      <c r="AB53" s="126">
        <f t="shared" si="35"/>
        <v>0</v>
      </c>
      <c r="AC53" s="126">
        <f t="shared" si="36"/>
        <v>0</v>
      </c>
      <c r="AD53" s="126">
        <f t="shared" si="37"/>
        <v>0</v>
      </c>
      <c r="AE53" s="126">
        <f t="shared" si="38"/>
        <v>0</v>
      </c>
      <c r="AF53" s="53" t="b">
        <f t="shared" si="27"/>
        <v>0</v>
      </c>
      <c r="AG53" s="54" t="b">
        <f t="shared" si="28"/>
        <v>0</v>
      </c>
      <c r="AH53" s="56" t="b">
        <f t="shared" si="29"/>
        <v>0</v>
      </c>
      <c r="AP53" s="69" t="str">
        <f t="shared" si="30"/>
        <v/>
      </c>
      <c r="AX53" s="5">
        <v>0</v>
      </c>
    </row>
    <row r="54" spans="1:51" ht="45" customHeight="1" x14ac:dyDescent="0.25">
      <c r="A54" s="294" t="s">
        <v>1642</v>
      </c>
      <c r="B54" s="295" t="s">
        <v>1643</v>
      </c>
      <c r="C54" s="295" t="s">
        <v>1644</v>
      </c>
      <c r="D54" s="446"/>
      <c r="E54" s="297"/>
      <c r="F54" s="297"/>
      <c r="G54" s="297"/>
      <c r="H54" s="214"/>
      <c r="I54" s="92" t="s">
        <v>168</v>
      </c>
      <c r="J54" s="92" t="s">
        <v>178</v>
      </c>
      <c r="K54" s="92" t="s">
        <v>185</v>
      </c>
      <c r="L54" s="71" t="s">
        <v>190</v>
      </c>
      <c r="M54" s="71"/>
      <c r="N54" s="71"/>
      <c r="O54" s="71"/>
      <c r="P54" s="71" t="s">
        <v>380</v>
      </c>
      <c r="Q54" s="71" t="b">
        <f t="shared" si="26"/>
        <v>0</v>
      </c>
      <c r="R54" s="64"/>
      <c r="S54" s="64"/>
      <c r="T54" s="64"/>
      <c r="U54" s="97">
        <f>IF(OR($E$38="N/A",AND(AX54=0,'Cover Sheet'!$B$29="Streamlined Review"),AND(E54="Met",F54&lt;&gt;""),AND(E54="Not met",G54&lt;&gt;""),AND(E54="Unsure",G54&lt;&gt;""),AND(E54="N/A",H54&lt;&gt;""),AND(Y54=TRUE),X54=TRUE),1,0)</f>
        <v>0</v>
      </c>
      <c r="X54" s="126" t="b">
        <f>IF(OR(Y54=TRUE,V54=TRUE,AM54=TRUE,AY54=0),TRUE,FALSE)</f>
        <v>0</v>
      </c>
      <c r="Y54" s="126" t="b">
        <f t="shared" si="32"/>
        <v>0</v>
      </c>
      <c r="Z54" s="126">
        <f t="shared" si="33"/>
        <v>1</v>
      </c>
      <c r="AA54" s="126">
        <f t="shared" si="34"/>
        <v>0</v>
      </c>
      <c r="AB54" s="126">
        <f t="shared" si="35"/>
        <v>0</v>
      </c>
      <c r="AC54" s="126">
        <f t="shared" si="36"/>
        <v>0</v>
      </c>
      <c r="AD54" s="126">
        <f t="shared" si="37"/>
        <v>0</v>
      </c>
      <c r="AE54" s="126">
        <f t="shared" si="38"/>
        <v>0</v>
      </c>
      <c r="AF54" s="53" t="b">
        <f t="shared" si="27"/>
        <v>0</v>
      </c>
      <c r="AG54" s="54" t="b">
        <f t="shared" si="28"/>
        <v>0</v>
      </c>
      <c r="AH54" s="56" t="b">
        <f t="shared" si="29"/>
        <v>0</v>
      </c>
      <c r="AO54" s="69">
        <v>1</v>
      </c>
      <c r="AP54" s="69">
        <f t="shared" si="30"/>
        <v>1</v>
      </c>
      <c r="AX54" s="5">
        <v>0</v>
      </c>
      <c r="AY54">
        <f>IF('Cover Sheet'!$B$25&gt;=R54,1,0)</f>
        <v>1</v>
      </c>
    </row>
    <row r="55" spans="1:51" ht="39" customHeight="1" thickBot="1" x14ac:dyDescent="0.3">
      <c r="A55" s="308" t="s">
        <v>1645</v>
      </c>
      <c r="B55" s="309" t="s">
        <v>1646</v>
      </c>
      <c r="C55" s="309" t="s">
        <v>1647</v>
      </c>
      <c r="D55" s="447">
        <v>4</v>
      </c>
      <c r="E55" s="311"/>
      <c r="F55" s="311"/>
      <c r="G55" s="311"/>
      <c r="H55" s="312"/>
      <c r="I55" s="92" t="s">
        <v>168</v>
      </c>
      <c r="J55" s="92" t="s">
        <v>178</v>
      </c>
      <c r="K55" s="92" t="s">
        <v>185</v>
      </c>
      <c r="L55" s="71" t="s">
        <v>190</v>
      </c>
      <c r="M55" s="71"/>
      <c r="N55" s="71"/>
      <c r="O55" s="71" t="s">
        <v>200</v>
      </c>
      <c r="P55" s="71" t="s">
        <v>380</v>
      </c>
      <c r="Q55" s="71" t="b">
        <f t="shared" si="26"/>
        <v>0</v>
      </c>
      <c r="R55" s="64">
        <v>42917</v>
      </c>
      <c r="S55" s="64"/>
      <c r="T55" s="64"/>
      <c r="U55" s="97">
        <f>IF(OR($E$38="N/A",AND(AX55=0,'Cover Sheet'!$B$29="Streamlined Review"),AND(E55="Met",F55&lt;&gt;""),AND(E55="Not met",G55&lt;&gt;""),AND(E55="Unsure",G55&lt;&gt;""),AND(E55="N/A",H55&lt;&gt;""),AND(Y55=TRUE)),1,0)</f>
        <v>0</v>
      </c>
      <c r="X55" s="126" t="b">
        <f t="shared" si="31"/>
        <v>0</v>
      </c>
      <c r="Y55" s="126" t="b">
        <f t="shared" si="32"/>
        <v>0</v>
      </c>
      <c r="Z55" s="126">
        <f t="shared" si="33"/>
        <v>1</v>
      </c>
      <c r="AA55" s="126">
        <f t="shared" si="34"/>
        <v>0</v>
      </c>
      <c r="AB55" s="126">
        <f t="shared" si="35"/>
        <v>0</v>
      </c>
      <c r="AC55" s="126">
        <f t="shared" si="36"/>
        <v>0</v>
      </c>
      <c r="AD55" s="126">
        <f t="shared" si="37"/>
        <v>0</v>
      </c>
      <c r="AE55" s="126">
        <f t="shared" si="38"/>
        <v>0</v>
      </c>
      <c r="AF55" s="53" t="b">
        <f t="shared" si="27"/>
        <v>0</v>
      </c>
      <c r="AG55" s="54" t="b">
        <f t="shared" si="28"/>
        <v>0</v>
      </c>
      <c r="AH55" s="56" t="b">
        <f t="shared" si="29"/>
        <v>0</v>
      </c>
      <c r="AP55" s="69" t="str">
        <f t="shared" si="30"/>
        <v/>
      </c>
      <c r="AX55" s="5">
        <v>0</v>
      </c>
    </row>
    <row r="56" spans="1:51" ht="15.75" thickBot="1" x14ac:dyDescent="0.3">
      <c r="A56" s="450"/>
      <c r="B56" s="451"/>
      <c r="C56" s="452" t="s">
        <v>65</v>
      </c>
      <c r="D56" s="442"/>
      <c r="E56" s="443"/>
      <c r="F56" s="444"/>
      <c r="G56" s="444"/>
      <c r="H56" s="445"/>
      <c r="I56" s="74"/>
      <c r="J56" s="74"/>
      <c r="K56" s="74"/>
      <c r="L56" s="87"/>
      <c r="M56" s="87"/>
      <c r="R56" s="116"/>
      <c r="S56" s="116"/>
      <c r="T56" s="116"/>
      <c r="U56" s="126"/>
      <c r="AH56" s="68"/>
    </row>
    <row r="57" spans="1:51" ht="56.25" customHeight="1" thickBot="1" x14ac:dyDescent="0.3">
      <c r="A57" s="308" t="s">
        <v>1648</v>
      </c>
      <c r="B57" s="309" t="s">
        <v>1649</v>
      </c>
      <c r="C57" s="309" t="s">
        <v>1650</v>
      </c>
      <c r="D57" s="499"/>
      <c r="E57" s="311"/>
      <c r="F57" s="315"/>
      <c r="G57" s="315"/>
      <c r="H57" s="350"/>
      <c r="I57" s="92" t="s">
        <v>168</v>
      </c>
      <c r="J57" s="92" t="s">
        <v>178</v>
      </c>
      <c r="K57" s="92" t="s">
        <v>185</v>
      </c>
      <c r="L57" s="71" t="s">
        <v>190</v>
      </c>
      <c r="M57" s="71"/>
      <c r="N57" s="71"/>
      <c r="O57" s="71"/>
      <c r="P57" s="71" t="s">
        <v>380</v>
      </c>
      <c r="Q57" s="71" t="b">
        <f>IF(OR(AND($C$2="Base contract",$C$3="No, section requirements must be reviewed", $AF57=FALSE,$AG57=FALSE),AND($C$2="Contract amendment",$C$3="No, section requirements must be reviewed",$AF57=FALSE,$AG57=FALSE)),"MUNN")</f>
        <v>0</v>
      </c>
      <c r="R57" s="64">
        <v>43282</v>
      </c>
      <c r="S57" s="64"/>
      <c r="T57" s="64"/>
      <c r="U57" s="97">
        <f>IF(OR($E$56="N/A",AND(AX57=0,'Cover Sheet'!$B$29="Streamlined Review"),AND(E57="Met",F57&lt;&gt;""),AND(E57="Not met",G57&lt;&gt;""),AND(E57="Unsure",G57&lt;&gt;""),AND(E57="N/A",H57&lt;&gt;""),AND(Y57=TRUE)),1,0)</f>
        <v>0</v>
      </c>
      <c r="X57" s="126" t="b">
        <f>IF(OR(Y57=TRUE,V57=TRUE,AM57=TRUE),TRUE,FALSE)</f>
        <v>0</v>
      </c>
      <c r="Y57" s="126" t="b">
        <f>IF(SUM(Z57:AE57)&lt;1,TRUE,FALSE)</f>
        <v>0</v>
      </c>
      <c r="Z57" s="126">
        <f>IF($Z$2=I57,1,0)</f>
        <v>1</v>
      </c>
      <c r="AA57" s="126">
        <f>IF($AA$2=J57,1,0)</f>
        <v>0</v>
      </c>
      <c r="AB57" s="126">
        <f>IF($AB$2=K57,1,0)</f>
        <v>0</v>
      </c>
      <c r="AC57" s="126">
        <f>IF($AC$2=L57,1,0)</f>
        <v>0</v>
      </c>
      <c r="AD57" s="126">
        <f>IF($AD$2=M57,1,0)</f>
        <v>0</v>
      </c>
      <c r="AE57" s="126">
        <f>IF($AE$2=O57,1,0)</f>
        <v>0</v>
      </c>
      <c r="AF57" s="53" t="b">
        <f>IF($H$1&lt;&gt;0,IF($H$1&lt;&gt;I57,IF($H$1&lt;&gt;J57,IF($H$1&lt;&gt;K57,IF($H$1&lt;&gt;L57,IF($H$1&lt;&gt;M57,IF($H$1&lt;&gt;N57,IF($H$1&lt;&gt;O57,TRUE,FALSE))))))))</f>
        <v>0</v>
      </c>
      <c r="AG57" s="54" t="b">
        <f>IF(AH57=TRUE,TRUE,FALSE)</f>
        <v>0</v>
      </c>
      <c r="AH57" s="56" t="b">
        <f>IF(OR(AND($H$6="Medicaid",MID($A57,1,FIND(".",$A57,1)-1)="II"),AND($H$6="CHIP",MID($A57,1,FIND(".",$A57,1)-1)="I")),TRUE,FALSE)</f>
        <v>0</v>
      </c>
      <c r="AP57" s="69" t="str">
        <f>IF(AO57=1,1,"")</f>
        <v/>
      </c>
      <c r="AX57" s="5">
        <v>0</v>
      </c>
    </row>
    <row r="58" spans="1:51" ht="15.75" thickBot="1" x14ac:dyDescent="0.3">
      <c r="A58" s="450"/>
      <c r="B58" s="451"/>
      <c r="C58" s="452" t="s">
        <v>66</v>
      </c>
      <c r="D58" s="442"/>
      <c r="E58" s="443"/>
      <c r="F58" s="444"/>
      <c r="G58" s="444"/>
      <c r="H58" s="445"/>
      <c r="I58" s="74"/>
      <c r="J58" s="74"/>
      <c r="K58" s="74"/>
      <c r="L58" s="87"/>
      <c r="M58" s="87"/>
      <c r="R58" s="116"/>
      <c r="S58" s="116"/>
      <c r="T58" s="116"/>
      <c r="U58" s="126"/>
      <c r="AH58" s="68"/>
    </row>
    <row r="59" spans="1:51" ht="57" customHeight="1" x14ac:dyDescent="0.25">
      <c r="A59" s="294" t="s">
        <v>1651</v>
      </c>
      <c r="B59" s="295" t="s">
        <v>1652</v>
      </c>
      <c r="C59" s="295" t="s">
        <v>1653</v>
      </c>
      <c r="D59" s="477">
        <v>5</v>
      </c>
      <c r="E59" s="297"/>
      <c r="F59" s="313"/>
      <c r="G59" s="313"/>
      <c r="H59" s="314"/>
      <c r="I59" s="92" t="s">
        <v>168</v>
      </c>
      <c r="J59" s="92" t="s">
        <v>178</v>
      </c>
      <c r="K59" s="92" t="s">
        <v>185</v>
      </c>
      <c r="L59" s="71" t="s">
        <v>190</v>
      </c>
      <c r="M59" s="71"/>
      <c r="N59" s="71"/>
      <c r="O59" s="71"/>
      <c r="P59" s="71" t="s">
        <v>380</v>
      </c>
      <c r="Q59" s="71" t="b">
        <f t="shared" ref="Q59:Q72" si="39">IF(OR(AND($C$2="Base contract",$C$3="No, section requirements must be reviewed", $AF59=FALSE,$AG59=FALSE),AND($C$2="Contract amendment",$C$3="No, section requirements must be reviewed",$AF59=FALSE,$AG59=FALSE)),"MUNN")</f>
        <v>0</v>
      </c>
      <c r="R59" s="64"/>
      <c r="S59" s="64"/>
      <c r="T59" s="64"/>
      <c r="U59" s="97">
        <f>IF(OR($E$58="N/A",AND(AX59=0,'Cover Sheet'!$B$29="Streamlined Review"),AND(E59="Met",F59&lt;&gt;""),AND(E59="Not met",G59&lt;&gt;""),AND(E59="Unsure",G59&lt;&gt;""),AND(E59="N/A",H59&lt;&gt;""),AND(Y59=TRUE)),1,0)</f>
        <v>0</v>
      </c>
      <c r="X59" s="126" t="b">
        <f>IF(OR(Y59=TRUE,V59=TRUE,AM59=TRUE),TRUE,FALSE)</f>
        <v>0</v>
      </c>
      <c r="Y59" s="126" t="b">
        <f>IF(SUM(Z59:AE59)&lt;1,TRUE,FALSE)</f>
        <v>0</v>
      </c>
      <c r="Z59" s="126">
        <f>IF($Z$2=I59,1,0)</f>
        <v>1</v>
      </c>
      <c r="AA59" s="126">
        <f>IF($AA$2=J59,1,0)</f>
        <v>0</v>
      </c>
      <c r="AB59" s="126">
        <f>IF($AB$2=K59,1,0)</f>
        <v>0</v>
      </c>
      <c r="AC59" s="126">
        <f>IF($AC$2=L59,1,0)</f>
        <v>0</v>
      </c>
      <c r="AD59" s="126">
        <f>IF($AD$2=M59,1,0)</f>
        <v>0</v>
      </c>
      <c r="AE59" s="126">
        <f>IF($AE$2=O59,1,0)</f>
        <v>0</v>
      </c>
      <c r="AF59" s="53" t="b">
        <f t="shared" ref="AF59:AF72" si="40">IF($H$1&lt;&gt;0,IF($H$1&lt;&gt;I59,IF($H$1&lt;&gt;J59,IF($H$1&lt;&gt;K59,IF($H$1&lt;&gt;L59,IF($H$1&lt;&gt;M59,IF($H$1&lt;&gt;N59,IF($H$1&lt;&gt;O59,TRUE,FALSE))))))))</f>
        <v>0</v>
      </c>
      <c r="AG59" s="54" t="b">
        <f t="shared" ref="AG59:AG72" si="41">IF(AH59=TRUE,TRUE,FALSE)</f>
        <v>0</v>
      </c>
      <c r="AH59" s="56" t="b">
        <f t="shared" ref="AH59:AH72" si="42">IF(OR(AND($H$6="Medicaid",MID($A59,1,FIND(".",$A59,1)-1)="II"),AND($H$6="CHIP",MID($A59,1,FIND(".",$A59,1)-1)="I")),TRUE,FALSE)</f>
        <v>0</v>
      </c>
      <c r="AP59" s="69" t="str">
        <f t="shared" ref="AP59:AP72" si="43">IF(AO59=1,1,"")</f>
        <v/>
      </c>
      <c r="AX59" s="5">
        <v>0</v>
      </c>
    </row>
    <row r="60" spans="1:51" ht="44.25" customHeight="1" x14ac:dyDescent="0.25">
      <c r="A60" s="294" t="s">
        <v>1654</v>
      </c>
      <c r="B60" s="295" t="s">
        <v>1652</v>
      </c>
      <c r="C60" s="295" t="s">
        <v>1655</v>
      </c>
      <c r="D60" s="447"/>
      <c r="E60" s="297"/>
      <c r="F60" s="297"/>
      <c r="G60" s="297"/>
      <c r="H60" s="214"/>
      <c r="I60" s="92" t="s">
        <v>168</v>
      </c>
      <c r="J60" s="92" t="s">
        <v>178</v>
      </c>
      <c r="K60" s="92" t="s">
        <v>185</v>
      </c>
      <c r="L60" s="71" t="s">
        <v>190</v>
      </c>
      <c r="M60" s="71"/>
      <c r="N60" s="71"/>
      <c r="O60" s="71"/>
      <c r="P60" s="71" t="s">
        <v>380</v>
      </c>
      <c r="Q60" s="71" t="b">
        <f t="shared" si="39"/>
        <v>0</v>
      </c>
      <c r="R60" s="64">
        <v>42917</v>
      </c>
      <c r="S60" s="64"/>
      <c r="T60" s="64"/>
      <c r="U60" s="97">
        <f>IF(OR($E$58="N/A",AND(AX60=0,'Cover Sheet'!$B$29="Streamlined Review"),AND(E60="Met",F60&lt;&gt;""),AND(E60="Not met",G60&lt;&gt;""),AND(E60="Unsure",G60&lt;&gt;""),AND(E60="N/A",H60&lt;&gt;""),AND(Y60=TRUE)),1,0)</f>
        <v>0</v>
      </c>
      <c r="X60" s="126" t="b">
        <f t="shared" ref="X60:X72" si="44">IF(OR(Y60=TRUE,V60=TRUE,AM60=TRUE),TRUE,FALSE)</f>
        <v>0</v>
      </c>
      <c r="Y60" s="126" t="b">
        <f t="shared" ref="Y60:Y72" si="45">IF(SUM(Z60:AE60)&lt;1,TRUE,FALSE)</f>
        <v>0</v>
      </c>
      <c r="Z60" s="126">
        <f t="shared" ref="Z60:Z72" si="46">IF($Z$2=I60,1,0)</f>
        <v>1</v>
      </c>
      <c r="AA60" s="126">
        <f t="shared" ref="AA60:AA72" si="47">IF($AA$2=J60,1,0)</f>
        <v>0</v>
      </c>
      <c r="AB60" s="126">
        <f t="shared" ref="AB60:AB72" si="48">IF($AB$2=K60,1,0)</f>
        <v>0</v>
      </c>
      <c r="AC60" s="126">
        <f t="shared" ref="AC60:AC72" si="49">IF($AC$2=L60,1,0)</f>
        <v>0</v>
      </c>
      <c r="AD60" s="126">
        <f t="shared" ref="AD60:AD72" si="50">IF($AD$2=M60,1,0)</f>
        <v>0</v>
      </c>
      <c r="AE60" s="126">
        <f t="shared" ref="AE60:AE72" si="51">IF($AE$2=O60,1,0)</f>
        <v>0</v>
      </c>
      <c r="AF60" s="53" t="b">
        <f t="shared" si="40"/>
        <v>0</v>
      </c>
      <c r="AG60" s="54" t="b">
        <f t="shared" si="41"/>
        <v>0</v>
      </c>
      <c r="AH60" s="56" t="b">
        <f t="shared" si="42"/>
        <v>0</v>
      </c>
      <c r="AP60" s="69" t="str">
        <f t="shared" si="43"/>
        <v/>
      </c>
      <c r="AX60" s="5">
        <v>0</v>
      </c>
    </row>
    <row r="61" spans="1:51" ht="45" customHeight="1" x14ac:dyDescent="0.25">
      <c r="A61" s="294" t="s">
        <v>1656</v>
      </c>
      <c r="B61" s="295" t="s">
        <v>1652</v>
      </c>
      <c r="C61" s="295" t="s">
        <v>1657</v>
      </c>
      <c r="D61" s="447"/>
      <c r="E61" s="297"/>
      <c r="F61" s="297"/>
      <c r="G61" s="297"/>
      <c r="H61" s="214"/>
      <c r="I61" s="92" t="s">
        <v>168</v>
      </c>
      <c r="J61" s="92" t="s">
        <v>178</v>
      </c>
      <c r="K61" s="92" t="s">
        <v>185</v>
      </c>
      <c r="L61" s="71" t="s">
        <v>190</v>
      </c>
      <c r="M61" s="71"/>
      <c r="N61" s="71"/>
      <c r="O61" s="71"/>
      <c r="P61" s="71" t="s">
        <v>380</v>
      </c>
      <c r="Q61" s="71" t="b">
        <f t="shared" si="39"/>
        <v>0</v>
      </c>
      <c r="R61" s="64">
        <v>42917</v>
      </c>
      <c r="S61" s="64"/>
      <c r="T61" s="64"/>
      <c r="U61" s="97">
        <f>IF(OR($E$58="N/A",AND(AX61=0,'Cover Sheet'!$B$29="Streamlined Review"),AND(E61="Met",F61&lt;&gt;""),AND(E61="Not met",G61&lt;&gt;""),AND(E61="Unsure",G61&lt;&gt;""),AND(E61="N/A",H61&lt;&gt;""),AND(Y61=TRUE)),1,0)</f>
        <v>0</v>
      </c>
      <c r="X61" s="126" t="b">
        <f t="shared" si="44"/>
        <v>0</v>
      </c>
      <c r="Y61" s="126" t="b">
        <f t="shared" si="45"/>
        <v>0</v>
      </c>
      <c r="Z61" s="126">
        <f t="shared" si="46"/>
        <v>1</v>
      </c>
      <c r="AA61" s="126">
        <f t="shared" si="47"/>
        <v>0</v>
      </c>
      <c r="AB61" s="126">
        <f t="shared" si="48"/>
        <v>0</v>
      </c>
      <c r="AC61" s="126">
        <f t="shared" si="49"/>
        <v>0</v>
      </c>
      <c r="AD61" s="126">
        <f t="shared" si="50"/>
        <v>0</v>
      </c>
      <c r="AE61" s="126">
        <f t="shared" si="51"/>
        <v>0</v>
      </c>
      <c r="AF61" s="53" t="b">
        <f t="shared" si="40"/>
        <v>0</v>
      </c>
      <c r="AG61" s="54" t="b">
        <f t="shared" si="41"/>
        <v>0</v>
      </c>
      <c r="AH61" s="56" t="b">
        <f t="shared" si="42"/>
        <v>0</v>
      </c>
      <c r="AP61" s="69" t="str">
        <f t="shared" si="43"/>
        <v/>
      </c>
      <c r="AX61" s="5">
        <v>0</v>
      </c>
    </row>
    <row r="62" spans="1:51" ht="32.25" customHeight="1" x14ac:dyDescent="0.25">
      <c r="A62" s="294" t="s">
        <v>1658</v>
      </c>
      <c r="B62" s="295" t="s">
        <v>1659</v>
      </c>
      <c r="C62" s="295" t="s">
        <v>1660</v>
      </c>
      <c r="D62" s="447"/>
      <c r="E62" s="297"/>
      <c r="F62" s="297"/>
      <c r="G62" s="297"/>
      <c r="H62" s="214"/>
      <c r="I62" s="92" t="s">
        <v>168</v>
      </c>
      <c r="J62" s="92" t="s">
        <v>178</v>
      </c>
      <c r="K62" s="92" t="s">
        <v>185</v>
      </c>
      <c r="L62" s="71" t="s">
        <v>190</v>
      </c>
      <c r="M62" s="71"/>
      <c r="N62" s="71"/>
      <c r="O62" s="71"/>
      <c r="P62" s="71" t="s">
        <v>380</v>
      </c>
      <c r="Q62" s="71" t="b">
        <f t="shared" si="39"/>
        <v>0</v>
      </c>
      <c r="R62" s="64">
        <v>42917</v>
      </c>
      <c r="S62" s="64"/>
      <c r="T62" s="64"/>
      <c r="U62" s="97">
        <f>IF(OR($E$58="N/A",AND(AX62=0,'Cover Sheet'!$B$29="Streamlined Review"),AND(E62="Met",F62&lt;&gt;""),AND(E62="Not met",G62&lt;&gt;""),AND(E62="Unsure",G62&lt;&gt;""),AND(E62="N/A",H62&lt;&gt;""),AND(Y62=TRUE)),1,0)</f>
        <v>0</v>
      </c>
      <c r="X62" s="126" t="b">
        <f t="shared" si="44"/>
        <v>0</v>
      </c>
      <c r="Y62" s="126" t="b">
        <f t="shared" si="45"/>
        <v>0</v>
      </c>
      <c r="Z62" s="126">
        <f t="shared" si="46"/>
        <v>1</v>
      </c>
      <c r="AA62" s="126">
        <f t="shared" si="47"/>
        <v>0</v>
      </c>
      <c r="AB62" s="126">
        <f t="shared" si="48"/>
        <v>0</v>
      </c>
      <c r="AC62" s="126">
        <f t="shared" si="49"/>
        <v>0</v>
      </c>
      <c r="AD62" s="126">
        <f t="shared" si="50"/>
        <v>0</v>
      </c>
      <c r="AE62" s="126">
        <f t="shared" si="51"/>
        <v>0</v>
      </c>
      <c r="AF62" s="53" t="b">
        <f t="shared" si="40"/>
        <v>0</v>
      </c>
      <c r="AG62" s="54" t="b">
        <f t="shared" si="41"/>
        <v>0</v>
      </c>
      <c r="AH62" s="56" t="b">
        <f t="shared" si="42"/>
        <v>0</v>
      </c>
      <c r="AP62" s="69" t="str">
        <f t="shared" si="43"/>
        <v/>
      </c>
      <c r="AX62" s="5">
        <v>0</v>
      </c>
    </row>
    <row r="63" spans="1:51" ht="57" customHeight="1" x14ac:dyDescent="0.25">
      <c r="A63" s="294" t="s">
        <v>1661</v>
      </c>
      <c r="B63" s="295" t="s">
        <v>1659</v>
      </c>
      <c r="C63" s="295" t="s">
        <v>1662</v>
      </c>
      <c r="D63" s="477">
        <v>5</v>
      </c>
      <c r="E63" s="297"/>
      <c r="F63" s="297"/>
      <c r="G63" s="297"/>
      <c r="H63" s="214"/>
      <c r="I63" s="92" t="s">
        <v>168</v>
      </c>
      <c r="J63" s="92" t="s">
        <v>178</v>
      </c>
      <c r="K63" s="92" t="s">
        <v>185</v>
      </c>
      <c r="L63" s="71" t="s">
        <v>190</v>
      </c>
      <c r="M63" s="71"/>
      <c r="N63" s="71"/>
      <c r="O63" s="71"/>
      <c r="P63" s="71" t="s">
        <v>380</v>
      </c>
      <c r="Q63" s="71" t="b">
        <f t="shared" si="39"/>
        <v>0</v>
      </c>
      <c r="R63" s="64">
        <v>42917</v>
      </c>
      <c r="S63" s="64"/>
      <c r="T63" s="64"/>
      <c r="U63" s="97">
        <f>IF(OR($E$58="N/A",AND(AX63=0,'Cover Sheet'!$B$29="Streamlined Review"),AND(E63="Met",F63&lt;&gt;""),AND(E63="Not met",G63&lt;&gt;""),AND(E63="Unsure",G63&lt;&gt;""),AND(E63="N/A",H63&lt;&gt;""),AND(Y63=TRUE)),1,0)</f>
        <v>0</v>
      </c>
      <c r="X63" s="126" t="b">
        <f t="shared" si="44"/>
        <v>0</v>
      </c>
      <c r="Y63" s="126" t="b">
        <f t="shared" si="45"/>
        <v>0</v>
      </c>
      <c r="Z63" s="126">
        <f t="shared" si="46"/>
        <v>1</v>
      </c>
      <c r="AA63" s="126">
        <f t="shared" si="47"/>
        <v>0</v>
      </c>
      <c r="AB63" s="126">
        <f t="shared" si="48"/>
        <v>0</v>
      </c>
      <c r="AC63" s="126">
        <f t="shared" si="49"/>
        <v>0</v>
      </c>
      <c r="AD63" s="126">
        <f t="shared" si="50"/>
        <v>0</v>
      </c>
      <c r="AE63" s="126">
        <f t="shared" si="51"/>
        <v>0</v>
      </c>
      <c r="AF63" s="53" t="b">
        <f t="shared" si="40"/>
        <v>0</v>
      </c>
      <c r="AG63" s="54" t="b">
        <f t="shared" si="41"/>
        <v>0</v>
      </c>
      <c r="AH63" s="56" t="b">
        <f t="shared" si="42"/>
        <v>0</v>
      </c>
      <c r="AP63" s="69" t="str">
        <f t="shared" si="43"/>
        <v/>
      </c>
      <c r="AX63" s="5">
        <v>0</v>
      </c>
    </row>
    <row r="64" spans="1:51" ht="51" x14ac:dyDescent="0.25">
      <c r="A64" s="294" t="s">
        <v>1663</v>
      </c>
      <c r="B64" s="295" t="s">
        <v>1664</v>
      </c>
      <c r="C64" s="295" t="s">
        <v>1665</v>
      </c>
      <c r="D64" s="447"/>
      <c r="E64" s="297"/>
      <c r="F64" s="297"/>
      <c r="G64" s="297"/>
      <c r="H64" s="214"/>
      <c r="I64" s="92" t="s">
        <v>168</v>
      </c>
      <c r="J64" s="92" t="s">
        <v>178</v>
      </c>
      <c r="K64" s="92" t="s">
        <v>185</v>
      </c>
      <c r="L64" s="71" t="s">
        <v>190</v>
      </c>
      <c r="M64" s="71"/>
      <c r="N64" s="71"/>
      <c r="O64" s="71"/>
      <c r="P64" s="71" t="s">
        <v>380</v>
      </c>
      <c r="Q64" s="71" t="b">
        <f t="shared" si="39"/>
        <v>0</v>
      </c>
      <c r="R64" s="64">
        <v>42917</v>
      </c>
      <c r="S64" s="64"/>
      <c r="T64" s="64"/>
      <c r="U64" s="97">
        <f>IF(OR($E$58="N/A",AND(AX64=0,'Cover Sheet'!$B$29="Streamlined Review"),AND(E64="Met",F64&lt;&gt;""),AND(E64="Not met",G64&lt;&gt;""),AND(E64="Unsure",G64&lt;&gt;""),AND(E64="N/A",H64&lt;&gt;""),AND(Y64=TRUE)),1,0)</f>
        <v>0</v>
      </c>
      <c r="X64" s="126" t="b">
        <f t="shared" si="44"/>
        <v>0</v>
      </c>
      <c r="Y64" s="126" t="b">
        <f t="shared" si="45"/>
        <v>0</v>
      </c>
      <c r="Z64" s="126">
        <f t="shared" si="46"/>
        <v>1</v>
      </c>
      <c r="AA64" s="126">
        <f t="shared" si="47"/>
        <v>0</v>
      </c>
      <c r="AB64" s="126">
        <f t="shared" si="48"/>
        <v>0</v>
      </c>
      <c r="AC64" s="126">
        <f t="shared" si="49"/>
        <v>0</v>
      </c>
      <c r="AD64" s="126">
        <f t="shared" si="50"/>
        <v>0</v>
      </c>
      <c r="AE64" s="126">
        <f t="shared" si="51"/>
        <v>0</v>
      </c>
      <c r="AF64" s="53" t="b">
        <f t="shared" si="40"/>
        <v>0</v>
      </c>
      <c r="AG64" s="54" t="b">
        <f t="shared" si="41"/>
        <v>0</v>
      </c>
      <c r="AH64" s="56" t="b">
        <f t="shared" si="42"/>
        <v>0</v>
      </c>
      <c r="AP64" s="69" t="str">
        <f t="shared" si="43"/>
        <v/>
      </c>
      <c r="AX64" s="5">
        <v>0</v>
      </c>
    </row>
    <row r="65" spans="1:50" ht="51.75" x14ac:dyDescent="0.25">
      <c r="A65" s="294" t="s">
        <v>1666</v>
      </c>
      <c r="B65" s="295" t="s">
        <v>1667</v>
      </c>
      <c r="C65" s="295" t="s">
        <v>1668</v>
      </c>
      <c r="D65" s="447">
        <v>6</v>
      </c>
      <c r="E65" s="297"/>
      <c r="F65" s="297"/>
      <c r="G65" s="297"/>
      <c r="H65" s="214"/>
      <c r="I65" s="92" t="s">
        <v>168</v>
      </c>
      <c r="J65" s="92" t="s">
        <v>178</v>
      </c>
      <c r="K65" s="92" t="s">
        <v>185</v>
      </c>
      <c r="L65" s="71" t="s">
        <v>190</v>
      </c>
      <c r="M65" s="71"/>
      <c r="N65" s="71"/>
      <c r="O65" s="71"/>
      <c r="P65" s="71" t="s">
        <v>380</v>
      </c>
      <c r="Q65" s="71" t="b">
        <f t="shared" si="39"/>
        <v>0</v>
      </c>
      <c r="R65" s="64">
        <v>42917</v>
      </c>
      <c r="S65" s="64"/>
      <c r="T65" s="64"/>
      <c r="U65" s="97">
        <f>IF(OR($E$58="N/A",AND(AX65=0,'Cover Sheet'!$B$29="Streamlined Review"),AND(E65="Met",F65&lt;&gt;""),AND(E65="Not met",G65&lt;&gt;""),AND(E65="Unsure",G65&lt;&gt;""),AND(E65="N/A",H65&lt;&gt;""),AND(Y65=TRUE)),1,0)</f>
        <v>0</v>
      </c>
      <c r="X65" s="126" t="b">
        <f t="shared" si="44"/>
        <v>0</v>
      </c>
      <c r="Y65" s="126" t="b">
        <f t="shared" si="45"/>
        <v>0</v>
      </c>
      <c r="Z65" s="126">
        <f t="shared" si="46"/>
        <v>1</v>
      </c>
      <c r="AA65" s="126">
        <f t="shared" si="47"/>
        <v>0</v>
      </c>
      <c r="AB65" s="126">
        <f t="shared" si="48"/>
        <v>0</v>
      </c>
      <c r="AC65" s="126">
        <f t="shared" si="49"/>
        <v>0</v>
      </c>
      <c r="AD65" s="126">
        <f t="shared" si="50"/>
        <v>0</v>
      </c>
      <c r="AE65" s="126">
        <f t="shared" si="51"/>
        <v>0</v>
      </c>
      <c r="AF65" s="53" t="b">
        <f t="shared" si="40"/>
        <v>0</v>
      </c>
      <c r="AG65" s="54" t="b">
        <f t="shared" si="41"/>
        <v>0</v>
      </c>
      <c r="AH65" s="56" t="b">
        <f t="shared" si="42"/>
        <v>0</v>
      </c>
      <c r="AP65" s="69" t="str">
        <f t="shared" si="43"/>
        <v/>
      </c>
      <c r="AX65" s="5">
        <v>0</v>
      </c>
    </row>
    <row r="66" spans="1:50" ht="37.5" customHeight="1" x14ac:dyDescent="0.25">
      <c r="A66" s="294" t="s">
        <v>1669</v>
      </c>
      <c r="B66" s="295" t="s">
        <v>1670</v>
      </c>
      <c r="C66" s="295" t="s">
        <v>1671</v>
      </c>
      <c r="D66" s="447"/>
      <c r="E66" s="297"/>
      <c r="F66" s="297"/>
      <c r="G66" s="297"/>
      <c r="H66" s="214"/>
      <c r="I66" s="92" t="s">
        <v>168</v>
      </c>
      <c r="J66" s="92" t="s">
        <v>178</v>
      </c>
      <c r="K66" s="92" t="s">
        <v>185</v>
      </c>
      <c r="L66" s="71" t="s">
        <v>190</v>
      </c>
      <c r="M66" s="71"/>
      <c r="N66" s="71"/>
      <c r="O66" s="71"/>
      <c r="P66" s="71" t="s">
        <v>380</v>
      </c>
      <c r="Q66" s="71" t="b">
        <f t="shared" si="39"/>
        <v>0</v>
      </c>
      <c r="R66" s="64">
        <v>42917</v>
      </c>
      <c r="S66" s="64"/>
      <c r="T66" s="64"/>
      <c r="U66" s="97">
        <f>IF(OR($E$58="N/A",AND(AX66=0,'Cover Sheet'!$B$29="Streamlined Review"),AND(E66="Met",F66&lt;&gt;""),AND(E66="Not met",G66&lt;&gt;""),AND(E66="Unsure",G66&lt;&gt;""),AND(E66="N/A",H66&lt;&gt;""),AND(Y66=TRUE)),1,0)</f>
        <v>0</v>
      </c>
      <c r="X66" s="126" t="b">
        <f t="shared" si="44"/>
        <v>0</v>
      </c>
      <c r="Y66" s="126" t="b">
        <f t="shared" si="45"/>
        <v>0</v>
      </c>
      <c r="Z66" s="126">
        <f t="shared" si="46"/>
        <v>1</v>
      </c>
      <c r="AA66" s="126">
        <f t="shared" si="47"/>
        <v>0</v>
      </c>
      <c r="AB66" s="126">
        <f t="shared" si="48"/>
        <v>0</v>
      </c>
      <c r="AC66" s="126">
        <f t="shared" si="49"/>
        <v>0</v>
      </c>
      <c r="AD66" s="126">
        <f t="shared" si="50"/>
        <v>0</v>
      </c>
      <c r="AE66" s="126">
        <f t="shared" si="51"/>
        <v>0</v>
      </c>
      <c r="AF66" s="53" t="b">
        <f t="shared" si="40"/>
        <v>0</v>
      </c>
      <c r="AG66" s="54" t="b">
        <f t="shared" si="41"/>
        <v>0</v>
      </c>
      <c r="AH66" s="56" t="b">
        <f t="shared" si="42"/>
        <v>0</v>
      </c>
      <c r="AP66" s="69" t="str">
        <f t="shared" si="43"/>
        <v/>
      </c>
      <c r="AX66" s="5">
        <v>0</v>
      </c>
    </row>
    <row r="67" spans="1:50" ht="35.25" customHeight="1" x14ac:dyDescent="0.25">
      <c r="A67" s="294" t="s">
        <v>1672</v>
      </c>
      <c r="B67" s="295" t="s">
        <v>1673</v>
      </c>
      <c r="C67" s="295" t="s">
        <v>1674</v>
      </c>
      <c r="D67" s="447"/>
      <c r="E67" s="297"/>
      <c r="F67" s="297"/>
      <c r="G67" s="297"/>
      <c r="H67" s="214"/>
      <c r="I67" s="92" t="s">
        <v>168</v>
      </c>
      <c r="J67" s="92" t="s">
        <v>178</v>
      </c>
      <c r="K67" s="92" t="s">
        <v>185</v>
      </c>
      <c r="L67" s="71" t="s">
        <v>190</v>
      </c>
      <c r="M67" s="71"/>
      <c r="N67" s="71"/>
      <c r="O67" s="71"/>
      <c r="P67" s="71" t="s">
        <v>380</v>
      </c>
      <c r="Q67" s="71" t="b">
        <f t="shared" si="39"/>
        <v>0</v>
      </c>
      <c r="R67" s="64">
        <v>42917</v>
      </c>
      <c r="S67" s="64"/>
      <c r="T67" s="64"/>
      <c r="U67" s="97">
        <f>IF(OR($E$58="N/A",AND(AX67=0,'Cover Sheet'!$B$29="Streamlined Review"),AND(E67="Met",F67&lt;&gt;""),AND(E67="Not met",G67&lt;&gt;""),AND(E67="Unsure",G67&lt;&gt;""),AND(E67="N/A",H67&lt;&gt;""),AND(Y67=TRUE)),1,0)</f>
        <v>0</v>
      </c>
      <c r="X67" s="126" t="b">
        <f t="shared" si="44"/>
        <v>0</v>
      </c>
      <c r="Y67" s="126" t="b">
        <f t="shared" si="45"/>
        <v>0</v>
      </c>
      <c r="Z67" s="126">
        <f t="shared" si="46"/>
        <v>1</v>
      </c>
      <c r="AA67" s="126">
        <f t="shared" si="47"/>
        <v>0</v>
      </c>
      <c r="AB67" s="126">
        <f t="shared" si="48"/>
        <v>0</v>
      </c>
      <c r="AC67" s="126">
        <f t="shared" si="49"/>
        <v>0</v>
      </c>
      <c r="AD67" s="126">
        <f t="shared" si="50"/>
        <v>0</v>
      </c>
      <c r="AE67" s="126">
        <f t="shared" si="51"/>
        <v>0</v>
      </c>
      <c r="AF67" s="53" t="b">
        <f t="shared" si="40"/>
        <v>0</v>
      </c>
      <c r="AG67" s="54" t="b">
        <f t="shared" si="41"/>
        <v>0</v>
      </c>
      <c r="AH67" s="56" t="b">
        <f t="shared" si="42"/>
        <v>0</v>
      </c>
      <c r="AP67" s="69" t="str">
        <f t="shared" si="43"/>
        <v/>
      </c>
      <c r="AX67" s="5">
        <v>0</v>
      </c>
    </row>
    <row r="68" spans="1:50" ht="57.75" customHeight="1" x14ac:dyDescent="0.25">
      <c r="A68" s="294" t="s">
        <v>1675</v>
      </c>
      <c r="B68" s="295" t="s">
        <v>1676</v>
      </c>
      <c r="C68" s="295" t="s">
        <v>1677</v>
      </c>
      <c r="D68" s="447"/>
      <c r="E68" s="297"/>
      <c r="F68" s="297"/>
      <c r="G68" s="297"/>
      <c r="H68" s="214"/>
      <c r="I68" s="92" t="s">
        <v>168</v>
      </c>
      <c r="J68" s="92" t="s">
        <v>178</v>
      </c>
      <c r="K68" s="92" t="s">
        <v>185</v>
      </c>
      <c r="L68" s="71" t="s">
        <v>190</v>
      </c>
      <c r="M68" s="71"/>
      <c r="N68" s="71"/>
      <c r="O68" s="71"/>
      <c r="P68" s="71" t="s">
        <v>380</v>
      </c>
      <c r="Q68" s="71" t="b">
        <f t="shared" si="39"/>
        <v>0</v>
      </c>
      <c r="R68" s="64">
        <v>42917</v>
      </c>
      <c r="S68" s="64"/>
      <c r="T68" s="64"/>
      <c r="U68" s="97">
        <f>IF(OR($E$58="N/A",AND(AX68=0,'Cover Sheet'!$B$29="Streamlined Review"),AND(E68="Met",F68&lt;&gt;""),AND(E68="Not met",G68&lt;&gt;""),AND(E68="Unsure",G68&lt;&gt;""),AND(E68="N/A",H68&lt;&gt;""),AND(Y68=TRUE)),1,0)</f>
        <v>0</v>
      </c>
      <c r="X68" s="126" t="b">
        <f t="shared" si="44"/>
        <v>0</v>
      </c>
      <c r="Y68" s="126" t="b">
        <f t="shared" si="45"/>
        <v>0</v>
      </c>
      <c r="Z68" s="126">
        <f t="shared" si="46"/>
        <v>1</v>
      </c>
      <c r="AA68" s="126">
        <f t="shared" si="47"/>
        <v>0</v>
      </c>
      <c r="AB68" s="126">
        <f t="shared" si="48"/>
        <v>0</v>
      </c>
      <c r="AC68" s="126">
        <f t="shared" si="49"/>
        <v>0</v>
      </c>
      <c r="AD68" s="126">
        <f t="shared" si="50"/>
        <v>0</v>
      </c>
      <c r="AE68" s="126">
        <f t="shared" si="51"/>
        <v>0</v>
      </c>
      <c r="AF68" s="53" t="b">
        <f t="shared" si="40"/>
        <v>0</v>
      </c>
      <c r="AG68" s="54" t="b">
        <f t="shared" si="41"/>
        <v>0</v>
      </c>
      <c r="AH68" s="56" t="b">
        <f t="shared" si="42"/>
        <v>0</v>
      </c>
      <c r="AP68" s="69" t="str">
        <f t="shared" si="43"/>
        <v/>
      </c>
      <c r="AX68" s="5">
        <v>0</v>
      </c>
    </row>
    <row r="69" spans="1:50" ht="45" customHeight="1" x14ac:dyDescent="0.25">
      <c r="A69" s="294" t="s">
        <v>1678</v>
      </c>
      <c r="B69" s="295" t="s">
        <v>1670</v>
      </c>
      <c r="C69" s="295" t="s">
        <v>1679</v>
      </c>
      <c r="D69" s="477">
        <v>5</v>
      </c>
      <c r="E69" s="297"/>
      <c r="F69" s="297"/>
      <c r="G69" s="297"/>
      <c r="H69" s="214"/>
      <c r="I69" s="92" t="s">
        <v>168</v>
      </c>
      <c r="J69" s="92" t="s">
        <v>178</v>
      </c>
      <c r="K69" s="92" t="s">
        <v>185</v>
      </c>
      <c r="L69" s="71" t="s">
        <v>190</v>
      </c>
      <c r="M69" s="71"/>
      <c r="N69" s="71"/>
      <c r="O69" s="71"/>
      <c r="P69" s="71" t="s">
        <v>380</v>
      </c>
      <c r="Q69" s="71" t="b">
        <f t="shared" si="39"/>
        <v>0</v>
      </c>
      <c r="R69" s="64"/>
      <c r="S69" s="64"/>
      <c r="T69" s="64"/>
      <c r="U69" s="97">
        <f>IF(OR($E$58="N/A",AND(AX69=0,'Cover Sheet'!$B$29="Streamlined Review"),AND(E69="Met",F69&lt;&gt;""),AND(E69="Not met",G69&lt;&gt;""),AND(E69="Unsure",G69&lt;&gt;""),AND(E69="N/A",H69&lt;&gt;""),AND(Y69=TRUE)),1,0)</f>
        <v>0</v>
      </c>
      <c r="X69" s="126" t="b">
        <f t="shared" si="44"/>
        <v>0</v>
      </c>
      <c r="Y69" s="126" t="b">
        <f t="shared" si="45"/>
        <v>0</v>
      </c>
      <c r="Z69" s="126">
        <f t="shared" si="46"/>
        <v>1</v>
      </c>
      <c r="AA69" s="126">
        <f t="shared" si="47"/>
        <v>0</v>
      </c>
      <c r="AB69" s="126">
        <f t="shared" si="48"/>
        <v>0</v>
      </c>
      <c r="AC69" s="126">
        <f t="shared" si="49"/>
        <v>0</v>
      </c>
      <c r="AD69" s="126">
        <f t="shared" si="50"/>
        <v>0</v>
      </c>
      <c r="AE69" s="126">
        <f t="shared" si="51"/>
        <v>0</v>
      </c>
      <c r="AF69" s="53" t="b">
        <f t="shared" si="40"/>
        <v>0</v>
      </c>
      <c r="AG69" s="54" t="b">
        <f t="shared" si="41"/>
        <v>0</v>
      </c>
      <c r="AH69" s="56" t="b">
        <f t="shared" si="42"/>
        <v>0</v>
      </c>
      <c r="AP69" s="69" t="str">
        <f t="shared" si="43"/>
        <v/>
      </c>
      <c r="AX69" s="5">
        <v>0</v>
      </c>
    </row>
    <row r="70" spans="1:50" ht="49.5" customHeight="1" x14ac:dyDescent="0.25">
      <c r="A70" s="294" t="s">
        <v>1680</v>
      </c>
      <c r="B70" s="295" t="s">
        <v>1673</v>
      </c>
      <c r="C70" s="295" t="s">
        <v>1681</v>
      </c>
      <c r="D70" s="477">
        <v>5</v>
      </c>
      <c r="E70" s="297"/>
      <c r="F70" s="297"/>
      <c r="G70" s="297"/>
      <c r="H70" s="214"/>
      <c r="I70" s="92" t="s">
        <v>168</v>
      </c>
      <c r="J70" s="92" t="s">
        <v>178</v>
      </c>
      <c r="K70" s="92" t="s">
        <v>185</v>
      </c>
      <c r="L70" s="71" t="s">
        <v>190</v>
      </c>
      <c r="M70" s="71"/>
      <c r="N70" s="71"/>
      <c r="O70" s="71"/>
      <c r="P70" s="71" t="s">
        <v>380</v>
      </c>
      <c r="Q70" s="71" t="b">
        <f t="shared" si="39"/>
        <v>0</v>
      </c>
      <c r="R70" s="64"/>
      <c r="S70" s="64"/>
      <c r="T70" s="64"/>
      <c r="U70" s="97">
        <f>IF(OR($E$58="N/A",AND(AX70=0,'Cover Sheet'!$B$29="Streamlined Review"),AND(E70="Met",F70&lt;&gt;""),AND(E70="Not met",G70&lt;&gt;""),AND(E70="Unsure",G70&lt;&gt;""),AND(E70="N/A",H70&lt;&gt;""),AND(Y70=TRUE)),1,0)</f>
        <v>0</v>
      </c>
      <c r="X70" s="126" t="b">
        <f t="shared" si="44"/>
        <v>0</v>
      </c>
      <c r="Y70" s="126" t="b">
        <f t="shared" si="45"/>
        <v>0</v>
      </c>
      <c r="Z70" s="126">
        <f t="shared" si="46"/>
        <v>1</v>
      </c>
      <c r="AA70" s="126">
        <f t="shared" si="47"/>
        <v>0</v>
      </c>
      <c r="AB70" s="126">
        <f t="shared" si="48"/>
        <v>0</v>
      </c>
      <c r="AC70" s="126">
        <f t="shared" si="49"/>
        <v>0</v>
      </c>
      <c r="AD70" s="126">
        <f t="shared" si="50"/>
        <v>0</v>
      </c>
      <c r="AE70" s="126">
        <f t="shared" si="51"/>
        <v>0</v>
      </c>
      <c r="AF70" s="53" t="b">
        <f t="shared" si="40"/>
        <v>0</v>
      </c>
      <c r="AG70" s="54" t="b">
        <f t="shared" si="41"/>
        <v>0</v>
      </c>
      <c r="AH70" s="56" t="b">
        <f t="shared" si="42"/>
        <v>0</v>
      </c>
      <c r="AP70" s="69" t="str">
        <f t="shared" si="43"/>
        <v/>
      </c>
      <c r="AX70" s="5">
        <v>0</v>
      </c>
    </row>
    <row r="71" spans="1:50" ht="61.5" customHeight="1" x14ac:dyDescent="0.25">
      <c r="A71" s="294" t="s">
        <v>1682</v>
      </c>
      <c r="B71" s="295" t="s">
        <v>1676</v>
      </c>
      <c r="C71" s="295" t="s">
        <v>1683</v>
      </c>
      <c r="D71" s="477">
        <v>5</v>
      </c>
      <c r="E71" s="297"/>
      <c r="F71" s="297"/>
      <c r="G71" s="297"/>
      <c r="H71" s="214"/>
      <c r="I71" s="92" t="s">
        <v>168</v>
      </c>
      <c r="J71" s="92" t="s">
        <v>178</v>
      </c>
      <c r="K71" s="92" t="s">
        <v>185</v>
      </c>
      <c r="L71" s="71" t="s">
        <v>190</v>
      </c>
      <c r="M71" s="71"/>
      <c r="N71" s="71"/>
      <c r="O71" s="71"/>
      <c r="P71" s="71" t="s">
        <v>380</v>
      </c>
      <c r="Q71" s="71" t="b">
        <f t="shared" si="39"/>
        <v>0</v>
      </c>
      <c r="R71" s="64"/>
      <c r="S71" s="64"/>
      <c r="T71" s="64"/>
      <c r="U71" s="97">
        <f>IF(OR($E$58="N/A",AND(AX71=0,'Cover Sheet'!$B$29="Streamlined Review"),AND(E71="Met",F71&lt;&gt;""),AND(E71="Not met",G71&lt;&gt;""),AND(E71="Unsure",G71&lt;&gt;""),AND(E71="N/A",H71&lt;&gt;""),AND(Y71=TRUE)),1,0)</f>
        <v>0</v>
      </c>
      <c r="X71" s="126" t="b">
        <f t="shared" si="44"/>
        <v>0</v>
      </c>
      <c r="Y71" s="126" t="b">
        <f t="shared" si="45"/>
        <v>0</v>
      </c>
      <c r="Z71" s="126">
        <f t="shared" si="46"/>
        <v>1</v>
      </c>
      <c r="AA71" s="126">
        <f t="shared" si="47"/>
        <v>0</v>
      </c>
      <c r="AB71" s="126">
        <f t="shared" si="48"/>
        <v>0</v>
      </c>
      <c r="AC71" s="126">
        <f t="shared" si="49"/>
        <v>0</v>
      </c>
      <c r="AD71" s="126">
        <f t="shared" si="50"/>
        <v>0</v>
      </c>
      <c r="AE71" s="126">
        <f t="shared" si="51"/>
        <v>0</v>
      </c>
      <c r="AF71" s="53" t="b">
        <f t="shared" si="40"/>
        <v>0</v>
      </c>
      <c r="AG71" s="54" t="b">
        <f t="shared" si="41"/>
        <v>0</v>
      </c>
      <c r="AH71" s="56" t="b">
        <f t="shared" si="42"/>
        <v>0</v>
      </c>
      <c r="AP71" s="69" t="str">
        <f t="shared" si="43"/>
        <v/>
      </c>
      <c r="AX71" s="5">
        <v>0</v>
      </c>
    </row>
    <row r="72" spans="1:50" ht="59.25" customHeight="1" thickBot="1" x14ac:dyDescent="0.3">
      <c r="A72" s="308" t="s">
        <v>1684</v>
      </c>
      <c r="B72" s="309" t="s">
        <v>1685</v>
      </c>
      <c r="C72" s="309" t="s">
        <v>1686</v>
      </c>
      <c r="D72" s="500" t="s">
        <v>1687</v>
      </c>
      <c r="E72" s="311"/>
      <c r="F72" s="311"/>
      <c r="G72" s="311"/>
      <c r="H72" s="312"/>
      <c r="I72" s="92" t="s">
        <v>168</v>
      </c>
      <c r="J72" s="92" t="s">
        <v>178</v>
      </c>
      <c r="K72" s="92" t="s">
        <v>185</v>
      </c>
      <c r="L72" s="71" t="s">
        <v>190</v>
      </c>
      <c r="M72" s="71"/>
      <c r="N72" s="71"/>
      <c r="O72" s="71"/>
      <c r="P72" s="71" t="s">
        <v>380</v>
      </c>
      <c r="Q72" s="71" t="b">
        <f t="shared" si="39"/>
        <v>0</v>
      </c>
      <c r="R72" s="64"/>
      <c r="S72" s="64"/>
      <c r="T72" s="64"/>
      <c r="U72" s="97">
        <f>IF(OR($E$58="N/A",AND(AX72=0,'Cover Sheet'!$B$29="Streamlined Review"),AND(E72="Met",F72&lt;&gt;""),AND(E72="Not met",G72&lt;&gt;""),AND(E72="Unsure",G72&lt;&gt;""),AND(E72="N/A",H72&lt;&gt;""),AND(Y72=TRUE)),1,0)</f>
        <v>0</v>
      </c>
      <c r="X72" s="126" t="b">
        <f t="shared" si="44"/>
        <v>0</v>
      </c>
      <c r="Y72" s="126" t="b">
        <f t="shared" si="45"/>
        <v>0</v>
      </c>
      <c r="Z72" s="126">
        <f t="shared" si="46"/>
        <v>1</v>
      </c>
      <c r="AA72" s="126">
        <f t="shared" si="47"/>
        <v>0</v>
      </c>
      <c r="AB72" s="126">
        <f t="shared" si="48"/>
        <v>0</v>
      </c>
      <c r="AC72" s="126">
        <f t="shared" si="49"/>
        <v>0</v>
      </c>
      <c r="AD72" s="126">
        <f t="shared" si="50"/>
        <v>0</v>
      </c>
      <c r="AE72" s="126">
        <f t="shared" si="51"/>
        <v>0</v>
      </c>
      <c r="AF72" s="53" t="b">
        <f t="shared" si="40"/>
        <v>0</v>
      </c>
      <c r="AG72" s="54" t="b">
        <f t="shared" si="41"/>
        <v>0</v>
      </c>
      <c r="AH72" s="56" t="b">
        <f t="shared" si="42"/>
        <v>0</v>
      </c>
      <c r="AP72" s="69" t="str">
        <f t="shared" si="43"/>
        <v/>
      </c>
      <c r="AX72" s="5">
        <v>0</v>
      </c>
    </row>
    <row r="73" spans="1:50" ht="15.75" thickBot="1" x14ac:dyDescent="0.3">
      <c r="A73" s="463"/>
      <c r="B73" s="451"/>
      <c r="C73" s="452" t="s">
        <v>67</v>
      </c>
      <c r="D73" s="442"/>
      <c r="E73" s="443"/>
      <c r="F73" s="444"/>
      <c r="G73" s="444"/>
      <c r="H73" s="445"/>
      <c r="I73" s="74"/>
      <c r="J73" s="74"/>
      <c r="K73" s="74"/>
      <c r="L73" s="87"/>
      <c r="M73" s="87"/>
      <c r="R73" s="116"/>
      <c r="S73" s="116"/>
      <c r="T73" s="116"/>
      <c r="U73" s="126"/>
      <c r="AH73" s="68"/>
    </row>
    <row r="74" spans="1:50" ht="33.75" customHeight="1" x14ac:dyDescent="0.25">
      <c r="A74" s="254" t="s">
        <v>1688</v>
      </c>
      <c r="B74" s="255" t="s">
        <v>1689</v>
      </c>
      <c r="C74" s="255" t="s">
        <v>1690</v>
      </c>
      <c r="D74" s="473"/>
      <c r="E74" s="313"/>
      <c r="F74" s="313"/>
      <c r="G74" s="313"/>
      <c r="H74" s="314"/>
      <c r="I74" s="92" t="s">
        <v>168</v>
      </c>
      <c r="J74" s="92" t="s">
        <v>178</v>
      </c>
      <c r="K74" s="92" t="s">
        <v>185</v>
      </c>
      <c r="L74" s="71" t="s">
        <v>190</v>
      </c>
      <c r="M74" s="71"/>
      <c r="N74" s="71"/>
      <c r="O74" s="71"/>
      <c r="P74" s="71" t="s">
        <v>380</v>
      </c>
      <c r="Q74" s="71" t="b">
        <f>IF(OR(AND($C$2="Base contract",$C$3="No, section requirements must be reviewed", $AF74=FALSE,$AG74=FALSE),AND($C$2="Contract amendment",$C$3="No, section requirements must be reviewed",$AF74=FALSE,$AG74=FALSE)),"MUNN")</f>
        <v>0</v>
      </c>
      <c r="R74" s="64">
        <v>42917</v>
      </c>
      <c r="S74" s="64"/>
      <c r="T74" s="64"/>
      <c r="U74" s="97">
        <f>IF(OR($E$73="N/A",AND(AX74=0,'Cover Sheet'!$B$29="Streamlined Review"),AND(E74="Met",F74&lt;&gt;""),AND(E74="Not met",G74&lt;&gt;""),AND(E74="Unsure",G74&lt;&gt;""),AND(E74="N/A",H74&lt;&gt;""),AND(Y74=TRUE)),1,0)</f>
        <v>0</v>
      </c>
      <c r="X74" s="126" t="b">
        <f>IF(OR(Y74=TRUE,V74=TRUE,AM74=TRUE),TRUE,FALSE)</f>
        <v>0</v>
      </c>
      <c r="Y74" s="126" t="b">
        <f>IF(SUM(Z74:AE74)&lt;1,TRUE,FALSE)</f>
        <v>0</v>
      </c>
      <c r="Z74" s="126">
        <f>IF($Z$2=I74,1,0)</f>
        <v>1</v>
      </c>
      <c r="AA74" s="126">
        <f>IF($AA$2=J74,1,0)</f>
        <v>0</v>
      </c>
      <c r="AB74" s="126">
        <f>IF($AB$2=K74,1,0)</f>
        <v>0</v>
      </c>
      <c r="AC74" s="126">
        <f>IF($AC$2=L74,1,0)</f>
        <v>0</v>
      </c>
      <c r="AD74" s="126">
        <f>IF($AD$2=M74,1,0)</f>
        <v>0</v>
      </c>
      <c r="AE74" s="126">
        <f>IF($AE$2=O74,1,0)</f>
        <v>0</v>
      </c>
      <c r="AF74" s="53" t="b">
        <f>IF($H$1&lt;&gt;0,IF($H$1&lt;&gt;I74,IF($H$1&lt;&gt;J74,IF($H$1&lt;&gt;K74,IF($H$1&lt;&gt;L74,IF($H$1&lt;&gt;M74,IF($H$1&lt;&gt;N74,IF($H$1&lt;&gt;O74,TRUE,FALSE))))))))</f>
        <v>0</v>
      </c>
      <c r="AG74" s="54" t="b">
        <f>IF(AH74=TRUE,TRUE,FALSE)</f>
        <v>0</v>
      </c>
      <c r="AH74" s="56" t="b">
        <f>IF(OR(AND($H$6="Medicaid",MID($A74,1,FIND(".",$A74,1)-1)="II"),AND($H$6="CHIP",MID($A74,1,FIND(".",$A74,1)-1)="I")),TRUE,FALSE)</f>
        <v>0</v>
      </c>
      <c r="AP74" s="69" t="str">
        <f>IF(AO74=1,1,"")</f>
        <v/>
      </c>
      <c r="AX74" s="5">
        <v>0</v>
      </c>
    </row>
    <row r="75" spans="1:50" ht="58.5" customHeight="1" x14ac:dyDescent="0.25">
      <c r="A75" s="294" t="s">
        <v>1691</v>
      </c>
      <c r="B75" s="295" t="s">
        <v>1692</v>
      </c>
      <c r="C75" s="295" t="s">
        <v>1693</v>
      </c>
      <c r="D75" s="446"/>
      <c r="E75" s="297"/>
      <c r="F75" s="297"/>
      <c r="G75" s="297"/>
      <c r="H75" s="214"/>
      <c r="I75" s="92" t="s">
        <v>168</v>
      </c>
      <c r="J75" s="92" t="s">
        <v>178</v>
      </c>
      <c r="K75" s="92" t="s">
        <v>185</v>
      </c>
      <c r="L75" s="71" t="s">
        <v>190</v>
      </c>
      <c r="M75" s="71"/>
      <c r="N75" s="71"/>
      <c r="O75" s="71"/>
      <c r="P75" s="71" t="s">
        <v>380</v>
      </c>
      <c r="Q75" s="71" t="b">
        <f>IF(OR(AND($C$2="Base contract",$C$3="No, section requirements must be reviewed", $AF75=FALSE,$AG75=FALSE),AND($C$2="Contract amendment",$C$3="No, section requirements must be reviewed",$AF75=FALSE,$AG75=FALSE)),"MUNN")</f>
        <v>0</v>
      </c>
      <c r="R75" s="64">
        <v>42917</v>
      </c>
      <c r="S75" s="64"/>
      <c r="T75" s="64"/>
      <c r="U75" s="97">
        <f>IF(OR($E$73="N/A",AND(AX75=0,'Cover Sheet'!$B$29="Streamlined Review"),AND(E75="Met",F75&lt;&gt;""),AND(E75="Not met",G75&lt;&gt;""),AND(E75="Unsure",G75&lt;&gt;""),AND(E75="N/A",H75&lt;&gt;""),AND(Y75=TRUE)),1,0)</f>
        <v>0</v>
      </c>
      <c r="X75" s="126" t="b">
        <f>IF(OR(Y75=TRUE,V75=TRUE,AM75=TRUE),TRUE,FALSE)</f>
        <v>0</v>
      </c>
      <c r="Y75" s="126" t="b">
        <f>IF(SUM(Z75:AE75)&lt;1,TRUE,FALSE)</f>
        <v>0</v>
      </c>
      <c r="Z75" s="126">
        <f>IF($Z$2=I75,1,0)</f>
        <v>1</v>
      </c>
      <c r="AA75" s="126">
        <f>IF($AA$2=J75,1,0)</f>
        <v>0</v>
      </c>
      <c r="AB75" s="126">
        <f>IF($AB$2=K75,1,0)</f>
        <v>0</v>
      </c>
      <c r="AC75" s="126">
        <f>IF($AC$2=L75,1,0)</f>
        <v>0</v>
      </c>
      <c r="AD75" s="126">
        <f>IF($AD$2=M75,1,0)</f>
        <v>0</v>
      </c>
      <c r="AE75" s="126">
        <f>IF($AE$2=O75,1,0)</f>
        <v>0</v>
      </c>
      <c r="AF75" s="53" t="b">
        <f>IF($H$1&lt;&gt;0,IF($H$1&lt;&gt;I75,IF($H$1&lt;&gt;J75,IF($H$1&lt;&gt;K75,IF($H$1&lt;&gt;L75,IF($H$1&lt;&gt;M75,IF($H$1&lt;&gt;N75,IF($H$1&lt;&gt;O75,TRUE,FALSE))))))))</f>
        <v>0</v>
      </c>
      <c r="AG75" s="54" t="b">
        <f>IF(AH75=TRUE,TRUE,FALSE)</f>
        <v>0</v>
      </c>
      <c r="AH75" s="56" t="b">
        <f>IF(OR(AND($H$6="Medicaid",MID($A75,1,FIND(".",$A75,1)-1)="II"),AND($H$6="CHIP",MID($A75,1,FIND(".",$A75,1)-1)="I")),TRUE,FALSE)</f>
        <v>0</v>
      </c>
      <c r="AP75" s="69" t="str">
        <f>IF(AO75=1,1,"")</f>
        <v/>
      </c>
      <c r="AX75" s="5">
        <v>0</v>
      </c>
    </row>
    <row r="76" spans="1:50" ht="60" customHeight="1" x14ac:dyDescent="0.25">
      <c r="A76" s="294" t="s">
        <v>1694</v>
      </c>
      <c r="B76" s="295" t="s">
        <v>1695</v>
      </c>
      <c r="C76" s="295" t="s">
        <v>1696</v>
      </c>
      <c r="D76" s="446"/>
      <c r="E76" s="297"/>
      <c r="F76" s="297"/>
      <c r="G76" s="297"/>
      <c r="H76" s="214"/>
      <c r="I76" s="92" t="s">
        <v>168</v>
      </c>
      <c r="J76" s="92" t="s">
        <v>178</v>
      </c>
      <c r="K76" s="92" t="s">
        <v>185</v>
      </c>
      <c r="L76" s="71" t="s">
        <v>190</v>
      </c>
      <c r="M76" s="71"/>
      <c r="N76" s="71"/>
      <c r="O76" s="71"/>
      <c r="P76" s="71" t="s">
        <v>380</v>
      </c>
      <c r="Q76" s="71" t="b">
        <f>IF(OR(AND($C$2="Base contract",$C$3="No, section requirements must be reviewed", $AF76=FALSE,$AG76=FALSE),AND($C$2="Contract amendment",$C$3="No, section requirements must be reviewed",$AF76=FALSE,$AG76=FALSE)),"MUNN")</f>
        <v>0</v>
      </c>
      <c r="R76" s="64">
        <v>42917</v>
      </c>
      <c r="S76" s="64"/>
      <c r="T76" s="64"/>
      <c r="U76" s="97">
        <f>IF(OR($E$73="N/A",AND(AX76=0,'Cover Sheet'!$B$29="Streamlined Review"),AND(E76="Met",F76&lt;&gt;""),AND(E76="Not met",G76&lt;&gt;""),AND(E76="Unsure",G76&lt;&gt;""),AND(E76="N/A",H76&lt;&gt;""),AND(Y76=TRUE)),1,0)</f>
        <v>0</v>
      </c>
      <c r="X76" s="126" t="b">
        <f>IF(OR(Y76=TRUE,V76=TRUE,AM76=TRUE),TRUE,FALSE)</f>
        <v>0</v>
      </c>
      <c r="Y76" s="126" t="b">
        <f>IF(SUM(Z76:AE76)&lt;1,TRUE,FALSE)</f>
        <v>0</v>
      </c>
      <c r="Z76" s="126">
        <f>IF($Z$2=I76,1,0)</f>
        <v>1</v>
      </c>
      <c r="AA76" s="126">
        <f>IF($AA$2=J76,1,0)</f>
        <v>0</v>
      </c>
      <c r="AB76" s="126">
        <f>IF($AB$2=K76,1,0)</f>
        <v>0</v>
      </c>
      <c r="AC76" s="126">
        <f>IF($AC$2=L76,1,0)</f>
        <v>0</v>
      </c>
      <c r="AD76" s="126">
        <f>IF($AD$2=M76,1,0)</f>
        <v>0</v>
      </c>
      <c r="AE76" s="126">
        <f>IF($AE$2=O76,1,0)</f>
        <v>0</v>
      </c>
      <c r="AF76" s="53" t="b">
        <f>IF($H$1&lt;&gt;0,IF($H$1&lt;&gt;I76,IF($H$1&lt;&gt;J76,IF($H$1&lt;&gt;K76,IF($H$1&lt;&gt;L76,IF($H$1&lt;&gt;M76,IF($H$1&lt;&gt;N76,IF($H$1&lt;&gt;O76,TRUE,FALSE))))))))</f>
        <v>0</v>
      </c>
      <c r="AG76" s="54" t="b">
        <f>IF(AH76=TRUE,TRUE,FALSE)</f>
        <v>0</v>
      </c>
      <c r="AH76" s="56" t="b">
        <f>IF(OR(AND($H$6="Medicaid",MID($A76,1,FIND(".",$A76,1)-1)="II"),AND($H$6="CHIP",MID($A76,1,FIND(".",$A76,1)-1)="I")),TRUE,FALSE)</f>
        <v>0</v>
      </c>
      <c r="AP76" s="69" t="str">
        <f>IF(AO76=1,1,"")</f>
        <v/>
      </c>
      <c r="AX76" s="5">
        <v>0</v>
      </c>
    </row>
    <row r="77" spans="1:50" ht="61.5" customHeight="1" thickBot="1" x14ac:dyDescent="0.3">
      <c r="A77" s="351" t="s">
        <v>1697</v>
      </c>
      <c r="B77" s="339" t="s">
        <v>1698</v>
      </c>
      <c r="C77" s="339" t="s">
        <v>1699</v>
      </c>
      <c r="D77" s="449"/>
      <c r="E77" s="340"/>
      <c r="F77" s="340"/>
      <c r="G77" s="340"/>
      <c r="H77" s="215"/>
      <c r="I77" s="92" t="s">
        <v>168</v>
      </c>
      <c r="J77" s="92" t="s">
        <v>178</v>
      </c>
      <c r="K77" s="92" t="s">
        <v>185</v>
      </c>
      <c r="L77" s="71" t="s">
        <v>190</v>
      </c>
      <c r="M77" s="71"/>
      <c r="N77" s="71"/>
      <c r="O77" s="71"/>
      <c r="P77" s="71" t="s">
        <v>380</v>
      </c>
      <c r="Q77" s="71" t="b">
        <f>IF(OR(AND($C$2="Base contract",$C$3="No, section requirements must be reviewed", $AF77=FALSE,$AG77=FALSE),AND($C$2="Contract amendment",$C$3="No, section requirements must be reviewed",$AF77=FALSE,$AG77=FALSE)),"MUNN")</f>
        <v>0</v>
      </c>
      <c r="R77" s="64">
        <v>42917</v>
      </c>
      <c r="S77" s="64"/>
      <c r="T77" s="64"/>
      <c r="U77" s="97">
        <f>IF(OR($E$73="N/A",AND(AX77=0,'Cover Sheet'!$B$29="Streamlined Review"),AND(E77="Met",F77&lt;&gt;""),AND(E77="Not met",G77&lt;&gt;""),AND(E77="Unsure",G77&lt;&gt;""),AND(E77="N/A",H77&lt;&gt;""),AND(Y77=TRUE)),1,0)</f>
        <v>0</v>
      </c>
      <c r="X77" s="126" t="b">
        <f>IF(OR(Y77=TRUE,V77=TRUE,AM77=TRUE),TRUE,FALSE)</f>
        <v>0</v>
      </c>
      <c r="Y77" s="126" t="b">
        <f>IF(SUM(Z77:AE77)&lt;1,TRUE,FALSE)</f>
        <v>0</v>
      </c>
      <c r="Z77" s="126">
        <f>IF($Z$2=I77,1,0)</f>
        <v>1</v>
      </c>
      <c r="AA77" s="126">
        <f>IF($AA$2=J77,1,0)</f>
        <v>0</v>
      </c>
      <c r="AB77" s="126">
        <f>IF($AB$2=K77,1,0)</f>
        <v>0</v>
      </c>
      <c r="AC77" s="126">
        <f>IF($AC$2=L77,1,0)</f>
        <v>0</v>
      </c>
      <c r="AD77" s="126">
        <f>IF($AD$2=M77,1,0)</f>
        <v>0</v>
      </c>
      <c r="AE77" s="126">
        <f>IF($AE$2=O77,1,0)</f>
        <v>0</v>
      </c>
      <c r="AF77" s="53" t="b">
        <f>IF($H$1&lt;&gt;0,IF($H$1&lt;&gt;I77,IF($H$1&lt;&gt;J77,IF($H$1&lt;&gt;K77,IF($H$1&lt;&gt;L77,IF($H$1&lt;&gt;M77,IF($H$1&lt;&gt;N77,IF($H$1&lt;&gt;O77,TRUE,FALSE))))))))</f>
        <v>0</v>
      </c>
      <c r="AG77" s="54" t="b">
        <f>IF(AH77=TRUE,TRUE,FALSE)</f>
        <v>0</v>
      </c>
      <c r="AH77" s="56" t="b">
        <f>IF(OR(AND($H$6="Medicaid",MID($A77,1,FIND(".",$A77,1)-1)="II"),AND($H$6="CHIP",MID($A77,1,FIND(".",$A77,1)-1)="I")),TRUE,FALSE)</f>
        <v>0</v>
      </c>
      <c r="AP77" s="69" t="str">
        <f>IF(AO77=1,1,"")</f>
        <v/>
      </c>
      <c r="AX77" s="5">
        <v>0</v>
      </c>
    </row>
    <row r="78" spans="1:50" x14ac:dyDescent="0.25">
      <c r="A78" s="302" t="s">
        <v>442</v>
      </c>
      <c r="B78" s="303"/>
      <c r="C78" s="547"/>
      <c r="D78" s="304"/>
      <c r="E78" s="269"/>
      <c r="F78" s="270"/>
      <c r="G78" s="271"/>
      <c r="H78" s="271"/>
      <c r="AN78" s="84"/>
    </row>
    <row r="79" spans="1:50" ht="42" customHeight="1" x14ac:dyDescent="0.25">
      <c r="A79" s="550">
        <v>1</v>
      </c>
      <c r="B79" s="571" t="s">
        <v>1700</v>
      </c>
      <c r="C79" s="571"/>
      <c r="D79" s="571"/>
      <c r="E79" s="571"/>
      <c r="F79" s="571"/>
      <c r="G79" s="571"/>
      <c r="H79" s="571"/>
      <c r="AN79" s="84"/>
    </row>
    <row r="80" spans="1:50" ht="233.1" customHeight="1" x14ac:dyDescent="0.25">
      <c r="A80" s="550">
        <v>2</v>
      </c>
      <c r="B80" s="571" t="s">
        <v>1701</v>
      </c>
      <c r="C80" s="571"/>
      <c r="D80" s="571"/>
      <c r="E80" s="571"/>
      <c r="F80" s="571"/>
      <c r="G80" s="571"/>
      <c r="H80" s="571"/>
      <c r="AN80" s="84"/>
    </row>
    <row r="81" spans="1:40" ht="27.6" customHeight="1" x14ac:dyDescent="0.25">
      <c r="A81" s="550">
        <v>3</v>
      </c>
      <c r="B81" s="571" t="s">
        <v>1702</v>
      </c>
      <c r="C81" s="571"/>
      <c r="D81" s="571"/>
      <c r="E81" s="571"/>
      <c r="F81" s="571"/>
      <c r="G81" s="571"/>
      <c r="H81" s="571"/>
      <c r="AN81" s="84"/>
    </row>
    <row r="82" spans="1:40" ht="30.75" customHeight="1" x14ac:dyDescent="0.25">
      <c r="A82" s="550">
        <v>4</v>
      </c>
      <c r="B82" s="571" t="s">
        <v>1703</v>
      </c>
      <c r="C82" s="571"/>
      <c r="D82" s="571"/>
      <c r="E82" s="571"/>
      <c r="F82" s="571"/>
      <c r="G82" s="571"/>
      <c r="H82" s="571"/>
      <c r="AN82" s="84"/>
    </row>
    <row r="83" spans="1:40" ht="45" customHeight="1" x14ac:dyDescent="0.25">
      <c r="A83" s="550">
        <v>5</v>
      </c>
      <c r="B83" s="571" t="s">
        <v>1704</v>
      </c>
      <c r="C83" s="571"/>
      <c r="D83" s="571"/>
      <c r="E83" s="571"/>
      <c r="F83" s="571"/>
      <c r="G83" s="571"/>
      <c r="H83" s="571"/>
      <c r="AN83" s="84"/>
    </row>
    <row r="84" spans="1:40" ht="32.25" customHeight="1" x14ac:dyDescent="0.25">
      <c r="A84" s="550">
        <v>6</v>
      </c>
      <c r="B84" s="571" t="s">
        <v>1705</v>
      </c>
      <c r="C84" s="571"/>
      <c r="D84" s="571"/>
      <c r="E84" s="571"/>
      <c r="F84" s="571"/>
      <c r="G84" s="571"/>
      <c r="H84" s="571"/>
      <c r="AN84" s="84"/>
    </row>
    <row r="85" spans="1:40" ht="35.25" customHeight="1" x14ac:dyDescent="0.25">
      <c r="A85" s="147"/>
      <c r="B85" s="597"/>
      <c r="C85" s="597"/>
      <c r="D85" s="597"/>
      <c r="E85" s="597"/>
      <c r="F85" s="597"/>
      <c r="G85" s="597"/>
      <c r="H85" s="597"/>
      <c r="AN85" s="84"/>
    </row>
    <row r="86" spans="1:40" x14ac:dyDescent="0.25">
      <c r="F86" s="6"/>
      <c r="AN86" s="84"/>
    </row>
    <row r="87" spans="1:40" x14ac:dyDescent="0.25">
      <c r="F87" s="6"/>
      <c r="AN87" s="84"/>
    </row>
    <row r="88" spans="1:40" x14ac:dyDescent="0.25">
      <c r="F88" s="6"/>
      <c r="AN88" s="84"/>
    </row>
    <row r="89" spans="1:40" x14ac:dyDescent="0.25">
      <c r="F89" s="6"/>
      <c r="AN89" s="84"/>
    </row>
    <row r="90" spans="1:40" x14ac:dyDescent="0.25">
      <c r="F90" s="6"/>
      <c r="AN90" s="84"/>
    </row>
    <row r="91" spans="1:40" x14ac:dyDescent="0.25">
      <c r="F91" s="6"/>
      <c r="AN91" s="84"/>
    </row>
    <row r="92" spans="1:40" x14ac:dyDescent="0.25">
      <c r="F92" s="6"/>
      <c r="AN92" s="84"/>
    </row>
    <row r="93" spans="1:40" x14ac:dyDescent="0.25">
      <c r="F93" s="6"/>
      <c r="AN93" s="84"/>
    </row>
    <row r="94" spans="1:40" x14ac:dyDescent="0.25">
      <c r="F94" s="6"/>
      <c r="AN94" s="84"/>
    </row>
    <row r="95" spans="1:40" x14ac:dyDescent="0.25">
      <c r="F95" s="6"/>
      <c r="AN95" s="84"/>
    </row>
    <row r="96" spans="1:40" x14ac:dyDescent="0.25">
      <c r="F96" s="6"/>
      <c r="AN96" s="84"/>
    </row>
    <row r="97" spans="6:40" x14ac:dyDescent="0.25">
      <c r="F97" s="6"/>
      <c r="AN97" s="84"/>
    </row>
    <row r="98" spans="6:40" x14ac:dyDescent="0.25">
      <c r="F98" s="6"/>
      <c r="AN98" s="84"/>
    </row>
    <row r="99" spans="6:40" x14ac:dyDescent="0.25">
      <c r="F99" s="6"/>
      <c r="AN99" s="84"/>
    </row>
    <row r="100" spans="6:40" x14ac:dyDescent="0.25">
      <c r="F100" s="6"/>
      <c r="AN100" s="84"/>
    </row>
    <row r="101" spans="6:40" x14ac:dyDescent="0.25">
      <c r="F101" s="6"/>
      <c r="AN101" s="84"/>
    </row>
    <row r="102" spans="6:40" x14ac:dyDescent="0.25">
      <c r="F102" s="6"/>
      <c r="AN102" s="84"/>
    </row>
    <row r="103" spans="6:40" x14ac:dyDescent="0.25">
      <c r="F103" s="6"/>
      <c r="AN103" s="84"/>
    </row>
    <row r="104" spans="6:40" x14ac:dyDescent="0.25">
      <c r="F104" s="6"/>
      <c r="AN104" s="84"/>
    </row>
    <row r="105" spans="6:40" x14ac:dyDescent="0.25">
      <c r="F105" s="6"/>
      <c r="AN105" s="84"/>
    </row>
    <row r="106" spans="6:40" x14ac:dyDescent="0.25">
      <c r="F106" s="6"/>
      <c r="AN106" s="84"/>
    </row>
    <row r="107" spans="6:40" x14ac:dyDescent="0.25">
      <c r="F107" s="6"/>
      <c r="AN107" s="84"/>
    </row>
    <row r="108" spans="6:40" x14ac:dyDescent="0.25">
      <c r="F108" s="6"/>
      <c r="AN108" s="84"/>
    </row>
  </sheetData>
  <sheetProtection algorithmName="SHA-512" hashValue="9FyTqCynK704pdpk5hrUz0GV50Z5Od14TgfjPFrTUsjEU54nxOkoye6R+aDCB0xuOFXPXtEx2qc6m0H9YcNNvg==" saltValue="NZcnXjI2IrHcnOhgXDUBlw==" spinCount="100000" sheet="1" formatColumns="0" formatRows="0"/>
  <mergeCells count="10">
    <mergeCell ref="Z1:AE1"/>
    <mergeCell ref="A1:F1"/>
    <mergeCell ref="B85:H85"/>
    <mergeCell ref="A2:B2"/>
    <mergeCell ref="B84:H84"/>
    <mergeCell ref="B79:H79"/>
    <mergeCell ref="B80:H80"/>
    <mergeCell ref="B82:H82"/>
    <mergeCell ref="B83:H83"/>
    <mergeCell ref="B81:H81"/>
  </mergeCells>
  <conditionalFormatting sqref="A9:H9 A8:D8 F8:H8 A11:H20 A10:D10 F10:H10 A21:D21 F21:H21 A33:H37 A32:D32 F32:H32 A38:D38 F38:H38 A57:H57 A56:D56 F56:H56 A58:D58 F58:H58 A74:H77 A73:D73 F73:H73 A25:H31 A24:F24 H24 A22:H23 A39:H55 A59:H72">
    <cfRule type="expression" dxfId="85" priority="3823">
      <formula>$C$3="Yes, section requirements are not applicable"</formula>
    </cfRule>
  </conditionalFormatting>
  <conditionalFormatting sqref="E8 E32 E38 E56 E58 E73">
    <cfRule type="expression" dxfId="84" priority="32">
      <formula>$AN8=1</formula>
    </cfRule>
    <cfRule type="expression" dxfId="83" priority="33">
      <formula>$C$3="Yes, section requirements are not included in the contract amendment"</formula>
    </cfRule>
    <cfRule type="expression" dxfId="82" priority="34">
      <formula>OR($AG8=TRUE,$AF8=TRUE)</formula>
    </cfRule>
  </conditionalFormatting>
  <conditionalFormatting sqref="E10">
    <cfRule type="expression" dxfId="81" priority="29">
      <formula>$AN10=1</formula>
    </cfRule>
    <cfRule type="expression" dxfId="80" priority="30">
      <formula>$C$3="Yes, section requirements are not included in the contract amendment"</formula>
    </cfRule>
    <cfRule type="expression" dxfId="79" priority="31">
      <formula>OR($AG10=TRUE,$AF10=TRUE)</formula>
    </cfRule>
  </conditionalFormatting>
  <conditionalFormatting sqref="E21">
    <cfRule type="expression" dxfId="78" priority="26">
      <formula>$AN21=1</formula>
    </cfRule>
    <cfRule type="expression" dxfId="77" priority="27">
      <formula>$C$3="Yes, section requirements are not included in the contract amendment"</formula>
    </cfRule>
    <cfRule type="expression" dxfId="76" priority="28">
      <formula>OR($AG21=TRUE,$AF21=TRUE)</formula>
    </cfRule>
  </conditionalFormatting>
  <conditionalFormatting sqref="A9:H9">
    <cfRule type="expression" dxfId="75" priority="10">
      <formula>$E$8="N/A"</formula>
    </cfRule>
  </conditionalFormatting>
  <conditionalFormatting sqref="A11:H20">
    <cfRule type="expression" dxfId="74" priority="9">
      <formula>$E$10="N/A"</formula>
    </cfRule>
  </conditionalFormatting>
  <conditionalFormatting sqref="A22:H31">
    <cfRule type="expression" dxfId="73" priority="8">
      <formula>$E$21="N/A"</formula>
    </cfRule>
  </conditionalFormatting>
  <conditionalFormatting sqref="A33:H37">
    <cfRule type="expression" dxfId="72" priority="7">
      <formula>$E$32="N/A"</formula>
    </cfRule>
  </conditionalFormatting>
  <conditionalFormatting sqref="A39:H55">
    <cfRule type="expression" dxfId="71" priority="6">
      <formula>$E$38="N/A"</formula>
    </cfRule>
  </conditionalFormatting>
  <conditionalFormatting sqref="A57:H57">
    <cfRule type="expression" dxfId="70" priority="5">
      <formula>$E$56="N/A"</formula>
    </cfRule>
  </conditionalFormatting>
  <conditionalFormatting sqref="A59:H72">
    <cfRule type="expression" dxfId="69" priority="4">
      <formula>$E$58="N/A"</formula>
    </cfRule>
  </conditionalFormatting>
  <conditionalFormatting sqref="A74:H77">
    <cfRule type="expression" dxfId="68" priority="3">
      <formula>$E$73="N/A"</formula>
    </cfRule>
  </conditionalFormatting>
  <conditionalFormatting sqref="A9:H9 A11:H20 A22:H31 A33:H37 A39:H55 A57:H57 A59:H72 A74:H77">
    <cfRule type="expression" dxfId="67" priority="2">
      <formula>$X9=TRUE</formula>
    </cfRule>
  </conditionalFormatting>
  <dataValidations count="3">
    <dataValidation type="list" allowBlank="1" showInputMessage="1" showErrorMessage="1" sqref="C3" xr:uid="{00000000-0002-0000-0A00-000000000000}">
      <formula1>$K$2:$K$3</formula1>
    </dataValidation>
    <dataValidation type="list" allowBlank="1" showInputMessage="1" showErrorMessage="1" sqref="E9 E22:E31 E33:E37 E57 E59:E72 E74:E77 E11:E20 E39:E55" xr:uid="{A00CAD34-C511-4850-8B3D-24C98476D381}">
      <formula1>$J$1:$J$4</formula1>
    </dataValidation>
    <dataValidation type="list" allowBlank="1" showInputMessage="1" showErrorMessage="1" sqref="E8 E10 E21 E32 E38 E56 E58 E73" xr:uid="{14932636-6048-46F2-9788-A37C005DE698}">
      <formula1>$AP$1</formula1>
    </dataValidation>
  </dataValidations>
  <hyperlinks>
    <hyperlink ref="D20" location="'G. Quality and UM'!A79" display="1,2" xr:uid="{D701B6C7-528A-4C24-AD4A-070B5D517883}"/>
    <hyperlink ref="D27" location="'G. Quality and UM'!A81" display="'G. Quality and UM'!A81" xr:uid="{46992C2A-91B0-4289-A08F-8C35CCBD92CC}"/>
    <hyperlink ref="D39" location="'G. Quality and UM'!A82" display="'G. Quality and UM'!A82" xr:uid="{CA3743F4-7CCB-4A33-9ACC-65E53DFEC43B}"/>
    <hyperlink ref="D59" location="'G. Quality and UM'!A83" display="5, 6" xr:uid="{25B6884F-7ABB-42A5-8BE5-B96B24674931}"/>
    <hyperlink ref="D65" location="'G. Quality and UM'!A84" display="'G. Quality and UM'!A84" xr:uid="{3D2E10EC-BA76-4CCA-A2AD-3F3A099A4689}"/>
    <hyperlink ref="D72" location="'G. Quality and UM'!A83" display="5,6" xr:uid="{416E462D-E6C5-481B-AFAF-9FFE8551EEC2}"/>
    <hyperlink ref="A79" location="'G. Quality and UM'!D39" display="1a" xr:uid="{49F39B24-DB2C-4189-8173-E087F3CCD66A}"/>
    <hyperlink ref="A80" location="'G. Quality and UM'!D20" display="'G. Quality and UM'!D20" xr:uid="{63FDA370-FF16-4FCB-8101-0D62534CA67A}"/>
    <hyperlink ref="A81" location="'G. Quality and UM'!D27" display="'G. Quality and UM'!D27" xr:uid="{D5838C03-1FB3-49D9-9C0F-1F47982B006B}"/>
    <hyperlink ref="A82" location="'G. Quality and UM'!D39" display="'G. Quality and UM'!D39" xr:uid="{1D5BABBC-EFE2-40CD-9BD7-0D5897B16462}"/>
    <hyperlink ref="A83" location="'G. Quality and UM'!D59" display="'G. Quality and UM'!D59" xr:uid="{6E249776-1514-4358-84BD-F0E166F1102E}"/>
    <hyperlink ref="A84" location="'G. Quality and UM'!D65" display="'G. Quality and UM'!D65" xr:uid="{9F08C581-0264-4980-B700-DD54B7BD8B50}"/>
    <hyperlink ref="D41" location="'G. Quality and UM'!A82" display="'G. Quality and UM'!A82" xr:uid="{D262E9CF-F4C8-44C6-8F47-3C9FD536E095}"/>
    <hyperlink ref="D42" location="'G. Quality and UM'!A82" display="'G. Quality and UM'!A82" xr:uid="{11712C6B-61AD-4A05-8D2B-4256DE8448A3}"/>
    <hyperlink ref="D47" location="'G. Quality and UM'!A82" display="'G. Quality and UM'!A82" xr:uid="{C3259510-1350-4A3F-BE47-AA3631D73E60}"/>
    <hyperlink ref="D55" location="'G. Quality and UM'!A82" display="'G. Quality and UM'!A82" xr:uid="{404F569D-28C5-40B8-92DB-8D4AE311D0A0}"/>
    <hyperlink ref="D63" location="'G. Quality and UM'!A83" display="5, 6" xr:uid="{62F27F26-389B-433D-9A4F-0CB97B67B742}"/>
    <hyperlink ref="D69" location="'G. Quality and UM'!A83" display="5, 6" xr:uid="{3E8B05EF-4480-4950-8352-F499EC54DDB8}"/>
    <hyperlink ref="D70" location="'G. Quality and UM'!A83" display="5, 6" xr:uid="{65B0DEB2-7D3C-4B6D-8709-A31750FA6F29}"/>
    <hyperlink ref="D71" location="'G. Quality and UM'!A83" display="5, 6" xr:uid="{1CE2F4CE-113C-4E02-ADB6-F7800E7D21D8}"/>
  </hyperlinks>
  <pageMargins left="0.25" right="0.25" top="0.75" bottom="0.75" header="0.3" footer="0.3"/>
  <pageSetup scale="78" fitToHeight="0" orientation="landscape" horizontalDpi="4294967293" verticalDpi="4294967293" r:id="rId1"/>
  <extLst>
    <ext xmlns:x14="http://schemas.microsoft.com/office/spreadsheetml/2009/9/main" uri="{78C0D931-6437-407d-A8EE-F0AAD7539E65}">
      <x14:conditionalFormattings>
        <x14:conditionalFormatting xmlns:xm="http://schemas.microsoft.com/office/excel/2006/main">
          <x14:cfRule type="expression" priority="35" id="{01122DD7-4952-4DFE-B0D3-71B885E5AA41}">
            <xm:f>AND('Cover Sheet'!$B$29="Streamlined Review")</xm:f>
            <x14:dxf>
              <fill>
                <patternFill patternType="lightUp"/>
              </fill>
            </x14:dxf>
          </x14:cfRule>
          <xm:sqref>A9:H9 A11:H13 A15:H20 A31:H31 A33:H37 A57:H57 A74:H77 A25:H26 A24:F24 H24 A23:H23 A39:H55 A59:H72</xm:sqref>
        </x14:conditionalFormatting>
        <x14:conditionalFormatting xmlns:xm="http://schemas.microsoft.com/office/excel/2006/main">
          <x14:cfRule type="expression" priority="1" id="{23AB2E32-100F-4BF2-8267-9901DC1A3159}">
            <xm:f>AND('Cover Sheet'!$B$29="Streamlined Review")</xm:f>
            <x14:dxf>
              <fill>
                <patternFill patternType="lightDown"/>
              </fill>
            </x14:dxf>
          </x14:cfRule>
          <xm:sqref>G24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AV107"/>
  <sheetViews>
    <sheetView zoomScale="83" zoomScaleNormal="83" workbookViewId="0">
      <pane ySplit="7" topLeftCell="A8" activePane="bottomLeft" state="frozen"/>
      <selection activeCell="B1" sqref="B1"/>
      <selection pane="bottomLeft" sqref="A1:F1"/>
    </sheetView>
  </sheetViews>
  <sheetFormatPr defaultColWidth="9.28515625" defaultRowHeight="15" x14ac:dyDescent="0.25"/>
  <cols>
    <col min="1" max="1" width="11.7109375" customWidth="1"/>
    <col min="2" max="2" width="17.28515625" style="7" customWidth="1"/>
    <col min="3" max="3" width="74.28515625" style="152" customWidth="1"/>
    <col min="4" max="4" width="7.5703125" style="8" customWidth="1"/>
    <col min="5" max="5" width="8.5703125" style="5" customWidth="1"/>
    <col min="6" max="6" width="8.5703125" customWidth="1"/>
    <col min="7" max="7" width="22.42578125" customWidth="1"/>
    <col min="8" max="8" width="26.42578125" customWidth="1"/>
    <col min="9" max="9" width="17.5703125" style="141" hidden="1" customWidth="1"/>
    <col min="10" max="10" width="9.5703125" style="139" hidden="1" customWidth="1"/>
    <col min="11" max="11" width="6.28515625" style="139" hidden="1" customWidth="1"/>
    <col min="12" max="12" width="6.7109375" style="139" hidden="1" customWidth="1"/>
    <col min="13" max="13" width="11.28515625" style="138" hidden="1" customWidth="1"/>
    <col min="14" max="15" width="6.28515625" style="116" hidden="1" customWidth="1"/>
    <col min="16" max="16" width="8.7109375" style="116" hidden="1" customWidth="1"/>
    <col min="17" max="17" width="7.7109375" style="116" hidden="1" customWidth="1"/>
    <col min="18" max="20" width="12.42578125" style="117" hidden="1" customWidth="1"/>
    <col min="21" max="21" width="21" style="122" hidden="1" customWidth="1"/>
    <col min="22" max="22" width="23.5703125" style="116" hidden="1" customWidth="1"/>
    <col min="23" max="31" width="26.5703125" style="88" hidden="1" customWidth="1"/>
    <col min="32" max="32" width="60.7109375" style="69" hidden="1" customWidth="1"/>
    <col min="33" max="33" width="33.42578125" style="106" hidden="1" customWidth="1"/>
    <col min="34" max="34" width="10.42578125" style="69" hidden="1" customWidth="1"/>
    <col min="35" max="35" width="61.42578125" style="84" hidden="1" customWidth="1"/>
    <col min="36" max="36" width="19.28515625" style="69" hidden="1" customWidth="1"/>
    <col min="37" max="37" width="13.42578125" style="69" hidden="1" customWidth="1"/>
    <col min="38" max="38" width="9.28515625" style="69" hidden="1" customWidth="1"/>
    <col min="39" max="39" width="15.5703125" style="69" hidden="1" customWidth="1"/>
    <col min="40" max="46" width="9.28515625" style="69" hidden="1" customWidth="1"/>
    <col min="47" max="47" width="11" hidden="1" customWidth="1"/>
    <col min="48" max="48" width="9.28515625" hidden="1" customWidth="1"/>
    <col min="49" max="58" width="9.28515625" customWidth="1"/>
  </cols>
  <sheetData>
    <row r="1" spans="1:47" ht="28.5" customHeight="1" thickBot="1" x14ac:dyDescent="0.3">
      <c r="A1" s="573" t="s">
        <v>1706</v>
      </c>
      <c r="B1" s="574"/>
      <c r="C1" s="574"/>
      <c r="D1" s="574"/>
      <c r="E1" s="574"/>
      <c r="F1" s="574"/>
      <c r="G1" s="548"/>
      <c r="H1" s="280"/>
      <c r="I1" s="25"/>
      <c r="J1" s="26" t="s">
        <v>311</v>
      </c>
      <c r="K1" s="27"/>
      <c r="L1" s="51"/>
      <c r="M1" s="52" t="b">
        <f>IF($C$2="Base contract","Blist",IF($C$2="Contract Amendment","Alist"))</f>
        <v>0</v>
      </c>
      <c r="N1" s="53"/>
      <c r="O1" s="29"/>
      <c r="P1" s="53"/>
      <c r="Q1" s="53"/>
      <c r="R1" s="53"/>
      <c r="S1" s="53"/>
      <c r="T1" s="53"/>
      <c r="U1" s="38"/>
      <c r="V1" s="112"/>
      <c r="W1" s="546"/>
      <c r="X1" s="545"/>
      <c r="Y1" s="545"/>
      <c r="Z1" s="581" t="s">
        <v>313</v>
      </c>
      <c r="AA1" s="582"/>
      <c r="AB1" s="582"/>
      <c r="AC1" s="582"/>
      <c r="AD1" s="582"/>
      <c r="AE1" s="582"/>
      <c r="AF1" s="57"/>
      <c r="AG1" s="46" t="s">
        <v>318</v>
      </c>
      <c r="AH1" s="56"/>
      <c r="AI1" s="56"/>
      <c r="AJ1" s="56"/>
      <c r="AK1" s="56"/>
      <c r="AM1" s="69" t="s">
        <v>319</v>
      </c>
      <c r="AU1" s="5"/>
    </row>
    <row r="2" spans="1:47" ht="30.6" customHeight="1" x14ac:dyDescent="0.25">
      <c r="A2" s="588" t="s">
        <v>320</v>
      </c>
      <c r="B2" s="589"/>
      <c r="C2" s="551">
        <f>'Cover Sheet'!B6</f>
        <v>0</v>
      </c>
      <c r="D2" s="218"/>
      <c r="E2" s="281"/>
      <c r="F2" s="282"/>
      <c r="G2" s="283" t="s">
        <v>1077</v>
      </c>
      <c r="H2" s="284" t="str">
        <f>I2</f>
        <v>Not Started</v>
      </c>
      <c r="I2" s="25" t="str">
        <f>IF(OR($C$3="Yes, section requirements are not applicable",$C$3="Yes, all requirements on the sheet are crosshatched",AND(E8="N/A",E20="N/A",E27="N/A",E39="N/A",E43="N/A",E47="N/A",E58="N/A",E69="N/A",E72="N/A",E79="N/A",E89="N/A")),"Section Review N/A",IF((COUNTA(A8:A97)+COUNTBLANK(A8:A97)=COUNTBLANK(E8:E97)),"Not Started",IF((COUNTA(A8:A97)&gt;SUM(U8:U97)),"In Progress","Section Review Complete")))</f>
        <v>Not Started</v>
      </c>
      <c r="J2" s="25" t="s">
        <v>322</v>
      </c>
      <c r="K2" s="27" t="s">
        <v>323</v>
      </c>
      <c r="L2" s="27"/>
      <c r="M2" s="28"/>
      <c r="N2" s="53"/>
      <c r="O2" s="29"/>
      <c r="P2" s="53"/>
      <c r="Q2" s="53"/>
      <c r="R2" s="53"/>
      <c r="S2" s="53"/>
      <c r="T2" s="53"/>
      <c r="U2" s="38"/>
      <c r="V2" s="59"/>
      <c r="W2" s="29"/>
      <c r="X2" s="59"/>
      <c r="Y2" s="59"/>
      <c r="Z2" s="54" t="str">
        <f>IF('Cover Sheet'!$B$13="Yes","MCO","--")</f>
        <v>MCO</v>
      </c>
      <c r="AA2" s="54" t="str">
        <f>IF('Cover Sheet'!$B$14="Yes","HIO","--")</f>
        <v>--</v>
      </c>
      <c r="AB2" s="54" t="str">
        <f>IF('Cover Sheet'!$B$15="Yes","PIHP","--")</f>
        <v>--</v>
      </c>
      <c r="AC2" s="54" t="str">
        <f>IF('Cover Sheet'!$B$16="Yes","PAHP","--")</f>
        <v>--</v>
      </c>
      <c r="AD2" s="54" t="str">
        <f>IF('Cover Sheet'!$B$17="Yes","NEMT PAHP","--")</f>
        <v>--</v>
      </c>
      <c r="AE2" s="54" t="str">
        <f>IF('Cover Sheet'!$B$18="Yes","PCCME","--")</f>
        <v>--</v>
      </c>
      <c r="AF2" s="57"/>
      <c r="AG2" s="61">
        <f>IF('Cover Sheet'!$B$4="BOTH",1,0)</f>
        <v>1</v>
      </c>
      <c r="AH2" s="56"/>
      <c r="AI2" s="56" t="s">
        <v>224</v>
      </c>
      <c r="AJ2" s="56"/>
      <c r="AK2" s="56"/>
      <c r="AU2" s="5"/>
    </row>
    <row r="3" spans="1:47" ht="15.75" thickBot="1" x14ac:dyDescent="0.3">
      <c r="A3" s="305" t="s">
        <v>324</v>
      </c>
      <c r="B3" s="306"/>
      <c r="C3" s="307" t="s">
        <v>325</v>
      </c>
      <c r="D3" s="226"/>
      <c r="E3" s="285"/>
      <c r="F3" s="286"/>
      <c r="G3" s="287" t="s">
        <v>326</v>
      </c>
      <c r="H3" s="288" t="str">
        <f>I3</f>
        <v>Not Started</v>
      </c>
      <c r="I3" s="25" t="str">
        <f>IF(OR($C$3="Yes, section requirements are not applicable",$C$3="Yes, all requirements on the sheet are crosshatched",AND(E8="N/A",E20="N/A",E27="N/A",E39="N/A",E43="N/A",E47="N/A",E58="N/A",E69="N/A",E72="N/A",E79="N/A",E89="N/A")),"Section Review N/A",IF((COUNTA(A8:A97)+COUNTBLANK(A8:A97))=COUNTBLANK(E8:E97),"Not Started",IF(OR(COUNTA(A8:A97)+COUNTBLANK(A8:A97)&lt;&gt;COUNTIF(E8:E97,"Yes")+COUNTIF(E8:E97,"Met")+COUNTIF(E8:E97,"N/A")+COUNTBLANK(E8:E97),COUNTA(A8:A97)&lt;&gt;SUM(U8:U97)),"Revisions Needed","Approved")))</f>
        <v>Not Started</v>
      </c>
      <c r="J3" s="25" t="s">
        <v>327</v>
      </c>
      <c r="K3" s="27" t="s">
        <v>325</v>
      </c>
      <c r="L3" s="27"/>
      <c r="M3" s="28"/>
      <c r="N3" s="53"/>
      <c r="O3" s="29"/>
      <c r="P3" s="53"/>
      <c r="Q3" s="53"/>
      <c r="R3" s="53"/>
      <c r="S3" s="53"/>
      <c r="T3" s="53"/>
      <c r="U3" s="38"/>
      <c r="V3" s="54"/>
      <c r="W3" s="54"/>
      <c r="X3" s="56"/>
      <c r="Y3" s="56"/>
      <c r="Z3" s="56"/>
      <c r="AA3" s="56"/>
      <c r="AB3" s="56"/>
      <c r="AC3" s="56"/>
      <c r="AD3" s="56"/>
      <c r="AE3" s="56"/>
      <c r="AF3" s="57"/>
      <c r="AG3" s="54"/>
      <c r="AH3" s="56"/>
      <c r="AI3" s="56"/>
      <c r="AJ3" s="56"/>
      <c r="AK3" s="56"/>
      <c r="AU3" s="5"/>
    </row>
    <row r="4" spans="1:47" hidden="1" x14ac:dyDescent="0.25">
      <c r="A4" s="231"/>
      <c r="B4" s="232"/>
      <c r="C4" s="289"/>
      <c r="D4" s="234"/>
      <c r="E4" s="231"/>
      <c r="F4" s="290"/>
      <c r="G4" s="290"/>
      <c r="H4" s="290"/>
      <c r="I4" s="25"/>
      <c r="J4" s="25" t="s">
        <v>319</v>
      </c>
      <c r="K4" s="27"/>
      <c r="L4" s="27"/>
      <c r="M4" s="28"/>
      <c r="N4" s="53"/>
      <c r="O4" s="29"/>
      <c r="P4" s="53"/>
      <c r="Q4" s="53"/>
      <c r="R4" s="53"/>
      <c r="S4" s="53"/>
      <c r="T4" s="53"/>
      <c r="U4" s="38"/>
      <c r="V4" s="54"/>
      <c r="W4" s="54"/>
      <c r="X4" s="56"/>
      <c r="Y4" s="56"/>
      <c r="Z4" s="56"/>
      <c r="AA4" s="56"/>
      <c r="AB4" s="56"/>
      <c r="AC4" s="56"/>
      <c r="AD4" s="56"/>
      <c r="AE4" s="56"/>
      <c r="AF4" s="57"/>
      <c r="AG4" s="54"/>
      <c r="AH4" s="56"/>
      <c r="AI4" s="56"/>
      <c r="AJ4" s="56"/>
      <c r="AK4" s="56"/>
      <c r="AU4" s="5"/>
    </row>
    <row r="5" spans="1:47" hidden="1" x14ac:dyDescent="0.25">
      <c r="A5" s="237"/>
      <c r="B5" s="238"/>
      <c r="C5" s="291"/>
      <c r="D5" s="239"/>
      <c r="E5" s="237"/>
      <c r="F5" s="292"/>
      <c r="G5" s="292"/>
      <c r="H5" s="292"/>
      <c r="I5" s="25"/>
      <c r="J5" s="25"/>
      <c r="K5" s="27"/>
      <c r="L5" s="27"/>
      <c r="M5" s="28"/>
      <c r="N5" s="53"/>
      <c r="O5" s="29"/>
      <c r="P5" s="53"/>
      <c r="Q5" s="53"/>
      <c r="R5" s="53" t="s">
        <v>330</v>
      </c>
      <c r="S5" s="53"/>
      <c r="T5" s="53"/>
      <c r="U5" s="38"/>
      <c r="V5" s="54"/>
      <c r="W5" s="54"/>
      <c r="X5" s="56"/>
      <c r="Y5" s="56"/>
      <c r="Z5" s="56"/>
      <c r="AA5" s="56"/>
      <c r="AB5" s="56"/>
      <c r="AC5" s="56"/>
      <c r="AD5" s="56"/>
      <c r="AE5" s="56"/>
      <c r="AF5" s="57"/>
      <c r="AG5" s="54"/>
      <c r="AH5" s="56"/>
      <c r="AI5" s="56"/>
      <c r="AJ5" s="56"/>
      <c r="AK5" s="56"/>
      <c r="AM5" s="69" t="s">
        <v>331</v>
      </c>
      <c r="AU5" s="5"/>
    </row>
    <row r="6" spans="1:47" ht="16.5" hidden="1" customHeight="1" thickBot="1" x14ac:dyDescent="0.3">
      <c r="A6" s="242"/>
      <c r="B6" s="243"/>
      <c r="C6" s="244"/>
      <c r="D6" s="245"/>
      <c r="E6" s="246"/>
      <c r="F6" s="247"/>
      <c r="G6" s="247"/>
      <c r="H6" s="247"/>
      <c r="I6" s="26" t="s">
        <v>466</v>
      </c>
      <c r="J6" s="25"/>
      <c r="K6" s="32"/>
      <c r="L6" s="25"/>
      <c r="M6" s="53"/>
      <c r="N6" s="53"/>
      <c r="O6" s="53"/>
      <c r="P6" s="33" t="s">
        <v>332</v>
      </c>
      <c r="Q6" s="33" t="s">
        <v>333</v>
      </c>
      <c r="R6" s="63"/>
      <c r="S6" s="63"/>
      <c r="T6" s="63"/>
      <c r="U6" s="38"/>
      <c r="V6" s="54"/>
      <c r="W6" s="112"/>
      <c r="X6" s="101" t="s">
        <v>351</v>
      </c>
      <c r="Y6" s="101" t="s">
        <v>352</v>
      </c>
      <c r="Z6" s="101"/>
      <c r="AA6" s="101"/>
      <c r="AB6" s="101"/>
      <c r="AC6" s="101"/>
      <c r="AD6" s="101"/>
      <c r="AE6" s="101"/>
      <c r="AF6" s="57"/>
      <c r="AG6" s="54"/>
      <c r="AH6" s="56"/>
      <c r="AI6" s="56"/>
      <c r="AJ6" s="56" t="s">
        <v>336</v>
      </c>
      <c r="AK6" s="56"/>
      <c r="AU6" s="5"/>
    </row>
    <row r="7" spans="1:47" ht="38.1" customHeight="1" thickBot="1" x14ac:dyDescent="0.3">
      <c r="A7" s="249" t="s">
        <v>337</v>
      </c>
      <c r="B7" s="250" t="s">
        <v>338</v>
      </c>
      <c r="C7" s="251" t="s">
        <v>339</v>
      </c>
      <c r="D7" s="251" t="s">
        <v>340</v>
      </c>
      <c r="E7" s="251" t="s">
        <v>341</v>
      </c>
      <c r="F7" s="251" t="s">
        <v>342</v>
      </c>
      <c r="G7" s="251" t="s">
        <v>343</v>
      </c>
      <c r="H7" s="293" t="s">
        <v>344</v>
      </c>
      <c r="I7" s="34" t="s">
        <v>168</v>
      </c>
      <c r="J7" s="34" t="s">
        <v>178</v>
      </c>
      <c r="K7" s="34" t="s">
        <v>185</v>
      </c>
      <c r="L7" s="35" t="s">
        <v>190</v>
      </c>
      <c r="M7" s="36" t="s">
        <v>195</v>
      </c>
      <c r="N7" s="37" t="s">
        <v>345</v>
      </c>
      <c r="O7" s="37" t="s">
        <v>200</v>
      </c>
      <c r="P7" s="38"/>
      <c r="Q7" s="38"/>
      <c r="R7" s="39" t="s">
        <v>346</v>
      </c>
      <c r="S7" s="39"/>
      <c r="T7" s="39"/>
      <c r="U7" s="50" t="s">
        <v>467</v>
      </c>
      <c r="V7" s="101" t="s">
        <v>353</v>
      </c>
      <c r="W7" s="70" t="s">
        <v>361</v>
      </c>
      <c r="X7" s="158"/>
      <c r="Y7" s="158"/>
      <c r="Z7" s="158" t="s">
        <v>168</v>
      </c>
      <c r="AA7" s="158" t="s">
        <v>178</v>
      </c>
      <c r="AB7" s="158" t="s">
        <v>185</v>
      </c>
      <c r="AC7" s="158" t="s">
        <v>190</v>
      </c>
      <c r="AD7" s="158" t="s">
        <v>195</v>
      </c>
      <c r="AE7" s="158" t="s">
        <v>200</v>
      </c>
      <c r="AF7" s="70" t="s">
        <v>362</v>
      </c>
      <c r="AG7" s="104" t="s">
        <v>363</v>
      </c>
      <c r="AH7" s="70" t="s">
        <v>364</v>
      </c>
      <c r="AI7" s="70" t="s">
        <v>365</v>
      </c>
      <c r="AJ7" s="56" t="s">
        <v>366</v>
      </c>
      <c r="AK7" s="56" t="s">
        <v>367</v>
      </c>
      <c r="AL7" s="69" t="s">
        <v>368</v>
      </c>
      <c r="AM7" s="69" t="s">
        <v>331</v>
      </c>
      <c r="AN7" s="80" t="s">
        <v>369</v>
      </c>
      <c r="AO7" s="80" t="s">
        <v>370</v>
      </c>
      <c r="AP7" s="80" t="s">
        <v>371</v>
      </c>
      <c r="AQ7" s="80" t="s">
        <v>372</v>
      </c>
      <c r="AR7" s="81" t="s">
        <v>373</v>
      </c>
      <c r="AS7" s="82" t="s">
        <v>374</v>
      </c>
      <c r="AT7" s="83" t="s">
        <v>375</v>
      </c>
      <c r="AU7" s="5" t="s">
        <v>376</v>
      </c>
    </row>
    <row r="8" spans="1:47" ht="19.5" customHeight="1" thickBot="1" x14ac:dyDescent="0.3">
      <c r="A8" s="450"/>
      <c r="B8" s="451"/>
      <c r="C8" s="465" t="s">
        <v>1707</v>
      </c>
      <c r="D8" s="442"/>
      <c r="E8" s="443"/>
      <c r="F8" s="444"/>
      <c r="G8" s="444"/>
      <c r="H8" s="445"/>
      <c r="I8" s="126"/>
      <c r="J8" s="126"/>
      <c r="K8" s="126"/>
      <c r="L8" s="126"/>
      <c r="M8" s="126"/>
      <c r="N8" s="126"/>
      <c r="O8" s="126"/>
      <c r="P8" s="126"/>
      <c r="Q8" s="126"/>
      <c r="R8" s="126"/>
      <c r="S8" s="126"/>
      <c r="T8" s="126"/>
      <c r="AF8" s="89"/>
      <c r="AG8" s="89"/>
      <c r="AH8" s="89"/>
      <c r="AI8" s="89"/>
      <c r="AJ8" s="68"/>
      <c r="AK8" s="68"/>
      <c r="AU8" s="5"/>
    </row>
    <row r="9" spans="1:47" ht="41.25" customHeight="1" x14ac:dyDescent="0.25">
      <c r="A9" s="294" t="s">
        <v>1708</v>
      </c>
      <c r="B9" s="295" t="s">
        <v>1709</v>
      </c>
      <c r="C9" s="295" t="s">
        <v>1710</v>
      </c>
      <c r="D9" s="446"/>
      <c r="E9" s="297"/>
      <c r="F9" s="297"/>
      <c r="G9" s="297"/>
      <c r="H9" s="214"/>
      <c r="I9" s="92" t="s">
        <v>168</v>
      </c>
      <c r="J9" s="92" t="s">
        <v>178</v>
      </c>
      <c r="K9" s="92" t="s">
        <v>185</v>
      </c>
      <c r="L9" s="166" t="s">
        <v>190</v>
      </c>
      <c r="M9" s="71"/>
      <c r="N9" s="71"/>
      <c r="O9" s="71"/>
      <c r="P9" s="71" t="s">
        <v>380</v>
      </c>
      <c r="Q9" s="71" t="e">
        <f>IF(OR(AND($C$2="Base contract",$C$3="No, section requirements must be reviewed",#REF!= FALSE,#REF!=FALSE),AND($C$2="Contract amendment",$C$3="No, section requirements must be reviewed",#REF!=FALSE,#REF!=FALSE)),"MUNN")</f>
        <v>#REF!</v>
      </c>
      <c r="R9" s="64"/>
      <c r="S9" s="64"/>
      <c r="T9" s="64"/>
      <c r="U9" s="97">
        <f>IF(OR($E$8="N/A",AND(AU9=0,'Cover Sheet'!$B$29="Streamlined Review"),AND(E9="Met",F9&lt;&gt;""),AND(E9="Not met",G9&lt;&gt;""),AND(E9="Unsure",G9&lt;&gt;""),AND(E9="N/A",H9&lt;&gt;""),AND(Y9=TRUE)),1,0)</f>
        <v>0</v>
      </c>
      <c r="W9" s="56" t="b">
        <f>IF(OR(AND($H$6="Medicaid",MID($A9,1,FIND(".",$A9,1)-1)="II"),AND($H$6="CHIP",MID($A9,1,FIND(".",$A9,1)-1)="I")),TRUE,FALSE)</f>
        <v>0</v>
      </c>
      <c r="X9" s="126" t="b">
        <f t="shared" ref="X9:X19" si="0">IF(OR(Y9=TRUE,W9=TRUE,AM9=TRUE),TRUE,FALSE)</f>
        <v>0</v>
      </c>
      <c r="Y9" s="126" t="b">
        <f>IF(SUM(Z9:AE9)&lt;1,TRUE,FALSE)</f>
        <v>0</v>
      </c>
      <c r="Z9" s="126">
        <f t="shared" ref="Z9:Z19" si="1">IF($Z$2=I9,1,0)</f>
        <v>1</v>
      </c>
      <c r="AA9" s="126">
        <f t="shared" ref="AA9:AA19" si="2">IF($AA$2=J9,1,0)</f>
        <v>0</v>
      </c>
      <c r="AB9" s="126">
        <f t="shared" ref="AB9:AB19" si="3">IF($AB$2=K9,1,0)</f>
        <v>0</v>
      </c>
      <c r="AC9" s="126">
        <f t="shared" ref="AC9:AC19" si="4">IF($AC$2=L9,1,0)</f>
        <v>0</v>
      </c>
      <c r="AD9" s="126">
        <f t="shared" ref="AD9:AD19" si="5">IF($AD$2=M9,1,0)</f>
        <v>0</v>
      </c>
      <c r="AE9" s="126">
        <f t="shared" ref="AE9:AE19" si="6">IF($AE$2=O9,1,0)</f>
        <v>0</v>
      </c>
      <c r="AM9" s="69" t="str">
        <f>IF(AL9=1,1,"")</f>
        <v/>
      </c>
      <c r="AU9" s="5">
        <v>0</v>
      </c>
    </row>
    <row r="10" spans="1:47" ht="29.1" customHeight="1" x14ac:dyDescent="0.25">
      <c r="A10" s="294" t="s">
        <v>1711</v>
      </c>
      <c r="B10" s="295" t="s">
        <v>1712</v>
      </c>
      <c r="C10" s="295" t="s">
        <v>1713</v>
      </c>
      <c r="D10" s="501"/>
      <c r="E10" s="297"/>
      <c r="F10" s="297"/>
      <c r="G10" s="297"/>
      <c r="H10" s="214"/>
      <c r="I10" s="92" t="s">
        <v>168</v>
      </c>
      <c r="J10" s="92" t="s">
        <v>178</v>
      </c>
      <c r="K10" s="92" t="s">
        <v>185</v>
      </c>
      <c r="L10" s="71" t="s">
        <v>190</v>
      </c>
      <c r="M10" s="71"/>
      <c r="N10" s="71"/>
      <c r="O10" s="71"/>
      <c r="P10" s="71" t="s">
        <v>380</v>
      </c>
      <c r="Q10" s="71" t="e">
        <f>IF(OR(AND($C$2="Base contract",$C$3="No, section requirements must be reviewed",#REF!= FALSE,#REF!=FALSE),AND($C$2="Contract amendment",$C$3="No, section requirements must be reviewed",#REF!=FALSE,#REF!=FALSE)),"MUNN")</f>
        <v>#REF!</v>
      </c>
      <c r="R10" s="64">
        <v>42917</v>
      </c>
      <c r="S10" s="64"/>
      <c r="T10" s="64"/>
      <c r="U10" s="97">
        <f>IF(OR($E$8="N/A",AND(AU10=0,'Cover Sheet'!$B$29="Streamlined Review"),AND(E10="Met",F10&lt;&gt;""),AND(E10="Not met",G10&lt;&gt;""),AND(E10="Unsure",G10&lt;&gt;""),AND(E10="N/A",H10&lt;&gt;""),AND(Y10=TRUE)),1,0)</f>
        <v>0</v>
      </c>
      <c r="W10" s="56" t="b">
        <f t="shared" ref="W10:W19" si="7">IF(OR(AND($H$6="Medicaid",MID($A10,1,FIND(".",$A10,1)-1)="II"),AND($H$6="CHIP",MID($A10,1,FIND(".",$A10,1)-1)="I")),TRUE,FALSE)</f>
        <v>0</v>
      </c>
      <c r="X10" s="126" t="b">
        <f t="shared" si="0"/>
        <v>0</v>
      </c>
      <c r="Y10" s="126" t="b">
        <f t="shared" ref="Y10:Y19" si="8">IF(SUM(Z10:AE10)&lt;1,TRUE,FALSE)</f>
        <v>0</v>
      </c>
      <c r="Z10" s="126">
        <f t="shared" si="1"/>
        <v>1</v>
      </c>
      <c r="AA10" s="126">
        <f t="shared" si="2"/>
        <v>0</v>
      </c>
      <c r="AB10" s="126">
        <f t="shared" si="3"/>
        <v>0</v>
      </c>
      <c r="AC10" s="126">
        <f t="shared" si="4"/>
        <v>0</v>
      </c>
      <c r="AD10" s="126">
        <f t="shared" si="5"/>
        <v>0</v>
      </c>
      <c r="AE10" s="126">
        <f t="shared" si="6"/>
        <v>0</v>
      </c>
      <c r="AM10" s="69" t="str">
        <f t="shared" ref="AM10:AM19" si="9">IF(AL10=1,1,"")</f>
        <v/>
      </c>
      <c r="AU10" s="5">
        <v>0</v>
      </c>
    </row>
    <row r="11" spans="1:47" ht="71.25" customHeight="1" x14ac:dyDescent="0.25">
      <c r="A11" s="294" t="s">
        <v>1714</v>
      </c>
      <c r="B11" s="295" t="s">
        <v>1715</v>
      </c>
      <c r="C11" s="295" t="s">
        <v>1716</v>
      </c>
      <c r="D11" s="446"/>
      <c r="E11" s="297"/>
      <c r="F11" s="297"/>
      <c r="G11" s="297"/>
      <c r="H11" s="214"/>
      <c r="I11" s="92" t="s">
        <v>168</v>
      </c>
      <c r="J11" s="92" t="s">
        <v>178</v>
      </c>
      <c r="K11" s="92" t="s">
        <v>185</v>
      </c>
      <c r="L11" s="166" t="s">
        <v>190</v>
      </c>
      <c r="M11" s="71"/>
      <c r="N11" s="71"/>
      <c r="O11" s="71"/>
      <c r="P11" s="71" t="s">
        <v>380</v>
      </c>
      <c r="Q11" s="71" t="e">
        <f>IF(OR(AND($C$2="Base contract",$C$3="No, section requirements must be reviewed",#REF!= FALSE,#REF!=FALSE),AND($C$2="Contract amendment",$C$3="No, section requirements must be reviewed",#REF!=FALSE,#REF!=FALSE)),"MUNN")</f>
        <v>#REF!</v>
      </c>
      <c r="R11" s="64"/>
      <c r="S11" s="64"/>
      <c r="T11" s="64"/>
      <c r="U11" s="97">
        <f>IF(OR($E$8="N/A",AND(AU11=0,'Cover Sheet'!$B$29="Streamlined Review"),AND(E11="Met",F11&lt;&gt;""),AND(E11="Not met",G11&lt;&gt;""),AND(E11="Unsure",G11&lt;&gt;""),AND(E11="N/A",H11&lt;&gt;""),AND(Y11=TRUE)),1,0)</f>
        <v>0</v>
      </c>
      <c r="W11" s="56" t="b">
        <f t="shared" si="7"/>
        <v>0</v>
      </c>
      <c r="X11" s="126" t="b">
        <f t="shared" si="0"/>
        <v>0</v>
      </c>
      <c r="Y11" s="126" t="b">
        <f t="shared" si="8"/>
        <v>0</v>
      </c>
      <c r="Z11" s="126">
        <f t="shared" si="1"/>
        <v>1</v>
      </c>
      <c r="AA11" s="126">
        <f t="shared" si="2"/>
        <v>0</v>
      </c>
      <c r="AB11" s="126">
        <f t="shared" si="3"/>
        <v>0</v>
      </c>
      <c r="AC11" s="126">
        <f t="shared" si="4"/>
        <v>0</v>
      </c>
      <c r="AD11" s="126">
        <f t="shared" si="5"/>
        <v>0</v>
      </c>
      <c r="AE11" s="126">
        <f t="shared" si="6"/>
        <v>0</v>
      </c>
      <c r="AM11" s="69" t="str">
        <f t="shared" si="9"/>
        <v/>
      </c>
      <c r="AU11" s="5">
        <v>0</v>
      </c>
    </row>
    <row r="12" spans="1:47" ht="44.25" customHeight="1" x14ac:dyDescent="0.25">
      <c r="A12" s="294" t="s">
        <v>1717</v>
      </c>
      <c r="B12" s="295" t="s">
        <v>1718</v>
      </c>
      <c r="C12" s="295" t="s">
        <v>1719</v>
      </c>
      <c r="D12" s="446"/>
      <c r="E12" s="297"/>
      <c r="F12" s="297"/>
      <c r="G12" s="297"/>
      <c r="H12" s="214"/>
      <c r="I12" s="92" t="s">
        <v>168</v>
      </c>
      <c r="J12" s="92" t="s">
        <v>178</v>
      </c>
      <c r="K12" s="92" t="s">
        <v>185</v>
      </c>
      <c r="L12" s="166" t="s">
        <v>190</v>
      </c>
      <c r="M12" s="71"/>
      <c r="N12" s="71"/>
      <c r="O12" s="71"/>
      <c r="P12" s="71" t="s">
        <v>380</v>
      </c>
      <c r="Q12" s="71" t="e">
        <f>IF(OR(AND($C$2="Base contract",$C$3="No, section requirements must be reviewed",#REF!= FALSE,#REF!=FALSE),AND($C$2="Contract amendment",$C$3="No, section requirements must be reviewed",#REF!=FALSE,#REF!=FALSE)),"MUNN")</f>
        <v>#REF!</v>
      </c>
      <c r="R12" s="64"/>
      <c r="S12" s="64"/>
      <c r="T12" s="64"/>
      <c r="U12" s="97">
        <f>IF(OR($E$8="N/A",AND(AU12=0,'Cover Sheet'!$B$29="Streamlined Review"),AND(E12="Met",F12&lt;&gt;""),AND(E12="Not met",G12&lt;&gt;""),AND(E12="Unsure",G12&lt;&gt;""),AND(E12="N/A",H12&lt;&gt;""),AND(Y12=TRUE)),1,0)</f>
        <v>0</v>
      </c>
      <c r="W12" s="56" t="b">
        <f t="shared" si="7"/>
        <v>0</v>
      </c>
      <c r="X12" s="126" t="b">
        <f t="shared" si="0"/>
        <v>0</v>
      </c>
      <c r="Y12" s="126" t="b">
        <f t="shared" si="8"/>
        <v>0</v>
      </c>
      <c r="Z12" s="126">
        <f t="shared" si="1"/>
        <v>1</v>
      </c>
      <c r="AA12" s="126">
        <f t="shared" si="2"/>
        <v>0</v>
      </c>
      <c r="AB12" s="126">
        <f t="shared" si="3"/>
        <v>0</v>
      </c>
      <c r="AC12" s="126">
        <f t="shared" si="4"/>
        <v>0</v>
      </c>
      <c r="AD12" s="126">
        <f t="shared" si="5"/>
        <v>0</v>
      </c>
      <c r="AE12" s="126">
        <f t="shared" si="6"/>
        <v>0</v>
      </c>
      <c r="AM12" s="69" t="str">
        <f t="shared" si="9"/>
        <v/>
      </c>
      <c r="AU12" s="5">
        <v>0</v>
      </c>
    </row>
    <row r="13" spans="1:47" ht="47.25" customHeight="1" x14ac:dyDescent="0.25">
      <c r="A13" s="294" t="s">
        <v>1720</v>
      </c>
      <c r="B13" s="295" t="s">
        <v>1721</v>
      </c>
      <c r="C13" s="295" t="s">
        <v>1722</v>
      </c>
      <c r="D13" s="446"/>
      <c r="E13" s="297"/>
      <c r="F13" s="297"/>
      <c r="G13" s="297"/>
      <c r="H13" s="214"/>
      <c r="I13" s="92" t="s">
        <v>168</v>
      </c>
      <c r="J13" s="92" t="s">
        <v>178</v>
      </c>
      <c r="K13" s="92" t="s">
        <v>185</v>
      </c>
      <c r="L13" s="166" t="s">
        <v>190</v>
      </c>
      <c r="M13" s="71"/>
      <c r="N13" s="71"/>
      <c r="O13" s="71"/>
      <c r="P13" s="71" t="s">
        <v>380</v>
      </c>
      <c r="Q13" s="71" t="e">
        <f>IF(OR(AND($C$2="Base contract",$C$3="No, section requirements must be reviewed",#REF!= FALSE,#REF!=FALSE),AND($C$2="Contract amendment",$C$3="No, section requirements must be reviewed",#REF!=FALSE,#REF!=FALSE)),"MUNN")</f>
        <v>#REF!</v>
      </c>
      <c r="R13" s="64"/>
      <c r="S13" s="64"/>
      <c r="T13" s="64"/>
      <c r="U13" s="97">
        <f>IF(OR($E$8="N/A",AND(AU13=0,'Cover Sheet'!$B$29="Streamlined Review"),AND(E13="Met",F13&lt;&gt;""),AND(E13="Not met",G13&lt;&gt;""),AND(E13="Unsure",G13&lt;&gt;""),AND(E13="N/A",H13&lt;&gt;""),AND(Y13=TRUE)),1,0)</f>
        <v>0</v>
      </c>
      <c r="W13" s="56" t="b">
        <f t="shared" si="7"/>
        <v>0</v>
      </c>
      <c r="X13" s="126" t="b">
        <f t="shared" si="0"/>
        <v>0</v>
      </c>
      <c r="Y13" s="126" t="b">
        <f t="shared" si="8"/>
        <v>0</v>
      </c>
      <c r="Z13" s="126">
        <f t="shared" si="1"/>
        <v>1</v>
      </c>
      <c r="AA13" s="126">
        <f t="shared" si="2"/>
        <v>0</v>
      </c>
      <c r="AB13" s="126">
        <f t="shared" si="3"/>
        <v>0</v>
      </c>
      <c r="AC13" s="126">
        <f t="shared" si="4"/>
        <v>0</v>
      </c>
      <c r="AD13" s="126">
        <f t="shared" si="5"/>
        <v>0</v>
      </c>
      <c r="AE13" s="126">
        <f t="shared" si="6"/>
        <v>0</v>
      </c>
      <c r="AM13" s="69" t="str">
        <f t="shared" si="9"/>
        <v/>
      </c>
      <c r="AU13" s="5">
        <v>0</v>
      </c>
    </row>
    <row r="14" spans="1:47" ht="47.25" customHeight="1" x14ac:dyDescent="0.25">
      <c r="A14" s="294" t="s">
        <v>1723</v>
      </c>
      <c r="B14" s="295" t="s">
        <v>1721</v>
      </c>
      <c r="C14" s="295" t="s">
        <v>1724</v>
      </c>
      <c r="D14" s="446"/>
      <c r="E14" s="297"/>
      <c r="F14" s="297"/>
      <c r="G14" s="297"/>
      <c r="H14" s="214"/>
      <c r="I14" s="92" t="s">
        <v>168</v>
      </c>
      <c r="J14" s="92" t="s">
        <v>178</v>
      </c>
      <c r="K14" s="92" t="s">
        <v>185</v>
      </c>
      <c r="L14" s="166" t="s">
        <v>190</v>
      </c>
      <c r="M14" s="71"/>
      <c r="N14" s="71"/>
      <c r="O14" s="71"/>
      <c r="P14" s="71" t="s">
        <v>380</v>
      </c>
      <c r="Q14" s="71" t="e">
        <f>IF(OR(AND($C$2="Base contract",$C$3="No, section requirements must be reviewed",#REF!= FALSE,#REF!=FALSE),AND($C$2="Contract amendment",$C$3="No, section requirements must be reviewed",#REF!=FALSE,#REF!=FALSE)),"MUNN")</f>
        <v>#REF!</v>
      </c>
      <c r="R14" s="64"/>
      <c r="S14" s="64"/>
      <c r="T14" s="64"/>
      <c r="U14" s="97">
        <f>IF(OR($E$8="N/A",AND(AU14=0,'Cover Sheet'!$B$29="Streamlined Review"),AND(E14="Met",F14&lt;&gt;""),AND(E14="Not met",G14&lt;&gt;""),AND(E14="Unsure",G14&lt;&gt;""),AND(E14="N/A",H14&lt;&gt;""),AND(Y14=TRUE)),1,0)</f>
        <v>0</v>
      </c>
      <c r="W14" s="56" t="b">
        <f t="shared" si="7"/>
        <v>0</v>
      </c>
      <c r="X14" s="126" t="b">
        <f t="shared" si="0"/>
        <v>0</v>
      </c>
      <c r="Y14" s="126" t="b">
        <f t="shared" si="8"/>
        <v>0</v>
      </c>
      <c r="Z14" s="126">
        <f t="shared" si="1"/>
        <v>1</v>
      </c>
      <c r="AA14" s="126">
        <f t="shared" si="2"/>
        <v>0</v>
      </c>
      <c r="AB14" s="126">
        <f t="shared" si="3"/>
        <v>0</v>
      </c>
      <c r="AC14" s="126">
        <f t="shared" si="4"/>
        <v>0</v>
      </c>
      <c r="AD14" s="126">
        <f t="shared" si="5"/>
        <v>0</v>
      </c>
      <c r="AE14" s="126">
        <f t="shared" si="6"/>
        <v>0</v>
      </c>
      <c r="AM14" s="69" t="str">
        <f t="shared" si="9"/>
        <v/>
      </c>
      <c r="AU14" s="5">
        <v>0</v>
      </c>
    </row>
    <row r="15" spans="1:47" ht="59.25" customHeight="1" x14ac:dyDescent="0.25">
      <c r="A15" s="294" t="s">
        <v>1725</v>
      </c>
      <c r="B15" s="295" t="s">
        <v>1726</v>
      </c>
      <c r="C15" s="295" t="s">
        <v>1727</v>
      </c>
      <c r="D15" s="446"/>
      <c r="E15" s="297"/>
      <c r="F15" s="297"/>
      <c r="G15" s="297"/>
      <c r="H15" s="214"/>
      <c r="I15" s="92" t="s">
        <v>168</v>
      </c>
      <c r="J15" s="92" t="s">
        <v>178</v>
      </c>
      <c r="K15" s="92" t="s">
        <v>185</v>
      </c>
      <c r="L15" s="166" t="s">
        <v>190</v>
      </c>
      <c r="M15" s="71"/>
      <c r="N15" s="71"/>
      <c r="O15" s="71"/>
      <c r="P15" s="71" t="s">
        <v>380</v>
      </c>
      <c r="Q15" s="71" t="e">
        <f>IF(OR(AND($C$2="Base contract",$C$3="No, section requirements must be reviewed",#REF!= FALSE,#REF!=FALSE),AND($C$2="Contract amendment",$C$3="No, section requirements must be reviewed",#REF!=FALSE,#REF!=FALSE)),"MUNN")</f>
        <v>#REF!</v>
      </c>
      <c r="R15" s="64"/>
      <c r="S15" s="64"/>
      <c r="T15" s="64"/>
      <c r="U15" s="97">
        <f>IF(OR($E$8="N/A",AND(AU15=0,'Cover Sheet'!$B$29="Streamlined Review"),AND(E15="Met",F15&lt;&gt;""),AND(E15="Not met",G15&lt;&gt;""),AND(E15="Unsure",G15&lt;&gt;""),AND(E15="N/A",H15&lt;&gt;""),AND(Y15=TRUE)),1,0)</f>
        <v>0</v>
      </c>
      <c r="W15" s="56" t="b">
        <f t="shared" si="7"/>
        <v>0</v>
      </c>
      <c r="X15" s="126" t="b">
        <f t="shared" si="0"/>
        <v>0</v>
      </c>
      <c r="Y15" s="126" t="b">
        <f t="shared" si="8"/>
        <v>0</v>
      </c>
      <c r="Z15" s="126">
        <f t="shared" si="1"/>
        <v>1</v>
      </c>
      <c r="AA15" s="126">
        <f t="shared" si="2"/>
        <v>0</v>
      </c>
      <c r="AB15" s="126">
        <f t="shared" si="3"/>
        <v>0</v>
      </c>
      <c r="AC15" s="126">
        <f t="shared" si="4"/>
        <v>0</v>
      </c>
      <c r="AD15" s="126">
        <f t="shared" si="5"/>
        <v>0</v>
      </c>
      <c r="AE15" s="126">
        <f t="shared" si="6"/>
        <v>0</v>
      </c>
      <c r="AM15" s="69" t="str">
        <f t="shared" si="9"/>
        <v/>
      </c>
      <c r="AU15" s="5">
        <v>0</v>
      </c>
    </row>
    <row r="16" spans="1:47" ht="58.5" customHeight="1" x14ac:dyDescent="0.25">
      <c r="A16" s="294" t="s">
        <v>1728</v>
      </c>
      <c r="B16" s="295" t="s">
        <v>1729</v>
      </c>
      <c r="C16" s="295" t="s">
        <v>1730</v>
      </c>
      <c r="D16" s="446"/>
      <c r="E16" s="297"/>
      <c r="F16" s="297"/>
      <c r="G16" s="297"/>
      <c r="H16" s="214"/>
      <c r="I16" s="92" t="s">
        <v>168</v>
      </c>
      <c r="J16" s="92" t="s">
        <v>178</v>
      </c>
      <c r="K16" s="92" t="s">
        <v>185</v>
      </c>
      <c r="L16" s="166" t="s">
        <v>190</v>
      </c>
      <c r="M16" s="71"/>
      <c r="N16" s="71"/>
      <c r="O16" s="71"/>
      <c r="P16" s="71" t="s">
        <v>380</v>
      </c>
      <c r="Q16" s="71" t="e">
        <f>IF(OR(AND($C$2="Base contract",$C$3="No, section requirements must be reviewed",#REF!= FALSE,#REF!=FALSE),AND($C$2="Contract amendment",$C$3="No, section requirements must be reviewed",#REF!=FALSE,#REF!=FALSE)),"MUNN")</f>
        <v>#REF!</v>
      </c>
      <c r="R16" s="64"/>
      <c r="S16" s="64"/>
      <c r="T16" s="64"/>
      <c r="U16" s="97">
        <f>IF(OR($E$8="N/A",AND(AU16=0,'Cover Sheet'!$B$29="Streamlined Review"),AND(E16="Met",F16&lt;&gt;""),AND(E16="Not met",G16&lt;&gt;""),AND(E16="Unsure",G16&lt;&gt;""),AND(E16="N/A",H16&lt;&gt;""),AND(Y16=TRUE)),1,0)</f>
        <v>0</v>
      </c>
      <c r="W16" s="56" t="b">
        <f t="shared" si="7"/>
        <v>0</v>
      </c>
      <c r="X16" s="126" t="b">
        <f t="shared" si="0"/>
        <v>0</v>
      </c>
      <c r="Y16" s="126" t="b">
        <f t="shared" si="8"/>
        <v>0</v>
      </c>
      <c r="Z16" s="126">
        <f t="shared" si="1"/>
        <v>1</v>
      </c>
      <c r="AA16" s="126">
        <f t="shared" si="2"/>
        <v>0</v>
      </c>
      <c r="AB16" s="126">
        <f t="shared" si="3"/>
        <v>0</v>
      </c>
      <c r="AC16" s="126">
        <f t="shared" si="4"/>
        <v>0</v>
      </c>
      <c r="AD16" s="126">
        <f t="shared" si="5"/>
        <v>0</v>
      </c>
      <c r="AE16" s="126">
        <f t="shared" si="6"/>
        <v>0</v>
      </c>
      <c r="AM16" s="69" t="str">
        <f t="shared" si="9"/>
        <v/>
      </c>
      <c r="AU16" s="5">
        <v>0</v>
      </c>
    </row>
    <row r="17" spans="1:47" ht="59.25" customHeight="1" x14ac:dyDescent="0.25">
      <c r="A17" s="294" t="s">
        <v>1731</v>
      </c>
      <c r="B17" s="295" t="s">
        <v>1732</v>
      </c>
      <c r="C17" s="295" t="s">
        <v>1733</v>
      </c>
      <c r="D17" s="446"/>
      <c r="E17" s="297"/>
      <c r="F17" s="297"/>
      <c r="G17" s="297"/>
      <c r="H17" s="214"/>
      <c r="I17" s="92" t="s">
        <v>168</v>
      </c>
      <c r="J17" s="92" t="s">
        <v>178</v>
      </c>
      <c r="K17" s="92" t="s">
        <v>185</v>
      </c>
      <c r="L17" s="166" t="s">
        <v>190</v>
      </c>
      <c r="M17" s="71"/>
      <c r="N17" s="71"/>
      <c r="O17" s="71"/>
      <c r="P17" s="71" t="s">
        <v>380</v>
      </c>
      <c r="Q17" s="71" t="e">
        <f>IF(OR(AND($C$2="Base contract",$C$3="No, section requirements must be reviewed",#REF!= FALSE,#REF!=FALSE),AND($C$2="Contract amendment",$C$3="No, section requirements must be reviewed",#REF!=FALSE,#REF!=FALSE)),"MUNN")</f>
        <v>#REF!</v>
      </c>
      <c r="R17" s="64"/>
      <c r="S17" s="64"/>
      <c r="T17" s="64"/>
      <c r="U17" s="97">
        <f>IF(OR($E$8="N/A",AND(AU17=0,'Cover Sheet'!$B$29="Streamlined Review"),AND(E17="Met",F17&lt;&gt;""),AND(E17="Not met",G17&lt;&gt;""),AND(E17="Unsure",G17&lt;&gt;""),AND(E17="N/A",H17&lt;&gt;""),AND(Y17=TRUE)),1,0)</f>
        <v>0</v>
      </c>
      <c r="W17" s="56" t="b">
        <f t="shared" si="7"/>
        <v>0</v>
      </c>
      <c r="X17" s="126" t="b">
        <f t="shared" si="0"/>
        <v>0</v>
      </c>
      <c r="Y17" s="126" t="b">
        <f t="shared" si="8"/>
        <v>0</v>
      </c>
      <c r="Z17" s="126">
        <f t="shared" si="1"/>
        <v>1</v>
      </c>
      <c r="AA17" s="126">
        <f t="shared" si="2"/>
        <v>0</v>
      </c>
      <c r="AB17" s="126">
        <f t="shared" si="3"/>
        <v>0</v>
      </c>
      <c r="AC17" s="126">
        <f t="shared" si="4"/>
        <v>0</v>
      </c>
      <c r="AD17" s="126">
        <f t="shared" si="5"/>
        <v>0</v>
      </c>
      <c r="AE17" s="126">
        <f t="shared" si="6"/>
        <v>0</v>
      </c>
      <c r="AM17" s="69" t="str">
        <f t="shared" si="9"/>
        <v/>
      </c>
      <c r="AU17" s="5">
        <v>0</v>
      </c>
    </row>
    <row r="18" spans="1:47" ht="63.75" x14ac:dyDescent="0.25">
      <c r="A18" s="294" t="s">
        <v>1734</v>
      </c>
      <c r="B18" s="295" t="s">
        <v>1735</v>
      </c>
      <c r="C18" s="295" t="s">
        <v>1736</v>
      </c>
      <c r="D18" s="446"/>
      <c r="E18" s="297"/>
      <c r="F18" s="297"/>
      <c r="G18" s="297"/>
      <c r="H18" s="214"/>
      <c r="I18" s="92" t="s">
        <v>168</v>
      </c>
      <c r="J18" s="92" t="s">
        <v>178</v>
      </c>
      <c r="K18" s="92" t="s">
        <v>185</v>
      </c>
      <c r="L18" s="71" t="s">
        <v>190</v>
      </c>
      <c r="M18" s="71"/>
      <c r="N18" s="71"/>
      <c r="O18" s="71"/>
      <c r="P18" s="71" t="s">
        <v>380</v>
      </c>
      <c r="Q18" s="71" t="e">
        <f>IF(OR(AND($C$2="Base contract",$C$3="No, section requirements must be reviewed",#REF!= FALSE,#REF!=FALSE),AND($C$2="Contract amendment",$C$3="No, section requirements must be reviewed",#REF!=FALSE,#REF!=FALSE)),"MUNN")</f>
        <v>#REF!</v>
      </c>
      <c r="R18" s="64">
        <v>42917</v>
      </c>
      <c r="S18" s="64"/>
      <c r="T18" s="64"/>
      <c r="U18" s="97">
        <f>IF(OR($E$8="N/A",AND(AU18=0,'Cover Sheet'!$B$29="Streamlined Review"),AND(E18="Met",F18&lt;&gt;""),AND(E18="Not met",G18&lt;&gt;""),AND(E18="Unsure",G18&lt;&gt;""),AND(E18="N/A",H18&lt;&gt;""),AND(Y18=TRUE)),1,0)</f>
        <v>0</v>
      </c>
      <c r="W18" s="56" t="b">
        <f t="shared" si="7"/>
        <v>0</v>
      </c>
      <c r="X18" s="126" t="b">
        <f t="shared" si="0"/>
        <v>0</v>
      </c>
      <c r="Y18" s="126" t="b">
        <f t="shared" si="8"/>
        <v>0</v>
      </c>
      <c r="Z18" s="126">
        <f t="shared" si="1"/>
        <v>1</v>
      </c>
      <c r="AA18" s="126">
        <f t="shared" si="2"/>
        <v>0</v>
      </c>
      <c r="AB18" s="126">
        <f t="shared" si="3"/>
        <v>0</v>
      </c>
      <c r="AC18" s="126">
        <f t="shared" si="4"/>
        <v>0</v>
      </c>
      <c r="AD18" s="126">
        <f t="shared" si="5"/>
        <v>0</v>
      </c>
      <c r="AE18" s="126">
        <f t="shared" si="6"/>
        <v>0</v>
      </c>
      <c r="AM18" s="69" t="str">
        <f t="shared" si="9"/>
        <v/>
      </c>
      <c r="AU18" s="5">
        <v>0</v>
      </c>
    </row>
    <row r="19" spans="1:47" ht="73.5" customHeight="1" thickBot="1" x14ac:dyDescent="0.3">
      <c r="A19" s="294" t="s">
        <v>1737</v>
      </c>
      <c r="B19" s="295" t="s">
        <v>1738</v>
      </c>
      <c r="C19" s="295" t="s">
        <v>1739</v>
      </c>
      <c r="D19" s="501">
        <v>1</v>
      </c>
      <c r="E19" s="297"/>
      <c r="F19" s="297"/>
      <c r="G19" s="297"/>
      <c r="H19" s="214"/>
      <c r="I19" s="92" t="s">
        <v>168</v>
      </c>
      <c r="J19" s="92" t="s">
        <v>178</v>
      </c>
      <c r="K19" s="92" t="s">
        <v>185</v>
      </c>
      <c r="L19" s="71" t="s">
        <v>190</v>
      </c>
      <c r="M19" s="96"/>
      <c r="N19" s="96"/>
      <c r="O19" s="96"/>
      <c r="P19" s="71" t="s">
        <v>380</v>
      </c>
      <c r="Q19" s="71" t="e">
        <f>IF(OR(AND($C$2="Base contract",$C$3="No, section requirements must be reviewed",#REF!= FALSE,#REF!=FALSE),AND($C$2="Contract amendment",$C$3="No, section requirements must be reviewed",#REF!=FALSE,#REF!=FALSE)),"MUNN")</f>
        <v>#REF!</v>
      </c>
      <c r="R19" s="64">
        <v>42556</v>
      </c>
      <c r="S19" s="64"/>
      <c r="T19" s="64"/>
      <c r="U19" s="97">
        <f>IF(OR($E$8="N/A",AND(AU19=0,'Cover Sheet'!$B$29="Streamlined Review"),AND(E19="Met",F19&lt;&gt;""),AND(E19="Not met",G19&lt;&gt;""),AND(E19="Unsure",G19&lt;&gt;""),AND(E19="N/A",H19&lt;&gt;""),AND(Y19=TRUE)),1,0)</f>
        <v>0</v>
      </c>
      <c r="W19" s="56" t="b">
        <f t="shared" si="7"/>
        <v>0</v>
      </c>
      <c r="X19" s="126" t="b">
        <f t="shared" si="0"/>
        <v>0</v>
      </c>
      <c r="Y19" s="126" t="b">
        <f t="shared" si="8"/>
        <v>0</v>
      </c>
      <c r="Z19" s="126">
        <f t="shared" si="1"/>
        <v>1</v>
      </c>
      <c r="AA19" s="126">
        <f t="shared" si="2"/>
        <v>0</v>
      </c>
      <c r="AB19" s="126">
        <f t="shared" si="3"/>
        <v>0</v>
      </c>
      <c r="AC19" s="126">
        <f t="shared" si="4"/>
        <v>0</v>
      </c>
      <c r="AD19" s="126">
        <f t="shared" si="5"/>
        <v>0</v>
      </c>
      <c r="AE19" s="126">
        <f t="shared" si="6"/>
        <v>0</v>
      </c>
      <c r="AM19" s="69" t="str">
        <f t="shared" si="9"/>
        <v/>
      </c>
      <c r="AU19" s="5">
        <v>0</v>
      </c>
    </row>
    <row r="20" spans="1:47" ht="15.75" thickBot="1" x14ac:dyDescent="0.3">
      <c r="A20" s="450"/>
      <c r="B20" s="451"/>
      <c r="C20" s="465" t="s">
        <v>70</v>
      </c>
      <c r="D20" s="442"/>
      <c r="E20" s="443"/>
      <c r="F20" s="444"/>
      <c r="G20" s="444"/>
      <c r="H20" s="445"/>
      <c r="I20" s="126"/>
      <c r="J20" s="126"/>
      <c r="K20" s="126"/>
      <c r="L20" s="126"/>
      <c r="M20" s="126"/>
      <c r="N20" s="126"/>
      <c r="O20" s="126"/>
      <c r="P20" s="126"/>
      <c r="Q20" s="126"/>
      <c r="R20" s="126"/>
      <c r="S20" s="126"/>
      <c r="T20" s="126"/>
      <c r="U20" s="126"/>
      <c r="W20" s="68"/>
      <c r="X20" s="68"/>
      <c r="Y20" s="68"/>
      <c r="Z20" s="68"/>
      <c r="AA20" s="68"/>
      <c r="AB20" s="68"/>
      <c r="AC20" s="68"/>
      <c r="AD20" s="68"/>
      <c r="AE20" s="68"/>
      <c r="AU20" s="5"/>
    </row>
    <row r="21" spans="1:47" ht="33.75" customHeight="1" x14ac:dyDescent="0.25">
      <c r="A21" s="294" t="s">
        <v>1740</v>
      </c>
      <c r="B21" s="295" t="s">
        <v>1741</v>
      </c>
      <c r="C21" s="295" t="s">
        <v>1742</v>
      </c>
      <c r="D21" s="501">
        <v>2</v>
      </c>
      <c r="E21" s="297"/>
      <c r="F21" s="297"/>
      <c r="G21" s="297"/>
      <c r="H21" s="214"/>
      <c r="I21" s="92" t="s">
        <v>168</v>
      </c>
      <c r="J21" s="92" t="s">
        <v>178</v>
      </c>
      <c r="K21" s="92" t="s">
        <v>185</v>
      </c>
      <c r="L21" s="71" t="s">
        <v>190</v>
      </c>
      <c r="M21" s="71"/>
      <c r="N21" s="71"/>
      <c r="O21" s="71"/>
      <c r="P21" s="71" t="s">
        <v>380</v>
      </c>
      <c r="Q21" s="71" t="e">
        <f>IF(OR(AND($C$2="Base contract",$C$3="No, section requirements must be reviewed",#REF!= FALSE,#REF!=FALSE),AND($C$2="Contract amendment",$C$3="No, section requirements must be reviewed",#REF!=FALSE,#REF!=FALSE)),"MUNN")</f>
        <v>#REF!</v>
      </c>
      <c r="R21" s="64">
        <v>42917</v>
      </c>
      <c r="S21" s="64"/>
      <c r="T21" s="64"/>
      <c r="U21" s="97">
        <f>IF(OR($E$20="N/A",AND(AU21=0,'Cover Sheet'!$B$29="Streamlined Review"),AND(E21="Met",F21&lt;&gt;""),AND(E21="Not met",G21&lt;&gt;""),AND(E21="Unsure",G21&lt;&gt;""),AND(E21="N/A",H21&lt;&gt;""),AND(Y21=TRUE)),1,0)</f>
        <v>0</v>
      </c>
      <c r="W21" s="56" t="b">
        <f t="shared" ref="W21:W26" si="10">IF(OR(AND($H$6="Medicaid",MID($A21,1,FIND(".",$A21,1)-1)="II"),AND($H$6="CHIP",MID($A21,1,FIND(".",$A21,1)-1)="I")),TRUE,FALSE)</f>
        <v>0</v>
      </c>
      <c r="X21" s="126" t="b">
        <f t="shared" ref="X21:X26" si="11">IF(OR(Y21=TRUE,W21=TRUE,AM21=TRUE),TRUE,FALSE)</f>
        <v>0</v>
      </c>
      <c r="Y21" s="126" t="b">
        <f t="shared" ref="Y21:Y26" si="12">IF(SUM(Z21:AE21)&lt;1,TRUE,FALSE)</f>
        <v>0</v>
      </c>
      <c r="Z21" s="126">
        <f t="shared" ref="Z21:Z26" si="13">IF($Z$2=I21,1,0)</f>
        <v>1</v>
      </c>
      <c r="AA21" s="126">
        <f t="shared" ref="AA21:AA26" si="14">IF($AA$2=J21,1,0)</f>
        <v>0</v>
      </c>
      <c r="AB21" s="126">
        <f t="shared" ref="AB21:AB26" si="15">IF($AB$2=K21,1,0)</f>
        <v>0</v>
      </c>
      <c r="AC21" s="126">
        <f t="shared" ref="AC21:AC26" si="16">IF($AC$2=L21,1,0)</f>
        <v>0</v>
      </c>
      <c r="AD21" s="126">
        <f t="shared" ref="AD21:AD26" si="17">IF($AD$2=M21,1,0)</f>
        <v>0</v>
      </c>
      <c r="AE21" s="126">
        <f t="shared" ref="AE21:AE26" si="18">IF($AE$2=O21,1,0)</f>
        <v>0</v>
      </c>
      <c r="AM21" s="69" t="str">
        <f t="shared" ref="AM21:AM26" si="19">IF(AL21=1,1,"")</f>
        <v/>
      </c>
      <c r="AU21" s="5">
        <v>0</v>
      </c>
    </row>
    <row r="22" spans="1:47" ht="88.5" customHeight="1" x14ac:dyDescent="0.25">
      <c r="A22" s="294" t="s">
        <v>1743</v>
      </c>
      <c r="B22" s="295" t="s">
        <v>1744</v>
      </c>
      <c r="C22" s="295" t="s">
        <v>1745</v>
      </c>
      <c r="D22" s="502">
        <v>2</v>
      </c>
      <c r="E22" s="297"/>
      <c r="F22" s="297"/>
      <c r="G22" s="297"/>
      <c r="H22" s="214"/>
      <c r="I22" s="92" t="s">
        <v>168</v>
      </c>
      <c r="J22" s="92" t="s">
        <v>178</v>
      </c>
      <c r="K22" s="92" t="s">
        <v>185</v>
      </c>
      <c r="L22" s="71" t="s">
        <v>190</v>
      </c>
      <c r="M22" s="71"/>
      <c r="N22" s="71"/>
      <c r="O22" s="71"/>
      <c r="P22" s="71" t="s">
        <v>380</v>
      </c>
      <c r="Q22" s="71" t="e">
        <f>IF(OR(AND($C$2="Base contract",$C$3="No, section requirements must be reviewed",#REF!= FALSE,#REF!=FALSE),AND($C$2="Contract amendment",$C$3="No, section requirements must be reviewed",#REF!=FALSE,#REF!=FALSE)),"MUNN")</f>
        <v>#REF!</v>
      </c>
      <c r="R22" s="64">
        <v>42917</v>
      </c>
      <c r="S22" s="64"/>
      <c r="T22" s="64"/>
      <c r="U22" s="97">
        <f>IF(OR($E$20="N/A",AND(AU22=0,'Cover Sheet'!$B$29="Streamlined Review"),AND(E22="Met",F22&lt;&gt;""),AND(E22="Not met",G22&lt;&gt;""),AND(E22="Unsure",G22&lt;&gt;""),AND(E22="N/A",H22&lt;&gt;""),AND(Y22=TRUE)),1,0)</f>
        <v>0</v>
      </c>
      <c r="W22" s="56" t="b">
        <f t="shared" si="10"/>
        <v>0</v>
      </c>
      <c r="X22" s="126" t="b">
        <f t="shared" si="11"/>
        <v>0</v>
      </c>
      <c r="Y22" s="126" t="b">
        <f t="shared" si="12"/>
        <v>0</v>
      </c>
      <c r="Z22" s="126">
        <f t="shared" si="13"/>
        <v>1</v>
      </c>
      <c r="AA22" s="126">
        <f t="shared" si="14"/>
        <v>0</v>
      </c>
      <c r="AB22" s="126">
        <f t="shared" si="15"/>
        <v>0</v>
      </c>
      <c r="AC22" s="126">
        <f t="shared" si="16"/>
        <v>0</v>
      </c>
      <c r="AD22" s="126">
        <f t="shared" si="17"/>
        <v>0</v>
      </c>
      <c r="AE22" s="126">
        <f t="shared" si="18"/>
        <v>0</v>
      </c>
      <c r="AM22" s="69" t="str">
        <f t="shared" si="19"/>
        <v/>
      </c>
      <c r="AU22" s="5">
        <v>1</v>
      </c>
    </row>
    <row r="23" spans="1:47" ht="66.75" customHeight="1" x14ac:dyDescent="0.25">
      <c r="A23" s="294" t="s">
        <v>1746</v>
      </c>
      <c r="B23" s="295" t="s">
        <v>1747</v>
      </c>
      <c r="C23" s="295" t="s">
        <v>1748</v>
      </c>
      <c r="D23" s="502">
        <v>2</v>
      </c>
      <c r="E23" s="297"/>
      <c r="F23" s="297"/>
      <c r="G23" s="297"/>
      <c r="H23" s="214"/>
      <c r="I23" s="92" t="s">
        <v>168</v>
      </c>
      <c r="J23" s="92" t="s">
        <v>178</v>
      </c>
      <c r="K23" s="92" t="s">
        <v>185</v>
      </c>
      <c r="L23" s="71" t="s">
        <v>190</v>
      </c>
      <c r="M23" s="71"/>
      <c r="N23" s="71"/>
      <c r="O23" s="71"/>
      <c r="P23" s="71" t="s">
        <v>380</v>
      </c>
      <c r="Q23" s="71" t="e">
        <f>IF(OR(AND($C$2="Base contract",$C$3="No, section requirements must be reviewed",#REF!= FALSE,#REF!=FALSE),AND($C$2="Contract amendment",$C$3="No, section requirements must be reviewed",#REF!=FALSE,#REF!=FALSE)),"MUNN")</f>
        <v>#REF!</v>
      </c>
      <c r="R23" s="64">
        <v>42917</v>
      </c>
      <c r="S23" s="64"/>
      <c r="T23" s="64"/>
      <c r="U23" s="97">
        <f>IF(OR($E$20="N/A",AND(AU23=0,'Cover Sheet'!$B$29="Streamlined Review"),AND(E23="Met",F23&lt;&gt;""),AND(E23="Not met",G23&lt;&gt;""),AND(E23="Unsure",G23&lt;&gt;""),AND(E23="N/A",H23&lt;&gt;""),AND(Y23=TRUE)),1,0)</f>
        <v>0</v>
      </c>
      <c r="W23" s="56" t="b">
        <f t="shared" si="10"/>
        <v>0</v>
      </c>
      <c r="X23" s="126" t="b">
        <f t="shared" si="11"/>
        <v>0</v>
      </c>
      <c r="Y23" s="126" t="b">
        <f t="shared" si="12"/>
        <v>0</v>
      </c>
      <c r="Z23" s="126">
        <f t="shared" si="13"/>
        <v>1</v>
      </c>
      <c r="AA23" s="126">
        <f t="shared" si="14"/>
        <v>0</v>
      </c>
      <c r="AB23" s="126">
        <f t="shared" si="15"/>
        <v>0</v>
      </c>
      <c r="AC23" s="126">
        <f t="shared" si="16"/>
        <v>0</v>
      </c>
      <c r="AD23" s="126">
        <f t="shared" si="17"/>
        <v>0</v>
      </c>
      <c r="AE23" s="126">
        <f t="shared" si="18"/>
        <v>0</v>
      </c>
      <c r="AM23" s="69" t="str">
        <f t="shared" si="19"/>
        <v/>
      </c>
      <c r="AU23" s="5">
        <v>1</v>
      </c>
    </row>
    <row r="24" spans="1:47" ht="31.5" customHeight="1" x14ac:dyDescent="0.25">
      <c r="A24" s="294" t="s">
        <v>1749</v>
      </c>
      <c r="B24" s="295" t="s">
        <v>1750</v>
      </c>
      <c r="C24" s="295" t="s">
        <v>1751</v>
      </c>
      <c r="D24" s="502">
        <v>2</v>
      </c>
      <c r="E24" s="297"/>
      <c r="F24" s="297"/>
      <c r="G24" s="297"/>
      <c r="H24" s="214"/>
      <c r="I24" s="92" t="s">
        <v>168</v>
      </c>
      <c r="J24" s="92" t="s">
        <v>178</v>
      </c>
      <c r="K24" s="92" t="s">
        <v>185</v>
      </c>
      <c r="L24" s="166" t="s">
        <v>190</v>
      </c>
      <c r="M24" s="71"/>
      <c r="N24" s="71"/>
      <c r="O24" s="71"/>
      <c r="P24" s="71" t="s">
        <v>380</v>
      </c>
      <c r="Q24" s="71" t="e">
        <f>IF(OR(AND($C$2="Base contract",$C$3="No, section requirements must be reviewed",#REF!= FALSE,#REF!=FALSE),AND($C$2="Contract amendment",$C$3="No, section requirements must be reviewed",#REF!=FALSE,#REF!=FALSE)),"MUNN")</f>
        <v>#REF!</v>
      </c>
      <c r="R24" s="64"/>
      <c r="S24" s="64"/>
      <c r="T24" s="64"/>
      <c r="U24" s="97">
        <f>IF(OR($E$20="N/A",AND(AU24=0,'Cover Sheet'!$B$29="Streamlined Review"),AND(E24="Met",F24&lt;&gt;""),AND(E24="Not met",G24&lt;&gt;""),AND(E24="Unsure",G24&lt;&gt;""),AND(E24="N/A",H24&lt;&gt;""),AND(Y24=TRUE)),1,0)</f>
        <v>0</v>
      </c>
      <c r="W24" s="56" t="b">
        <f t="shared" si="10"/>
        <v>0</v>
      </c>
      <c r="X24" s="126" t="b">
        <f t="shared" si="11"/>
        <v>0</v>
      </c>
      <c r="Y24" s="126" t="b">
        <f t="shared" si="12"/>
        <v>0</v>
      </c>
      <c r="Z24" s="126">
        <f t="shared" si="13"/>
        <v>1</v>
      </c>
      <c r="AA24" s="126">
        <f t="shared" si="14"/>
        <v>0</v>
      </c>
      <c r="AB24" s="126">
        <f t="shared" si="15"/>
        <v>0</v>
      </c>
      <c r="AC24" s="126">
        <f t="shared" si="16"/>
        <v>0</v>
      </c>
      <c r="AD24" s="126">
        <f t="shared" si="17"/>
        <v>0</v>
      </c>
      <c r="AE24" s="126">
        <f t="shared" si="18"/>
        <v>0</v>
      </c>
      <c r="AM24" s="69" t="str">
        <f t="shared" si="19"/>
        <v/>
      </c>
      <c r="AU24" s="5">
        <v>1</v>
      </c>
    </row>
    <row r="25" spans="1:47" ht="33.75" customHeight="1" x14ac:dyDescent="0.25">
      <c r="A25" s="294" t="s">
        <v>1752</v>
      </c>
      <c r="B25" s="295" t="s">
        <v>1753</v>
      </c>
      <c r="C25" s="295" t="s">
        <v>1754</v>
      </c>
      <c r="D25" s="502">
        <v>2</v>
      </c>
      <c r="E25" s="297"/>
      <c r="F25" s="297"/>
      <c r="G25" s="297"/>
      <c r="H25" s="214"/>
      <c r="I25" s="92" t="s">
        <v>168</v>
      </c>
      <c r="J25" s="92" t="s">
        <v>178</v>
      </c>
      <c r="K25" s="92" t="s">
        <v>185</v>
      </c>
      <c r="L25" s="166" t="s">
        <v>190</v>
      </c>
      <c r="M25" s="71"/>
      <c r="N25" s="71"/>
      <c r="O25" s="71"/>
      <c r="P25" s="71" t="s">
        <v>380</v>
      </c>
      <c r="Q25" s="71" t="e">
        <f>IF(OR(AND($C$2="Base contract",$C$3="No, section requirements must be reviewed",#REF!= FALSE,#REF!=FALSE),AND($C$2="Contract amendment",$C$3="No, section requirements must be reviewed",#REF!=FALSE,#REF!=FALSE)),"MUNN")</f>
        <v>#REF!</v>
      </c>
      <c r="R25" s="64"/>
      <c r="S25" s="64"/>
      <c r="T25" s="64"/>
      <c r="U25" s="97">
        <f>IF(OR($E$20="N/A",AND(AU25=0,'Cover Sheet'!$B$29="Streamlined Review"),AND(E25="Met",F25&lt;&gt;""),AND(E25="Not met",G25&lt;&gt;""),AND(E25="Unsure",G25&lt;&gt;""),AND(E25="N/A",H25&lt;&gt;""),AND(Y25=TRUE)),1,0)</f>
        <v>0</v>
      </c>
      <c r="W25" s="56" t="b">
        <f t="shared" si="10"/>
        <v>0</v>
      </c>
      <c r="X25" s="126" t="b">
        <f t="shared" si="11"/>
        <v>0</v>
      </c>
      <c r="Y25" s="126" t="b">
        <f t="shared" si="12"/>
        <v>0</v>
      </c>
      <c r="Z25" s="126">
        <f t="shared" si="13"/>
        <v>1</v>
      </c>
      <c r="AA25" s="126">
        <f t="shared" si="14"/>
        <v>0</v>
      </c>
      <c r="AB25" s="126">
        <f t="shared" si="15"/>
        <v>0</v>
      </c>
      <c r="AC25" s="126">
        <f t="shared" si="16"/>
        <v>0</v>
      </c>
      <c r="AD25" s="126">
        <f t="shared" si="17"/>
        <v>0</v>
      </c>
      <c r="AE25" s="126">
        <f t="shared" si="18"/>
        <v>0</v>
      </c>
      <c r="AM25" s="69" t="str">
        <f t="shared" si="19"/>
        <v/>
      </c>
      <c r="AU25" s="5">
        <v>1</v>
      </c>
    </row>
    <row r="26" spans="1:47" ht="58.5" customHeight="1" thickBot="1" x14ac:dyDescent="0.3">
      <c r="A26" s="294" t="s">
        <v>1755</v>
      </c>
      <c r="B26" s="295" t="s">
        <v>1756</v>
      </c>
      <c r="C26" s="295" t="s">
        <v>1757</v>
      </c>
      <c r="D26" s="502">
        <v>2</v>
      </c>
      <c r="E26" s="297"/>
      <c r="F26" s="297"/>
      <c r="G26" s="297"/>
      <c r="H26" s="214"/>
      <c r="I26" s="92" t="s">
        <v>168</v>
      </c>
      <c r="J26" s="92" t="s">
        <v>178</v>
      </c>
      <c r="K26" s="92" t="s">
        <v>185</v>
      </c>
      <c r="L26" s="166" t="s">
        <v>190</v>
      </c>
      <c r="M26" s="71"/>
      <c r="N26" s="71"/>
      <c r="O26" s="71"/>
      <c r="P26" s="71" t="s">
        <v>380</v>
      </c>
      <c r="Q26" s="71" t="e">
        <f>IF(OR(AND($C$2="Base contract",$C$3="No, section requirements must be reviewed",#REF!= FALSE,#REF!=FALSE),AND($C$2="Contract amendment",$C$3="No, section requirements must be reviewed",#REF!=FALSE,#REF!=FALSE)),"MUNN")</f>
        <v>#REF!</v>
      </c>
      <c r="R26" s="64"/>
      <c r="S26" s="64"/>
      <c r="T26" s="64"/>
      <c r="U26" s="97">
        <f>IF(OR($E$20="N/A",AND(AU26=0,'Cover Sheet'!$B$29="Streamlined Review"),AND(E26="Met",F26&lt;&gt;""),AND(E26="Not met",G26&lt;&gt;""),AND(E26="Unsure",G26&lt;&gt;""),AND(E26="N/A",H26&lt;&gt;""),AND(Y26=TRUE)),1,0)</f>
        <v>0</v>
      </c>
      <c r="W26" s="56" t="b">
        <f t="shared" si="10"/>
        <v>0</v>
      </c>
      <c r="X26" s="126" t="b">
        <f t="shared" si="11"/>
        <v>0</v>
      </c>
      <c r="Y26" s="126" t="b">
        <f t="shared" si="12"/>
        <v>0</v>
      </c>
      <c r="Z26" s="126">
        <f t="shared" si="13"/>
        <v>1</v>
      </c>
      <c r="AA26" s="126">
        <f t="shared" si="14"/>
        <v>0</v>
      </c>
      <c r="AB26" s="126">
        <f t="shared" si="15"/>
        <v>0</v>
      </c>
      <c r="AC26" s="126">
        <f t="shared" si="16"/>
        <v>0</v>
      </c>
      <c r="AD26" s="126">
        <f t="shared" si="17"/>
        <v>0</v>
      </c>
      <c r="AE26" s="126">
        <f t="shared" si="18"/>
        <v>0</v>
      </c>
      <c r="AM26" s="69" t="str">
        <f t="shared" si="19"/>
        <v/>
      </c>
      <c r="AU26" s="5">
        <v>1</v>
      </c>
    </row>
    <row r="27" spans="1:47" ht="15.75" thickBot="1" x14ac:dyDescent="0.3">
      <c r="A27" s="450"/>
      <c r="B27" s="451"/>
      <c r="C27" s="465" t="s">
        <v>71</v>
      </c>
      <c r="D27" s="442"/>
      <c r="E27" s="443"/>
      <c r="F27" s="444"/>
      <c r="G27" s="444"/>
      <c r="H27" s="445"/>
      <c r="I27" s="126"/>
      <c r="J27" s="126"/>
      <c r="K27" s="126"/>
      <c r="L27" s="126"/>
      <c r="M27" s="126"/>
      <c r="N27" s="126"/>
      <c r="O27" s="126"/>
      <c r="P27" s="126"/>
      <c r="Q27" s="126"/>
      <c r="R27" s="126"/>
      <c r="S27" s="126"/>
      <c r="T27" s="126"/>
      <c r="U27" s="126"/>
      <c r="W27" s="68"/>
      <c r="X27" s="68"/>
      <c r="Y27" s="68"/>
      <c r="Z27" s="68"/>
      <c r="AA27" s="68"/>
      <c r="AB27" s="68"/>
      <c r="AC27" s="68"/>
      <c r="AD27" s="68"/>
      <c r="AE27" s="68"/>
      <c r="AU27" s="5"/>
    </row>
    <row r="28" spans="1:47" ht="47.25" customHeight="1" x14ac:dyDescent="0.25">
      <c r="A28" s="294" t="s">
        <v>1758</v>
      </c>
      <c r="B28" s="295" t="s">
        <v>1759</v>
      </c>
      <c r="C28" s="295" t="s">
        <v>1760</v>
      </c>
      <c r="D28" s="446"/>
      <c r="E28" s="297"/>
      <c r="F28" s="297"/>
      <c r="G28" s="297"/>
      <c r="H28" s="214"/>
      <c r="I28" s="92" t="s">
        <v>168</v>
      </c>
      <c r="J28" s="92" t="s">
        <v>178</v>
      </c>
      <c r="K28" s="92" t="s">
        <v>185</v>
      </c>
      <c r="L28" s="166" t="s">
        <v>190</v>
      </c>
      <c r="M28" s="71"/>
      <c r="N28" s="71"/>
      <c r="O28" s="71"/>
      <c r="P28" s="71" t="s">
        <v>380</v>
      </c>
      <c r="Q28" s="71" t="e">
        <f>IF(OR(AND($C$2="Base contract",$C$3="No, section requirements must be reviewed",#REF!= FALSE,#REF!=FALSE),AND($C$2="Contract amendment",$C$3="No, section requirements must be reviewed",#REF!=FALSE,#REF!=FALSE)),"MUNN")</f>
        <v>#REF!</v>
      </c>
      <c r="R28" s="64"/>
      <c r="S28" s="64"/>
      <c r="T28" s="64"/>
      <c r="U28" s="97">
        <f>IF(OR($E$27="N/A",AND(AU28=0,'Cover Sheet'!$B$29="Streamlined Review"),AND(E28="Met",F28&lt;&gt;""),AND(E28="Not met",G28&lt;&gt;""),AND(E28="Unsure",G28&lt;&gt;""),AND(E28="N/A",H28&lt;&gt;""),AND(Y28=TRUE)),1,0)</f>
        <v>0</v>
      </c>
      <c r="W28" s="56" t="b">
        <f t="shared" ref="W28:W38" si="20">IF(OR(AND($H$6="Medicaid",MID($A28,1,FIND(".",$A28,1)-1)="II"),AND($H$6="CHIP",MID($A28,1,FIND(".",$A28,1)-1)="I")),TRUE,FALSE)</f>
        <v>0</v>
      </c>
      <c r="X28" s="126" t="b">
        <f t="shared" ref="X28:X38" si="21">IF(OR(Y28=TRUE,W28=TRUE,AM28=TRUE),TRUE,FALSE)</f>
        <v>0</v>
      </c>
      <c r="Y28" s="126" t="b">
        <f>IF(SUM(Z28:AE28)&lt;1,TRUE,FALSE)</f>
        <v>0</v>
      </c>
      <c r="Z28" s="126">
        <f t="shared" ref="Z28:Z38" si="22">IF($Z$2=I28,1,0)</f>
        <v>1</v>
      </c>
      <c r="AA28" s="126">
        <f t="shared" ref="AA28:AA38" si="23">IF($AA$2=J28,1,0)</f>
        <v>0</v>
      </c>
      <c r="AB28" s="126">
        <f t="shared" ref="AB28:AB38" si="24">IF($AB$2=K28,1,0)</f>
        <v>0</v>
      </c>
      <c r="AC28" s="126">
        <f t="shared" ref="AC28:AC38" si="25">IF($AC$2=L28,1,0)</f>
        <v>0</v>
      </c>
      <c r="AD28" s="126">
        <f t="shared" ref="AD28:AD38" si="26">IF($AD$2=M28,1,0)</f>
        <v>0</v>
      </c>
      <c r="AE28" s="126">
        <f t="shared" ref="AE28:AE38" si="27">IF($AE$2=O28,1,0)</f>
        <v>0</v>
      </c>
      <c r="AM28" s="69" t="str">
        <f t="shared" ref="AM28:AM38" si="28">IF(AL28=1,1,"")</f>
        <v/>
      </c>
      <c r="AU28" s="5">
        <v>1</v>
      </c>
    </row>
    <row r="29" spans="1:47" ht="59.25" customHeight="1" x14ac:dyDescent="0.25">
      <c r="A29" s="294" t="s">
        <v>1761</v>
      </c>
      <c r="B29" s="295" t="s">
        <v>1762</v>
      </c>
      <c r="C29" s="295" t="s">
        <v>1763</v>
      </c>
      <c r="D29" s="446"/>
      <c r="E29" s="297"/>
      <c r="F29" s="297"/>
      <c r="G29" s="297"/>
      <c r="H29" s="214"/>
      <c r="I29" s="92" t="s">
        <v>168</v>
      </c>
      <c r="J29" s="92" t="s">
        <v>178</v>
      </c>
      <c r="K29" s="92" t="s">
        <v>185</v>
      </c>
      <c r="L29" s="166" t="s">
        <v>190</v>
      </c>
      <c r="M29" s="71"/>
      <c r="N29" s="71"/>
      <c r="O29" s="71"/>
      <c r="P29" s="71" t="s">
        <v>380</v>
      </c>
      <c r="Q29" s="71" t="e">
        <f>IF(OR(AND($C$2="Base contract",$C$3="No, section requirements must be reviewed",#REF!= FALSE,#REF!=FALSE),AND($C$2="Contract amendment",$C$3="No, section requirements must be reviewed",#REF!=FALSE,#REF!=FALSE)),"MUNN")</f>
        <v>#REF!</v>
      </c>
      <c r="R29" s="64"/>
      <c r="S29" s="64"/>
      <c r="T29" s="64"/>
      <c r="U29" s="97">
        <f>IF(OR($E$27="N/A",AND(AU29=0,'Cover Sheet'!$B$29="Streamlined Review"),AND(E29="Met",F29&lt;&gt;""),AND(E29="Not met",G29&lt;&gt;""),AND(E29="Unsure",G29&lt;&gt;""),AND(E29="N/A",H29&lt;&gt;""),AND(Y29=TRUE)),1,0)</f>
        <v>0</v>
      </c>
      <c r="W29" s="56" t="b">
        <f t="shared" si="20"/>
        <v>0</v>
      </c>
      <c r="X29" s="126" t="b">
        <f t="shared" si="21"/>
        <v>0</v>
      </c>
      <c r="Y29" s="126" t="b">
        <f t="shared" ref="Y29:Y38" si="29">IF(SUM(Z29:AE29)&lt;1,TRUE,FALSE)</f>
        <v>0</v>
      </c>
      <c r="Z29" s="126">
        <f t="shared" si="22"/>
        <v>1</v>
      </c>
      <c r="AA29" s="126">
        <f t="shared" si="23"/>
        <v>0</v>
      </c>
      <c r="AB29" s="126">
        <f t="shared" si="24"/>
        <v>0</v>
      </c>
      <c r="AC29" s="126">
        <f t="shared" si="25"/>
        <v>0</v>
      </c>
      <c r="AD29" s="126">
        <f t="shared" si="26"/>
        <v>0</v>
      </c>
      <c r="AE29" s="126">
        <f t="shared" si="27"/>
        <v>0</v>
      </c>
      <c r="AM29" s="69" t="str">
        <f t="shared" si="28"/>
        <v/>
      </c>
      <c r="AU29" s="5">
        <v>0</v>
      </c>
    </row>
    <row r="30" spans="1:47" ht="231.75" customHeight="1" x14ac:dyDescent="0.25">
      <c r="A30" s="294" t="s">
        <v>1764</v>
      </c>
      <c r="B30" s="295" t="s">
        <v>1765</v>
      </c>
      <c r="C30" s="295" t="s">
        <v>1766</v>
      </c>
      <c r="D30" s="446"/>
      <c r="E30" s="297"/>
      <c r="F30" s="297"/>
      <c r="G30" s="297"/>
      <c r="H30" s="214"/>
      <c r="I30" s="92" t="s">
        <v>168</v>
      </c>
      <c r="J30" s="92" t="s">
        <v>178</v>
      </c>
      <c r="K30" s="92" t="s">
        <v>185</v>
      </c>
      <c r="L30" s="166" t="s">
        <v>190</v>
      </c>
      <c r="M30" s="71"/>
      <c r="N30" s="71"/>
      <c r="O30" s="71"/>
      <c r="P30" s="71" t="s">
        <v>380</v>
      </c>
      <c r="Q30" s="71" t="e">
        <f>IF(OR(AND($C$2="Base contract",$C$3="No, section requirements must be reviewed",#REF!= FALSE,#REF!=FALSE),AND($C$2="Contract amendment",$C$3="No, section requirements must be reviewed",#REF!=FALSE,#REF!=FALSE)),"MUNN")</f>
        <v>#REF!</v>
      </c>
      <c r="R30" s="64"/>
      <c r="S30" s="64"/>
      <c r="T30" s="64"/>
      <c r="U30" s="97">
        <f>IF(OR($E$27="N/A",AND(AU30=0,'Cover Sheet'!$B$29="Streamlined Review"),AND(E30="Met",F30&lt;&gt;""),AND(E30="Not met",G30&lt;&gt;""),AND(E30="Unsure",G30&lt;&gt;""),AND(E30="N/A",H30&lt;&gt;""),AND(Y30=TRUE)),1,0)</f>
        <v>0</v>
      </c>
      <c r="W30" s="56" t="b">
        <f t="shared" si="20"/>
        <v>0</v>
      </c>
      <c r="X30" s="126" t="b">
        <f t="shared" si="21"/>
        <v>0</v>
      </c>
      <c r="Y30" s="126" t="b">
        <f t="shared" si="29"/>
        <v>0</v>
      </c>
      <c r="Z30" s="126">
        <f t="shared" si="22"/>
        <v>1</v>
      </c>
      <c r="AA30" s="126">
        <f t="shared" si="23"/>
        <v>0</v>
      </c>
      <c r="AB30" s="126">
        <f t="shared" si="24"/>
        <v>0</v>
      </c>
      <c r="AC30" s="126">
        <f t="shared" si="25"/>
        <v>0</v>
      </c>
      <c r="AD30" s="126">
        <f t="shared" si="26"/>
        <v>0</v>
      </c>
      <c r="AE30" s="126">
        <f t="shared" si="27"/>
        <v>0</v>
      </c>
      <c r="AM30" s="69" t="str">
        <f t="shared" si="28"/>
        <v/>
      </c>
      <c r="AU30" s="5">
        <v>0</v>
      </c>
    </row>
    <row r="31" spans="1:47" ht="33" customHeight="1" x14ac:dyDescent="0.25">
      <c r="A31" s="294" t="s">
        <v>1767</v>
      </c>
      <c r="B31" s="295" t="s">
        <v>1768</v>
      </c>
      <c r="C31" s="295" t="s">
        <v>1769</v>
      </c>
      <c r="D31" s="446"/>
      <c r="E31" s="297"/>
      <c r="F31" s="297"/>
      <c r="G31" s="297"/>
      <c r="H31" s="214"/>
      <c r="I31" s="92" t="s">
        <v>168</v>
      </c>
      <c r="J31" s="92" t="s">
        <v>178</v>
      </c>
      <c r="K31" s="92" t="s">
        <v>185</v>
      </c>
      <c r="L31" s="166" t="s">
        <v>190</v>
      </c>
      <c r="M31" s="71"/>
      <c r="N31" s="71"/>
      <c r="O31" s="71"/>
      <c r="P31" s="71" t="s">
        <v>380</v>
      </c>
      <c r="Q31" s="71" t="e">
        <f>IF(OR(AND($C$2="Base contract",$C$3="No, section requirements must be reviewed",#REF!= FALSE,#REF!=FALSE),AND($C$2="Contract amendment",$C$3="No, section requirements must be reviewed",#REF!=FALSE,#REF!=FALSE)),"MUNN")</f>
        <v>#REF!</v>
      </c>
      <c r="R31" s="64"/>
      <c r="S31" s="64"/>
      <c r="T31" s="64"/>
      <c r="U31" s="97">
        <f>IF(OR($E$27="N/A",AND(AU31=0,'Cover Sheet'!$B$29="Streamlined Review"),AND(E31="Met",F31&lt;&gt;""),AND(E31="Not met",G31&lt;&gt;""),AND(E31="Unsure",G31&lt;&gt;""),AND(E31="N/A",H31&lt;&gt;""),AND(Y31=TRUE)),1,0)</f>
        <v>0</v>
      </c>
      <c r="W31" s="56" t="b">
        <f t="shared" si="20"/>
        <v>0</v>
      </c>
      <c r="X31" s="126" t="b">
        <f t="shared" si="21"/>
        <v>0</v>
      </c>
      <c r="Y31" s="126" t="b">
        <f t="shared" si="29"/>
        <v>0</v>
      </c>
      <c r="Z31" s="126">
        <f t="shared" si="22"/>
        <v>1</v>
      </c>
      <c r="AA31" s="126">
        <f t="shared" si="23"/>
        <v>0</v>
      </c>
      <c r="AB31" s="126">
        <f t="shared" si="24"/>
        <v>0</v>
      </c>
      <c r="AC31" s="126">
        <f t="shared" si="25"/>
        <v>0</v>
      </c>
      <c r="AD31" s="126">
        <f t="shared" si="26"/>
        <v>0</v>
      </c>
      <c r="AE31" s="126">
        <f t="shared" si="27"/>
        <v>0</v>
      </c>
      <c r="AM31" s="69" t="str">
        <f t="shared" si="28"/>
        <v/>
      </c>
      <c r="AU31" s="5">
        <v>0</v>
      </c>
    </row>
    <row r="32" spans="1:47" ht="62.25" customHeight="1" x14ac:dyDescent="0.25">
      <c r="A32" s="294" t="s">
        <v>1770</v>
      </c>
      <c r="B32" s="295" t="s">
        <v>1771</v>
      </c>
      <c r="C32" s="295" t="s">
        <v>1772</v>
      </c>
      <c r="D32" s="446"/>
      <c r="E32" s="297"/>
      <c r="F32" s="297"/>
      <c r="G32" s="297"/>
      <c r="H32" s="214"/>
      <c r="I32" s="92" t="s">
        <v>168</v>
      </c>
      <c r="J32" s="92" t="s">
        <v>178</v>
      </c>
      <c r="K32" s="92" t="s">
        <v>185</v>
      </c>
      <c r="L32" s="71" t="s">
        <v>190</v>
      </c>
      <c r="M32" s="71"/>
      <c r="N32" s="71"/>
      <c r="O32" s="71"/>
      <c r="P32" s="71" t="s">
        <v>380</v>
      </c>
      <c r="Q32" s="71" t="e">
        <f>IF(OR(AND($C$2="Base contract",$C$3="No, section requirements must be reviewed",#REF!= FALSE,#REF!=FALSE),AND($C$2="Contract amendment",$C$3="No, section requirements must be reviewed",#REF!=FALSE,#REF!=FALSE)),"MUNN")</f>
        <v>#REF!</v>
      </c>
      <c r="R32" s="64"/>
      <c r="S32" s="64"/>
      <c r="T32" s="64"/>
      <c r="U32" s="97">
        <f>IF(OR($E$27="N/A",AND(AU32=0,'Cover Sheet'!$B$29="Streamlined Review"),AND(E32="Met",F32&lt;&gt;""),AND(E32="Not met",G32&lt;&gt;""),AND(E32="Unsure",G32&lt;&gt;""),AND(E32="N/A",H32&lt;&gt;""),AND(Y32=TRUE)),1,0)</f>
        <v>0</v>
      </c>
      <c r="W32" s="56" t="b">
        <f t="shared" si="20"/>
        <v>0</v>
      </c>
      <c r="X32" s="126" t="b">
        <f t="shared" si="21"/>
        <v>0</v>
      </c>
      <c r="Y32" s="126" t="b">
        <f t="shared" si="29"/>
        <v>0</v>
      </c>
      <c r="Z32" s="126">
        <f t="shared" si="22"/>
        <v>1</v>
      </c>
      <c r="AA32" s="126">
        <f t="shared" si="23"/>
        <v>0</v>
      </c>
      <c r="AB32" s="126">
        <f t="shared" si="24"/>
        <v>0</v>
      </c>
      <c r="AC32" s="126">
        <f t="shared" si="25"/>
        <v>0</v>
      </c>
      <c r="AD32" s="126">
        <f t="shared" si="26"/>
        <v>0</v>
      </c>
      <c r="AE32" s="126">
        <f t="shared" si="27"/>
        <v>0</v>
      </c>
      <c r="AM32" s="69" t="str">
        <f t="shared" si="28"/>
        <v/>
      </c>
      <c r="AU32" s="5">
        <v>1</v>
      </c>
    </row>
    <row r="33" spans="1:47" ht="71.45" customHeight="1" x14ac:dyDescent="0.25">
      <c r="A33" s="294" t="s">
        <v>1773</v>
      </c>
      <c r="B33" s="295" t="s">
        <v>1774</v>
      </c>
      <c r="C33" s="295" t="s">
        <v>1775</v>
      </c>
      <c r="D33" s="446"/>
      <c r="E33" s="297"/>
      <c r="F33" s="297"/>
      <c r="G33" s="297"/>
      <c r="H33" s="214"/>
      <c r="I33" s="92" t="s">
        <v>168</v>
      </c>
      <c r="J33" s="92" t="s">
        <v>178</v>
      </c>
      <c r="K33" s="92" t="s">
        <v>185</v>
      </c>
      <c r="L33" s="71" t="s">
        <v>190</v>
      </c>
      <c r="M33" s="71"/>
      <c r="N33" s="71"/>
      <c r="O33" s="71"/>
      <c r="P33" s="71" t="s">
        <v>380</v>
      </c>
      <c r="Q33" s="71" t="e">
        <f>IF(OR(AND($C$2="Base contract",$C$3="No, section requirements must be reviewed",#REF!= FALSE,#REF!=FALSE),AND($C$2="Contract amendment",$C$3="No, section requirements must be reviewed",#REF!=FALSE,#REF!=FALSE)),"MUNN")</f>
        <v>#REF!</v>
      </c>
      <c r="R33" s="64"/>
      <c r="S33" s="64"/>
      <c r="T33" s="64"/>
      <c r="U33" s="97">
        <f>IF(OR($E$27="N/A",AND(AU33=0,'Cover Sheet'!$B$29="Streamlined Review"),AND(E33="Met",F33&lt;&gt;""),AND(E33="Not met",G33&lt;&gt;""),AND(E33="Unsure",G33&lt;&gt;""),AND(E33="N/A",H33&lt;&gt;""),AND(Y33=TRUE)),1,0)</f>
        <v>0</v>
      </c>
      <c r="W33" s="56" t="b">
        <f t="shared" si="20"/>
        <v>0</v>
      </c>
      <c r="X33" s="126" t="b">
        <f t="shared" si="21"/>
        <v>0</v>
      </c>
      <c r="Y33" s="126" t="b">
        <f t="shared" si="29"/>
        <v>0</v>
      </c>
      <c r="Z33" s="126">
        <f t="shared" si="22"/>
        <v>1</v>
      </c>
      <c r="AA33" s="126">
        <f t="shared" si="23"/>
        <v>0</v>
      </c>
      <c r="AB33" s="126">
        <f t="shared" si="24"/>
        <v>0</v>
      </c>
      <c r="AC33" s="126">
        <f t="shared" si="25"/>
        <v>0</v>
      </c>
      <c r="AD33" s="126">
        <f t="shared" si="26"/>
        <v>0</v>
      </c>
      <c r="AE33" s="126">
        <f t="shared" si="27"/>
        <v>0</v>
      </c>
      <c r="AM33" s="69" t="str">
        <f t="shared" si="28"/>
        <v/>
      </c>
      <c r="AU33" s="5">
        <v>1</v>
      </c>
    </row>
    <row r="34" spans="1:47" ht="63.75" customHeight="1" x14ac:dyDescent="0.25">
      <c r="A34" s="294" t="s">
        <v>1776</v>
      </c>
      <c r="B34" s="295" t="s">
        <v>1777</v>
      </c>
      <c r="C34" s="295" t="s">
        <v>1778</v>
      </c>
      <c r="D34" s="502">
        <v>3</v>
      </c>
      <c r="E34" s="297"/>
      <c r="F34" s="297"/>
      <c r="G34" s="297"/>
      <c r="H34" s="214"/>
      <c r="I34" s="92" t="s">
        <v>168</v>
      </c>
      <c r="J34" s="92" t="s">
        <v>178</v>
      </c>
      <c r="K34" s="92" t="s">
        <v>185</v>
      </c>
      <c r="L34" s="71" t="s">
        <v>190</v>
      </c>
      <c r="M34" s="71"/>
      <c r="N34" s="71"/>
      <c r="O34" s="71"/>
      <c r="P34" s="71" t="s">
        <v>380</v>
      </c>
      <c r="Q34" s="71" t="e">
        <f>IF(OR(AND($C$2="Base contract",$C$3="No, section requirements must be reviewed",#REF!= FALSE,#REF!=FALSE),AND($C$2="Contract amendment",$C$3="No, section requirements must be reviewed",#REF!=FALSE,#REF!=FALSE)),"MUNN")</f>
        <v>#REF!</v>
      </c>
      <c r="R34" s="64"/>
      <c r="S34" s="64"/>
      <c r="T34" s="64"/>
      <c r="U34" s="97">
        <f>IF(OR($E$27="N/A",AND(AU34=0,'Cover Sheet'!$B$29="Streamlined Review"),AND(E34="Met",F34&lt;&gt;""),AND(E34="Not met",G34&lt;&gt;""),AND(E34="Unsure",G34&lt;&gt;""),AND(E34="N/A",H34&lt;&gt;""),AND(Y34=TRUE)),1,0)</f>
        <v>0</v>
      </c>
      <c r="W34" s="56" t="b">
        <f t="shared" si="20"/>
        <v>0</v>
      </c>
      <c r="X34" s="126" t="b">
        <f t="shared" si="21"/>
        <v>0</v>
      </c>
      <c r="Y34" s="126" t="b">
        <f t="shared" si="29"/>
        <v>0</v>
      </c>
      <c r="Z34" s="126">
        <f t="shared" si="22"/>
        <v>1</v>
      </c>
      <c r="AA34" s="126">
        <f t="shared" si="23"/>
        <v>0</v>
      </c>
      <c r="AB34" s="126">
        <f t="shared" si="24"/>
        <v>0</v>
      </c>
      <c r="AC34" s="126">
        <f t="shared" si="25"/>
        <v>0</v>
      </c>
      <c r="AD34" s="126">
        <f t="shared" si="26"/>
        <v>0</v>
      </c>
      <c r="AE34" s="126">
        <f t="shared" si="27"/>
        <v>0</v>
      </c>
      <c r="AM34" s="69" t="str">
        <f t="shared" si="28"/>
        <v/>
      </c>
      <c r="AU34" s="5">
        <v>1</v>
      </c>
    </row>
    <row r="35" spans="1:47" ht="60" customHeight="1" x14ac:dyDescent="0.25">
      <c r="A35" s="294" t="s">
        <v>1779</v>
      </c>
      <c r="B35" s="295" t="s">
        <v>1780</v>
      </c>
      <c r="C35" s="295" t="s">
        <v>1781</v>
      </c>
      <c r="D35" s="501">
        <v>3</v>
      </c>
      <c r="E35" s="297"/>
      <c r="F35" s="297"/>
      <c r="G35" s="297"/>
      <c r="H35" s="214"/>
      <c r="I35" s="92" t="s">
        <v>168</v>
      </c>
      <c r="J35" s="92" t="s">
        <v>178</v>
      </c>
      <c r="K35" s="92" t="s">
        <v>185</v>
      </c>
      <c r="L35" s="71" t="s">
        <v>190</v>
      </c>
      <c r="M35" s="71"/>
      <c r="N35" s="71"/>
      <c r="O35" s="71"/>
      <c r="P35" s="71" t="s">
        <v>380</v>
      </c>
      <c r="Q35" s="71" t="e">
        <f>IF(OR(AND($C$2="Base contract",$C$3="No, section requirements must be reviewed",#REF!= FALSE,#REF!=FALSE),AND($C$2="Contract amendment",$C$3="No, section requirements must be reviewed",#REF!=FALSE,#REF!=FALSE)),"MUNN")</f>
        <v>#REF!</v>
      </c>
      <c r="R35" s="64"/>
      <c r="S35" s="64"/>
      <c r="T35" s="64"/>
      <c r="U35" s="97">
        <f>IF(OR($E$27="N/A",AND(AU35=0,'Cover Sheet'!$B$29="Streamlined Review"),AND(E35="Met",F35&lt;&gt;""),AND(E35="Not met",G35&lt;&gt;""),AND(E35="Unsure",G35&lt;&gt;""),AND(E35="N/A",H35&lt;&gt;""),AND(Y35=TRUE)),1,0)</f>
        <v>0</v>
      </c>
      <c r="W35" s="56" t="b">
        <f t="shared" si="20"/>
        <v>0</v>
      </c>
      <c r="X35" s="126" t="b">
        <f t="shared" si="21"/>
        <v>0</v>
      </c>
      <c r="Y35" s="126" t="b">
        <f t="shared" si="29"/>
        <v>0</v>
      </c>
      <c r="Z35" s="126">
        <f t="shared" si="22"/>
        <v>1</v>
      </c>
      <c r="AA35" s="126">
        <f t="shared" si="23"/>
        <v>0</v>
      </c>
      <c r="AB35" s="126">
        <f t="shared" si="24"/>
        <v>0</v>
      </c>
      <c r="AC35" s="126">
        <f t="shared" si="25"/>
        <v>0</v>
      </c>
      <c r="AD35" s="126">
        <f t="shared" si="26"/>
        <v>0</v>
      </c>
      <c r="AE35" s="126">
        <f t="shared" si="27"/>
        <v>0</v>
      </c>
      <c r="AM35" s="69" t="str">
        <f t="shared" si="28"/>
        <v/>
      </c>
      <c r="AU35" s="5">
        <v>0</v>
      </c>
    </row>
    <row r="36" spans="1:47" ht="87" customHeight="1" x14ac:dyDescent="0.25">
      <c r="A36" s="294" t="s">
        <v>1782</v>
      </c>
      <c r="B36" s="295" t="s">
        <v>1783</v>
      </c>
      <c r="C36" s="295" t="s">
        <v>1784</v>
      </c>
      <c r="D36" s="446"/>
      <c r="E36" s="297"/>
      <c r="F36" s="297"/>
      <c r="G36" s="297"/>
      <c r="H36" s="214"/>
      <c r="I36" s="92" t="s">
        <v>168</v>
      </c>
      <c r="J36" s="92" t="s">
        <v>178</v>
      </c>
      <c r="K36" s="92" t="s">
        <v>185</v>
      </c>
      <c r="L36" s="71" t="s">
        <v>190</v>
      </c>
      <c r="M36" s="71"/>
      <c r="N36" s="71"/>
      <c r="O36" s="71"/>
      <c r="P36" s="71" t="s">
        <v>380</v>
      </c>
      <c r="Q36" s="71" t="e">
        <f>IF(OR(AND($C$2="Base contract",$C$3="No, section requirements must be reviewed",#REF!= FALSE,#REF!=FALSE),AND($C$2="Contract amendment",$C$3="No, section requirements must be reviewed",#REF!=FALSE,#REF!=FALSE)),"MUNN")</f>
        <v>#REF!</v>
      </c>
      <c r="R36" s="64">
        <v>42917</v>
      </c>
      <c r="S36" s="64"/>
      <c r="T36" s="64"/>
      <c r="U36" s="97">
        <f>IF(OR($E$27="N/A",AND(AU36=0,'Cover Sheet'!$B$29="Streamlined Review"),AND(E36="Met",F36&lt;&gt;""),AND(E36="Not met",G36&lt;&gt;""),AND(E36="Unsure",G36&lt;&gt;""),AND(E36="N/A",H36&lt;&gt;""),AND(Y36=TRUE)),1,0)</f>
        <v>0</v>
      </c>
      <c r="W36" s="56" t="b">
        <f t="shared" si="20"/>
        <v>0</v>
      </c>
      <c r="X36" s="126" t="b">
        <f t="shared" si="21"/>
        <v>0</v>
      </c>
      <c r="Y36" s="126" t="b">
        <f t="shared" si="29"/>
        <v>0</v>
      </c>
      <c r="Z36" s="126">
        <f t="shared" si="22"/>
        <v>1</v>
      </c>
      <c r="AA36" s="126">
        <f t="shared" si="23"/>
        <v>0</v>
      </c>
      <c r="AB36" s="126">
        <f t="shared" si="24"/>
        <v>0</v>
      </c>
      <c r="AC36" s="126">
        <f t="shared" si="25"/>
        <v>0</v>
      </c>
      <c r="AD36" s="126">
        <f t="shared" si="26"/>
        <v>0</v>
      </c>
      <c r="AE36" s="126">
        <f t="shared" si="27"/>
        <v>0</v>
      </c>
      <c r="AM36" s="69" t="str">
        <f t="shared" si="28"/>
        <v/>
      </c>
      <c r="AU36" s="5">
        <v>1</v>
      </c>
    </row>
    <row r="37" spans="1:47" ht="57" customHeight="1" x14ac:dyDescent="0.25">
      <c r="A37" s="294" t="s">
        <v>1785</v>
      </c>
      <c r="B37" s="295" t="s">
        <v>1786</v>
      </c>
      <c r="C37" s="295" t="s">
        <v>1787</v>
      </c>
      <c r="D37" s="446"/>
      <c r="E37" s="297"/>
      <c r="F37" s="297"/>
      <c r="G37" s="297"/>
      <c r="H37" s="214"/>
      <c r="I37" s="92" t="s">
        <v>168</v>
      </c>
      <c r="J37" s="92" t="s">
        <v>178</v>
      </c>
      <c r="K37" s="92" t="s">
        <v>185</v>
      </c>
      <c r="L37" s="71" t="s">
        <v>190</v>
      </c>
      <c r="M37" s="71"/>
      <c r="N37" s="71"/>
      <c r="O37" s="71"/>
      <c r="P37" s="71" t="s">
        <v>380</v>
      </c>
      <c r="Q37" s="71" t="e">
        <f>IF(OR(AND($C$2="Base contract",$C$3="No, section requirements must be reviewed",#REF!= FALSE,#REF!=FALSE),AND($C$2="Contract amendment",$C$3="No, section requirements must be reviewed",#REF!=FALSE,#REF!=FALSE)),"MUNN")</f>
        <v>#REF!</v>
      </c>
      <c r="R37" s="64">
        <v>42917</v>
      </c>
      <c r="S37" s="64"/>
      <c r="T37" s="64"/>
      <c r="U37" s="97">
        <f>IF(OR($E$27="N/A",AND(AU37=0,'Cover Sheet'!$B$29="Streamlined Review"),AND(E37="Met",F37&lt;&gt;""),AND(E37="Not met",G37&lt;&gt;""),AND(E37="Unsure",G37&lt;&gt;""),AND(E37="N/A",H37&lt;&gt;""),AND(Y37=TRUE)),1,0)</f>
        <v>0</v>
      </c>
      <c r="W37" s="56" t="b">
        <f t="shared" si="20"/>
        <v>0</v>
      </c>
      <c r="X37" s="126" t="b">
        <f t="shared" si="21"/>
        <v>0</v>
      </c>
      <c r="Y37" s="126" t="b">
        <f t="shared" si="29"/>
        <v>0</v>
      </c>
      <c r="Z37" s="126">
        <f t="shared" si="22"/>
        <v>1</v>
      </c>
      <c r="AA37" s="126">
        <f t="shared" si="23"/>
        <v>0</v>
      </c>
      <c r="AB37" s="126">
        <f t="shared" si="24"/>
        <v>0</v>
      </c>
      <c r="AC37" s="126">
        <f t="shared" si="25"/>
        <v>0</v>
      </c>
      <c r="AD37" s="126">
        <f t="shared" si="26"/>
        <v>0</v>
      </c>
      <c r="AE37" s="126">
        <f t="shared" si="27"/>
        <v>0</v>
      </c>
      <c r="AM37" s="69" t="str">
        <f t="shared" si="28"/>
        <v/>
      </c>
      <c r="AU37" s="5">
        <v>1</v>
      </c>
    </row>
    <row r="38" spans="1:47" ht="47.25" customHeight="1" thickBot="1" x14ac:dyDescent="0.3">
      <c r="A38" s="294" t="s">
        <v>1788</v>
      </c>
      <c r="B38" s="295" t="s">
        <v>1789</v>
      </c>
      <c r="C38" s="295" t="s">
        <v>1790</v>
      </c>
      <c r="D38" s="502">
        <v>4</v>
      </c>
      <c r="E38" s="297"/>
      <c r="F38" s="297"/>
      <c r="G38" s="297"/>
      <c r="H38" s="214"/>
      <c r="I38" s="92" t="s">
        <v>168</v>
      </c>
      <c r="J38" s="92" t="s">
        <v>178</v>
      </c>
      <c r="K38" s="92" t="s">
        <v>185</v>
      </c>
      <c r="L38" s="166" t="s">
        <v>190</v>
      </c>
      <c r="M38" s="71"/>
      <c r="N38" s="71"/>
      <c r="O38" s="71"/>
      <c r="P38" s="71" t="s">
        <v>380</v>
      </c>
      <c r="Q38" s="71" t="e">
        <f>IF(OR(AND($C$2="Base contract",$C$3="No, section requirements must be reviewed",#REF!= FALSE,#REF!=FALSE),AND($C$2="Contract amendment",$C$3="No, section requirements must be reviewed",#REF!=FALSE,#REF!=FALSE)),"MUNN")</f>
        <v>#REF!</v>
      </c>
      <c r="R38" s="64"/>
      <c r="S38" s="64"/>
      <c r="T38" s="64"/>
      <c r="U38" s="97">
        <f>IF(OR($E$27="N/A",AND(AU38=0,'Cover Sheet'!$B$29="Streamlined Review"),AND(E38="Met",F38&lt;&gt;""),AND(E38="Not met",G38&lt;&gt;""),AND(E38="Unsure",G38&lt;&gt;""),AND(E38="N/A",H38&lt;&gt;""),AND(Y38=TRUE)),1,0)</f>
        <v>0</v>
      </c>
      <c r="W38" s="56" t="b">
        <f t="shared" si="20"/>
        <v>0</v>
      </c>
      <c r="X38" s="126" t="b">
        <f t="shared" si="21"/>
        <v>0</v>
      </c>
      <c r="Y38" s="126" t="b">
        <f t="shared" si="29"/>
        <v>0</v>
      </c>
      <c r="Z38" s="126">
        <f t="shared" si="22"/>
        <v>1</v>
      </c>
      <c r="AA38" s="126">
        <f t="shared" si="23"/>
        <v>0</v>
      </c>
      <c r="AB38" s="126">
        <f t="shared" si="24"/>
        <v>0</v>
      </c>
      <c r="AC38" s="126">
        <f t="shared" si="25"/>
        <v>0</v>
      </c>
      <c r="AD38" s="126">
        <f t="shared" si="26"/>
        <v>0</v>
      </c>
      <c r="AE38" s="126">
        <f t="shared" si="27"/>
        <v>0</v>
      </c>
      <c r="AM38" s="69" t="str">
        <f t="shared" si="28"/>
        <v/>
      </c>
      <c r="AU38" s="5">
        <v>1</v>
      </c>
    </row>
    <row r="39" spans="1:47" ht="15.75" thickBot="1" x14ac:dyDescent="0.3">
      <c r="A39" s="450"/>
      <c r="B39" s="451"/>
      <c r="C39" s="465" t="s">
        <v>72</v>
      </c>
      <c r="D39" s="442"/>
      <c r="E39" s="443"/>
      <c r="F39" s="444"/>
      <c r="G39" s="444"/>
      <c r="H39" s="445"/>
      <c r="I39" s="126"/>
      <c r="J39" s="126"/>
      <c r="K39" s="126"/>
      <c r="L39" s="126"/>
      <c r="M39" s="126"/>
      <c r="N39" s="126"/>
      <c r="O39" s="126"/>
      <c r="P39" s="126"/>
      <c r="Q39" s="126"/>
      <c r="R39" s="126"/>
      <c r="S39" s="126"/>
      <c r="T39" s="126"/>
      <c r="U39" s="126"/>
      <c r="W39" s="68"/>
      <c r="X39" s="68"/>
      <c r="Y39" s="68"/>
      <c r="Z39" s="68"/>
      <c r="AA39" s="68"/>
      <c r="AB39" s="68"/>
      <c r="AC39" s="68"/>
      <c r="AD39" s="68"/>
      <c r="AE39" s="68"/>
      <c r="AU39" s="5"/>
    </row>
    <row r="40" spans="1:47" ht="43.5" customHeight="1" x14ac:dyDescent="0.25">
      <c r="A40" s="294" t="s">
        <v>1791</v>
      </c>
      <c r="B40" s="295" t="s">
        <v>1792</v>
      </c>
      <c r="C40" s="295" t="s">
        <v>1793</v>
      </c>
      <c r="D40" s="446"/>
      <c r="E40" s="297"/>
      <c r="F40" s="297"/>
      <c r="G40" s="297"/>
      <c r="H40" s="214"/>
      <c r="I40" s="92" t="s">
        <v>168</v>
      </c>
      <c r="J40" s="92" t="s">
        <v>178</v>
      </c>
      <c r="K40" s="92" t="s">
        <v>185</v>
      </c>
      <c r="L40" s="71" t="s">
        <v>190</v>
      </c>
      <c r="M40" s="71"/>
      <c r="N40" s="71"/>
      <c r="O40" s="71"/>
      <c r="P40" s="71" t="s">
        <v>380</v>
      </c>
      <c r="Q40" s="71" t="e">
        <f>IF(OR(AND($C$2="Base contract",$C$3="No, section requirements must be reviewed",#REF!= FALSE,#REF!=FALSE),AND($C$2="Contract amendment",$C$3="No, section requirements must be reviewed",#REF!=FALSE,#REF!=FALSE)),"MUNN")</f>
        <v>#REF!</v>
      </c>
      <c r="R40" s="64">
        <v>42917</v>
      </c>
      <c r="S40" s="64"/>
      <c r="T40" s="64"/>
      <c r="U40" s="97">
        <f>IF(OR($E$39="N/A",AND(AU40=0,'Cover Sheet'!$B$29="Streamlined Review"),AND(E40="Met",F40&lt;&gt;""),AND(E40="Not met",G40&lt;&gt;""),AND(E40="Unsure",G40&lt;&gt;""),AND(E40="N/A",H40&lt;&gt;""),AND(Y40=TRUE)),1,0)</f>
        <v>0</v>
      </c>
      <c r="W40" s="56" t="b">
        <f>IF(OR(AND($H$6="Medicaid",MID($A40,1,FIND(".",$A40,1)-1)="II"),AND($H$6="CHIP",MID($A40,1,FIND(".",$A40,1)-1)="I")),TRUE,FALSE)</f>
        <v>0</v>
      </c>
      <c r="X40" s="126" t="b">
        <f>IF(OR(Y40=TRUE,W40=TRUE,AM40=TRUE),TRUE,FALSE)</f>
        <v>0</v>
      </c>
      <c r="Y40" s="126" t="b">
        <f>IF(SUM(Z40:AE40)&lt;1,TRUE,FALSE)</f>
        <v>0</v>
      </c>
      <c r="Z40" s="126">
        <f>IF($Z$2=I40,1,0)</f>
        <v>1</v>
      </c>
      <c r="AA40" s="126">
        <f>IF($AA$2=J40,1,0)</f>
        <v>0</v>
      </c>
      <c r="AB40" s="126">
        <f>IF($AB$2=K40,1,0)</f>
        <v>0</v>
      </c>
      <c r="AC40" s="126">
        <f>IF($AC$2=L40,1,0)</f>
        <v>0</v>
      </c>
      <c r="AD40" s="126">
        <f>IF($AD$2=M40,1,0)</f>
        <v>0</v>
      </c>
      <c r="AE40" s="126">
        <f>IF($AE$2=O40,1,0)</f>
        <v>0</v>
      </c>
      <c r="AM40" s="69" t="str">
        <f>IF(AL40=1,1,"")</f>
        <v/>
      </c>
      <c r="AU40" s="5">
        <v>0</v>
      </c>
    </row>
    <row r="41" spans="1:47" ht="45" customHeight="1" x14ac:dyDescent="0.25">
      <c r="A41" s="294" t="s">
        <v>1794</v>
      </c>
      <c r="B41" s="295" t="s">
        <v>1795</v>
      </c>
      <c r="C41" s="295" t="s">
        <v>1796</v>
      </c>
      <c r="D41" s="502">
        <v>5</v>
      </c>
      <c r="E41" s="297"/>
      <c r="F41" s="297"/>
      <c r="G41" s="297"/>
      <c r="H41" s="214"/>
      <c r="I41" s="92" t="s">
        <v>168</v>
      </c>
      <c r="J41" s="92" t="s">
        <v>178</v>
      </c>
      <c r="K41" s="92" t="s">
        <v>185</v>
      </c>
      <c r="L41" s="71" t="s">
        <v>190</v>
      </c>
      <c r="M41" s="71"/>
      <c r="N41" s="71"/>
      <c r="O41" s="71"/>
      <c r="P41" s="71" t="s">
        <v>380</v>
      </c>
      <c r="Q41" s="71" t="e">
        <f>IF(OR(AND($C$2="Base contract",$C$3="No, section requirements must be reviewed",#REF!= FALSE,#REF!=FALSE),AND($C$2="Contract amendment",$C$3="No, section requirements must be reviewed",#REF!=FALSE,#REF!=FALSE)),"MUNN")</f>
        <v>#REF!</v>
      </c>
      <c r="R41" s="64">
        <v>42917</v>
      </c>
      <c r="S41" s="64"/>
      <c r="T41" s="64"/>
      <c r="U41" s="97">
        <f>IF(OR($E$39="N/A",AND(AU41=0,'Cover Sheet'!$B$29="Streamlined Review"),AND(E41="Met",F41&lt;&gt;""),AND(E41="Not met",G41&lt;&gt;""),AND(E41="Unsure",G41&lt;&gt;""),AND(E41="N/A",H41&lt;&gt;""),AND(Y41=TRUE)),1,0)</f>
        <v>0</v>
      </c>
      <c r="W41" s="56" t="b">
        <f>IF(OR(AND($H$6="Medicaid",MID($A41,1,FIND(".",$A41,1)-1)="II"),AND($H$6="CHIP",MID($A41,1,FIND(".",$A41,1)-1)="I")),TRUE,FALSE)</f>
        <v>0</v>
      </c>
      <c r="X41" s="126" t="b">
        <f>IF(OR(Y41=TRUE,W41=TRUE,AM41=TRUE),TRUE,FALSE)</f>
        <v>0</v>
      </c>
      <c r="Y41" s="126" t="b">
        <f>IF(SUM(Z41:AE41)&lt;1,TRUE,FALSE)</f>
        <v>0</v>
      </c>
      <c r="Z41" s="126">
        <f>IF($Z$2=I41,1,0)</f>
        <v>1</v>
      </c>
      <c r="AA41" s="126">
        <f>IF($AA$2=J41,1,0)</f>
        <v>0</v>
      </c>
      <c r="AB41" s="126">
        <f>IF($AB$2=K41,1,0)</f>
        <v>0</v>
      </c>
      <c r="AC41" s="126">
        <f>IF($AC$2=L41,1,0)</f>
        <v>0</v>
      </c>
      <c r="AD41" s="126">
        <f>IF($AD$2=M41,1,0)</f>
        <v>0</v>
      </c>
      <c r="AE41" s="126">
        <f>IF($AE$2=O41,1,0)</f>
        <v>0</v>
      </c>
      <c r="AM41" s="69" t="str">
        <f>IF(AL41=1,1,"")</f>
        <v/>
      </c>
      <c r="AU41" s="5">
        <v>1</v>
      </c>
    </row>
    <row r="42" spans="1:47" ht="58.5" customHeight="1" thickBot="1" x14ac:dyDescent="0.3">
      <c r="A42" s="294" t="s">
        <v>1797</v>
      </c>
      <c r="B42" s="295" t="s">
        <v>1798</v>
      </c>
      <c r="C42" s="295" t="s">
        <v>1799</v>
      </c>
      <c r="D42" s="446"/>
      <c r="E42" s="297"/>
      <c r="F42" s="297"/>
      <c r="G42" s="297"/>
      <c r="H42" s="214"/>
      <c r="I42" s="92" t="s">
        <v>168</v>
      </c>
      <c r="J42" s="92" t="s">
        <v>178</v>
      </c>
      <c r="K42" s="92" t="s">
        <v>185</v>
      </c>
      <c r="L42" s="71" t="s">
        <v>190</v>
      </c>
      <c r="M42" s="71"/>
      <c r="N42" s="71"/>
      <c r="O42" s="71"/>
      <c r="P42" s="71" t="s">
        <v>380</v>
      </c>
      <c r="Q42" s="71" t="e">
        <f>IF(OR(AND($C$2="Base contract",$C$3="No, section requirements must be reviewed",#REF!= FALSE,#REF!=FALSE),AND($C$2="Contract amendment",$C$3="No, section requirements must be reviewed",#REF!=FALSE,#REF!=FALSE)),"MUNN")</f>
        <v>#REF!</v>
      </c>
      <c r="R42" s="64">
        <v>42917</v>
      </c>
      <c r="S42" s="64"/>
      <c r="T42" s="64"/>
      <c r="U42" s="97">
        <f>IF(OR($E$39="N/A",AND(AU42=0,'Cover Sheet'!$B$29="Streamlined Review"),AND(E42="Met",F42&lt;&gt;""),AND(E42="Not met",G42&lt;&gt;""),AND(E42="Unsure",G42&lt;&gt;""),AND(E42="N/A",H42&lt;&gt;""),AND(Y42=TRUE)),1,0)</f>
        <v>0</v>
      </c>
      <c r="W42" s="56" t="b">
        <f>IF(OR(AND($H$6="Medicaid",MID($A42,1,FIND(".",$A42,1)-1)="II"),AND($H$6="CHIP",MID($A42,1,FIND(".",$A42,1)-1)="I")),TRUE,FALSE)</f>
        <v>0</v>
      </c>
      <c r="X42" s="126" t="b">
        <f>IF(OR(Y42=TRUE,W42=TRUE,AM42=TRUE),TRUE,FALSE)</f>
        <v>0</v>
      </c>
      <c r="Y42" s="126" t="b">
        <f>IF(SUM(Z42:AE42)&lt;1,TRUE,FALSE)</f>
        <v>0</v>
      </c>
      <c r="Z42" s="126">
        <f>IF($Z$2=I42,1,0)</f>
        <v>1</v>
      </c>
      <c r="AA42" s="126">
        <f>IF($AA$2=J42,1,0)</f>
        <v>0</v>
      </c>
      <c r="AB42" s="126">
        <f>IF($AB$2=K42,1,0)</f>
        <v>0</v>
      </c>
      <c r="AC42" s="126">
        <f>IF($AC$2=L42,1,0)</f>
        <v>0</v>
      </c>
      <c r="AD42" s="126">
        <f>IF($AD$2=M42,1,0)</f>
        <v>0</v>
      </c>
      <c r="AE42" s="126">
        <f>IF($AE$2=O42,1,0)</f>
        <v>0</v>
      </c>
      <c r="AF42" s="117"/>
      <c r="AM42" s="69" t="str">
        <f>IF(AL42=1,1,"")</f>
        <v/>
      </c>
      <c r="AU42" s="5">
        <v>0</v>
      </c>
    </row>
    <row r="43" spans="1:47" ht="15.75" thickBot="1" x14ac:dyDescent="0.3">
      <c r="A43" s="450"/>
      <c r="B43" s="451"/>
      <c r="C43" s="465" t="s">
        <v>73</v>
      </c>
      <c r="D43" s="442"/>
      <c r="E43" s="443"/>
      <c r="F43" s="444"/>
      <c r="G43" s="444"/>
      <c r="H43" s="445"/>
      <c r="I43" s="126"/>
      <c r="J43" s="126"/>
      <c r="K43" s="126"/>
      <c r="L43" s="126"/>
      <c r="M43" s="126"/>
      <c r="N43" s="126"/>
      <c r="O43" s="126"/>
      <c r="P43" s="126"/>
      <c r="Q43" s="126"/>
      <c r="R43" s="126"/>
      <c r="S43" s="126"/>
      <c r="T43" s="126"/>
      <c r="U43" s="126"/>
      <c r="W43" s="68"/>
      <c r="X43" s="68"/>
      <c r="Y43" s="68"/>
      <c r="Z43" s="68"/>
      <c r="AA43" s="68"/>
      <c r="AB43" s="68"/>
      <c r="AC43" s="68"/>
      <c r="AD43" s="68"/>
      <c r="AE43" s="68"/>
      <c r="AU43" s="5"/>
    </row>
    <row r="44" spans="1:47" ht="54.75" customHeight="1" x14ac:dyDescent="0.25">
      <c r="A44" s="294" t="s">
        <v>1800</v>
      </c>
      <c r="B44" s="295" t="s">
        <v>1801</v>
      </c>
      <c r="C44" s="295" t="s">
        <v>1802</v>
      </c>
      <c r="D44" s="446"/>
      <c r="E44" s="297"/>
      <c r="F44" s="297"/>
      <c r="G44" s="297"/>
      <c r="H44" s="214"/>
      <c r="I44" s="92" t="s">
        <v>168</v>
      </c>
      <c r="J44" s="92" t="s">
        <v>178</v>
      </c>
      <c r="K44" s="92" t="s">
        <v>185</v>
      </c>
      <c r="L44" s="71" t="s">
        <v>190</v>
      </c>
      <c r="M44" s="71"/>
      <c r="N44" s="71"/>
      <c r="O44" s="71"/>
      <c r="P44" s="71" t="s">
        <v>380</v>
      </c>
      <c r="Q44" s="71" t="e">
        <f>IF(OR(AND($C$2="Base contract",$C$3="No, section requirements must be reviewed",#REF!= FALSE,#REF!=FALSE),AND($C$2="Contract amendment",$C$3="No, section requirements must be reviewed",#REF!=FALSE,#REF!=FALSE)),"MUNN")</f>
        <v>#REF!</v>
      </c>
      <c r="R44" s="64">
        <v>42917</v>
      </c>
      <c r="S44" s="64"/>
      <c r="T44" s="64"/>
      <c r="U44" s="97">
        <f>IF(OR($E$43="N/A",AND(AU44=0,'Cover Sheet'!$B$29="Streamlined Review"),AND(E44="Met",F44&lt;&gt;""),AND(E44="Not met",G44&lt;&gt;""),AND(E44="Unsure",G44&lt;&gt;""),AND(E44="N/A",H44&lt;&gt;""),AND(Y44=TRUE)),1,0)</f>
        <v>0</v>
      </c>
      <c r="W44" s="56" t="b">
        <f>IF(OR(AND($H$6="Medicaid",MID($A44,1,FIND(".",$A44,1)-1)="II"),AND($H$6="CHIP",MID($A44,1,FIND(".",$A44,1)-1)="I")),TRUE,FALSE)</f>
        <v>0</v>
      </c>
      <c r="X44" s="126" t="b">
        <f>IF(OR(Y44=TRUE,W44=TRUE,AM44=TRUE),TRUE,FALSE)</f>
        <v>0</v>
      </c>
      <c r="Y44" s="126" t="b">
        <f>IF(SUM(Z44:AE44)&lt;1,TRUE,FALSE)</f>
        <v>0</v>
      </c>
      <c r="Z44" s="126">
        <f>IF($Z$2=I44,1,0)</f>
        <v>1</v>
      </c>
      <c r="AA44" s="126">
        <f>IF($AA$2=J44,1,0)</f>
        <v>0</v>
      </c>
      <c r="AB44" s="126">
        <f>IF($AB$2=K44,1,0)</f>
        <v>0</v>
      </c>
      <c r="AC44" s="126">
        <f>IF($AC$2=L44,1,0)</f>
        <v>0</v>
      </c>
      <c r="AD44" s="126">
        <f>IF($AD$2=M44,1,0)</f>
        <v>0</v>
      </c>
      <c r="AE44" s="126">
        <f>IF($AE$2=O44,1,0)</f>
        <v>0</v>
      </c>
      <c r="AF44" s="117"/>
      <c r="AM44" s="69" t="str">
        <f>IF(AL44=1,1,"")</f>
        <v/>
      </c>
      <c r="AU44" s="5">
        <v>1</v>
      </c>
    </row>
    <row r="45" spans="1:47" ht="36" customHeight="1" x14ac:dyDescent="0.25">
      <c r="A45" s="294" t="s">
        <v>1803</v>
      </c>
      <c r="B45" s="295" t="s">
        <v>1804</v>
      </c>
      <c r="C45" s="295" t="s">
        <v>1805</v>
      </c>
      <c r="D45" s="446"/>
      <c r="E45" s="297"/>
      <c r="F45" s="297"/>
      <c r="G45" s="297"/>
      <c r="H45" s="214"/>
      <c r="I45" s="92" t="s">
        <v>168</v>
      </c>
      <c r="J45" s="92" t="s">
        <v>178</v>
      </c>
      <c r="K45" s="92" t="s">
        <v>185</v>
      </c>
      <c r="L45" s="71" t="s">
        <v>190</v>
      </c>
      <c r="M45" s="71"/>
      <c r="N45" s="71"/>
      <c r="O45" s="71"/>
      <c r="P45" s="71" t="s">
        <v>380</v>
      </c>
      <c r="Q45" s="71" t="e">
        <f>IF(OR(AND($C$2="Base contract",$C$3="No, section requirements must be reviewed",#REF!= FALSE,#REF!=FALSE),AND($C$2="Contract amendment",$C$3="No, section requirements must be reviewed",#REF!=FALSE,#REF!=FALSE)),"MUNN")</f>
        <v>#REF!</v>
      </c>
      <c r="R45" s="64">
        <v>42917</v>
      </c>
      <c r="S45" s="64"/>
      <c r="T45" s="64"/>
      <c r="U45" s="97">
        <f>IF(OR($E$43="N/A",AND(AU45=0,'Cover Sheet'!$B$29="Streamlined Review"),AND(E45="Met",F45&lt;&gt;""),AND(E45="Not met",G45&lt;&gt;""),AND(E45="Unsure",G45&lt;&gt;""),AND(E45="N/A",H45&lt;&gt;""),AND(Y45=TRUE)),1,0)</f>
        <v>0</v>
      </c>
      <c r="W45" s="56" t="b">
        <f>IF(OR(AND($H$6="Medicaid",MID($A45,1,FIND(".",$A45,1)-1)="II"),AND($H$6="CHIP",MID($A45,1,FIND(".",$A45,1)-1)="I")),TRUE,FALSE)</f>
        <v>0</v>
      </c>
      <c r="X45" s="126" t="b">
        <f>IF(OR(Y45=TRUE,W45=TRUE,AM45=TRUE),TRUE,FALSE)</f>
        <v>0</v>
      </c>
      <c r="Y45" s="126" t="b">
        <f>IF(SUM(Z45:AE45)&lt;1,TRUE,FALSE)</f>
        <v>0</v>
      </c>
      <c r="Z45" s="126">
        <f>IF($Z$2=I45,1,0)</f>
        <v>1</v>
      </c>
      <c r="AA45" s="126">
        <f>IF($AA$2=J45,1,0)</f>
        <v>0</v>
      </c>
      <c r="AB45" s="126">
        <f>IF($AB$2=K45,1,0)</f>
        <v>0</v>
      </c>
      <c r="AC45" s="126">
        <f>IF($AC$2=L45,1,0)</f>
        <v>0</v>
      </c>
      <c r="AD45" s="126">
        <f>IF($AD$2=M45,1,0)</f>
        <v>0</v>
      </c>
      <c r="AE45" s="126">
        <f>IF($AE$2=O45,1,0)</f>
        <v>0</v>
      </c>
      <c r="AM45" s="69" t="str">
        <f>IF(AL45=1,1,"")</f>
        <v/>
      </c>
      <c r="AU45" s="5">
        <v>1</v>
      </c>
    </row>
    <row r="46" spans="1:47" ht="46.5" customHeight="1" thickBot="1" x14ac:dyDescent="0.3">
      <c r="A46" s="294" t="s">
        <v>1806</v>
      </c>
      <c r="B46" s="295" t="s">
        <v>1804</v>
      </c>
      <c r="C46" s="295" t="s">
        <v>1807</v>
      </c>
      <c r="D46" s="446"/>
      <c r="E46" s="297"/>
      <c r="F46" s="297"/>
      <c r="G46" s="297"/>
      <c r="H46" s="214"/>
      <c r="I46" s="92" t="s">
        <v>168</v>
      </c>
      <c r="J46" s="92" t="s">
        <v>178</v>
      </c>
      <c r="K46" s="92" t="s">
        <v>185</v>
      </c>
      <c r="L46" s="71" t="s">
        <v>190</v>
      </c>
      <c r="M46" s="71"/>
      <c r="N46" s="71"/>
      <c r="O46" s="71"/>
      <c r="P46" s="71" t="s">
        <v>380</v>
      </c>
      <c r="Q46" s="71" t="e">
        <f>IF(OR(AND($C$2="Base contract",$C$3="No, section requirements must be reviewed",#REF!= FALSE,#REF!=FALSE),AND($C$2="Contract amendment",$C$3="No, section requirements must be reviewed",#REF!=FALSE,#REF!=FALSE)),"MUNN")</f>
        <v>#REF!</v>
      </c>
      <c r="R46" s="64">
        <v>42917</v>
      </c>
      <c r="S46" s="64"/>
      <c r="T46" s="64"/>
      <c r="U46" s="97">
        <f>IF(OR($E$43="N/A",AND(AU46=0,'Cover Sheet'!$B$29="Streamlined Review"),AND(E46="Met",F46&lt;&gt;""),AND(E46="Not met",G46&lt;&gt;""),AND(E46="Unsure",G46&lt;&gt;""),AND(E46="N/A",H46&lt;&gt;""),AND(Y46=TRUE)),1,0)</f>
        <v>0</v>
      </c>
      <c r="W46" s="56" t="b">
        <f>IF(OR(AND($H$6="Medicaid",MID($A46,1,FIND(".",$A46,1)-1)="II"),AND($H$6="CHIP",MID($A46,1,FIND(".",$A46,1)-1)="I")),TRUE,FALSE)</f>
        <v>0</v>
      </c>
      <c r="X46" s="126" t="b">
        <f>IF(OR(Y46=TRUE,W46=TRUE,AM46=TRUE),TRUE,FALSE)</f>
        <v>0</v>
      </c>
      <c r="Y46" s="126" t="b">
        <f>IF(SUM(Z46:AE46)&lt;1,TRUE,FALSE)</f>
        <v>0</v>
      </c>
      <c r="Z46" s="126">
        <f>IF($Z$2=I46,1,0)</f>
        <v>1</v>
      </c>
      <c r="AA46" s="126">
        <f>IF($AA$2=J46,1,0)</f>
        <v>0</v>
      </c>
      <c r="AB46" s="126">
        <f>IF($AB$2=K46,1,0)</f>
        <v>0</v>
      </c>
      <c r="AC46" s="126">
        <f>IF($AC$2=L46,1,0)</f>
        <v>0</v>
      </c>
      <c r="AD46" s="126">
        <f>IF($AD$2=M46,1,0)</f>
        <v>0</v>
      </c>
      <c r="AE46" s="126">
        <f>IF($AE$2=O46,1,0)</f>
        <v>0</v>
      </c>
      <c r="AM46" s="69" t="str">
        <f>IF(AL46=1,1,"")</f>
        <v/>
      </c>
      <c r="AU46" s="5">
        <v>0</v>
      </c>
    </row>
    <row r="47" spans="1:47" ht="15.75" thickBot="1" x14ac:dyDescent="0.3">
      <c r="A47" s="450"/>
      <c r="B47" s="451"/>
      <c r="C47" s="465" t="s">
        <v>74</v>
      </c>
      <c r="D47" s="442"/>
      <c r="E47" s="443"/>
      <c r="F47" s="444"/>
      <c r="G47" s="444"/>
      <c r="H47" s="445"/>
      <c r="I47" s="126"/>
      <c r="J47" s="126"/>
      <c r="K47" s="126"/>
      <c r="L47" s="126"/>
      <c r="M47" s="126"/>
      <c r="N47" s="126"/>
      <c r="O47" s="126"/>
      <c r="P47" s="126"/>
      <c r="Q47" s="126"/>
      <c r="R47" s="126"/>
      <c r="S47" s="126"/>
      <c r="T47" s="126"/>
      <c r="U47" s="126"/>
      <c r="W47" s="68"/>
      <c r="X47" s="68"/>
      <c r="Y47" s="68"/>
      <c r="Z47" s="68"/>
      <c r="AA47" s="68"/>
      <c r="AB47" s="68"/>
      <c r="AC47" s="68"/>
      <c r="AD47" s="68"/>
      <c r="AE47" s="68"/>
      <c r="AU47" s="5"/>
    </row>
    <row r="48" spans="1:47" ht="32.25" customHeight="1" x14ac:dyDescent="0.25">
      <c r="A48" s="294" t="s">
        <v>1808</v>
      </c>
      <c r="B48" s="295" t="s">
        <v>1809</v>
      </c>
      <c r="C48" s="295" t="s">
        <v>1810</v>
      </c>
      <c r="D48" s="446"/>
      <c r="E48" s="297"/>
      <c r="F48" s="297"/>
      <c r="G48" s="297"/>
      <c r="H48" s="214"/>
      <c r="I48" s="92" t="s">
        <v>168</v>
      </c>
      <c r="J48" s="92" t="s">
        <v>178</v>
      </c>
      <c r="K48" s="92" t="s">
        <v>185</v>
      </c>
      <c r="L48" s="166" t="s">
        <v>190</v>
      </c>
      <c r="M48" s="71"/>
      <c r="N48" s="71"/>
      <c r="O48" s="71"/>
      <c r="P48" s="71" t="s">
        <v>380</v>
      </c>
      <c r="Q48" s="71" t="e">
        <f>IF(OR(AND($C$2="Base contract",$C$3="No, section requirements must be reviewed",#REF!= FALSE,#REF!=FALSE),AND($C$2="Contract amendment",$C$3="No, section requirements must be reviewed",#REF!=FALSE,#REF!=FALSE)),"MUNN")</f>
        <v>#REF!</v>
      </c>
      <c r="R48" s="64"/>
      <c r="S48" s="64"/>
      <c r="T48" s="64"/>
      <c r="U48" s="97">
        <f>IF(OR($E$47="N/A",AND(AU48=0,'Cover Sheet'!$B$29="Streamlined Review"),AND(E48="Met",F48&lt;&gt;""),AND(E48="Not met",G48&lt;&gt;""),AND(E48="Unsure",G48&lt;&gt;""),AND(E48="N/A",H48&lt;&gt;""),AND(Y48=TRUE)),1,0)</f>
        <v>0</v>
      </c>
      <c r="W48" s="56" t="b">
        <f t="shared" ref="W48:W57" si="30">IF(OR(AND($H$6="Medicaid",MID($A48,1,FIND(".",$A48,1)-1)="II"),AND($H$6="CHIP",MID($A48,1,FIND(".",$A48,1)-1)="I")),TRUE,FALSE)</f>
        <v>0</v>
      </c>
      <c r="X48" s="126" t="b">
        <f t="shared" ref="X48:X57" si="31">IF(OR(Y48=TRUE,W48=TRUE,AM48=TRUE),TRUE,FALSE)</f>
        <v>0</v>
      </c>
      <c r="Y48" s="126" t="b">
        <f>IF(SUM(Z48:AE48)&lt;1,TRUE,FALSE)</f>
        <v>0</v>
      </c>
      <c r="Z48" s="126">
        <f t="shared" ref="Z48:Z57" si="32">IF($Z$2=I48,1,0)</f>
        <v>1</v>
      </c>
      <c r="AA48" s="126">
        <f t="shared" ref="AA48:AA57" si="33">IF($AA$2=J48,1,0)</f>
        <v>0</v>
      </c>
      <c r="AB48" s="126">
        <f t="shared" ref="AB48:AB57" si="34">IF($AB$2=K48,1,0)</f>
        <v>0</v>
      </c>
      <c r="AC48" s="126">
        <f t="shared" ref="AC48:AC57" si="35">IF($AC$2=L48,1,0)</f>
        <v>0</v>
      </c>
      <c r="AD48" s="126">
        <f t="shared" ref="AD48:AD57" si="36">IF($AD$2=M48,1,0)</f>
        <v>0</v>
      </c>
      <c r="AE48" s="126">
        <f t="shared" ref="AE48:AE57" si="37">IF($AE$2=O48,1,0)</f>
        <v>0</v>
      </c>
      <c r="AM48" s="69" t="str">
        <f t="shared" ref="AM48:AM57" si="38">IF(AL48=1,1,"")</f>
        <v/>
      </c>
      <c r="AU48" s="5">
        <v>0</v>
      </c>
    </row>
    <row r="49" spans="1:47" ht="51" x14ac:dyDescent="0.25">
      <c r="A49" s="294" t="s">
        <v>1811</v>
      </c>
      <c r="B49" s="295" t="s">
        <v>1812</v>
      </c>
      <c r="C49" s="295" t="s">
        <v>1813</v>
      </c>
      <c r="D49" s="446"/>
      <c r="E49" s="297"/>
      <c r="F49" s="297"/>
      <c r="G49" s="297"/>
      <c r="H49" s="214"/>
      <c r="I49" s="92" t="s">
        <v>168</v>
      </c>
      <c r="J49" s="92" t="s">
        <v>178</v>
      </c>
      <c r="K49" s="92" t="s">
        <v>185</v>
      </c>
      <c r="L49" s="166" t="s">
        <v>190</v>
      </c>
      <c r="M49" s="71"/>
      <c r="N49" s="71"/>
      <c r="O49" s="71"/>
      <c r="P49" s="71" t="s">
        <v>380</v>
      </c>
      <c r="Q49" s="71" t="e">
        <f>IF(OR(AND($C$2="Base contract",$C$3="No, section requirements must be reviewed",#REF!= FALSE,#REF!=FALSE),AND($C$2="Contract amendment",$C$3="No, section requirements must be reviewed",#REF!=FALSE,#REF!=FALSE)),"MUNN")</f>
        <v>#REF!</v>
      </c>
      <c r="R49" s="64"/>
      <c r="S49" s="64"/>
      <c r="T49" s="64"/>
      <c r="U49" s="97">
        <f>IF(OR($E$47="N/A",AND(AU49=0,'Cover Sheet'!$B$29="Streamlined Review"),AND(E49="Met",F49&lt;&gt;""),AND(E49="Not met",G49&lt;&gt;""),AND(E49="Unsure",G49&lt;&gt;""),AND(E49="N/A",H49&lt;&gt;""),AND(Y49=TRUE)),1,0)</f>
        <v>0</v>
      </c>
      <c r="W49" s="56" t="b">
        <f t="shared" si="30"/>
        <v>0</v>
      </c>
      <c r="X49" s="126" t="b">
        <f t="shared" si="31"/>
        <v>0</v>
      </c>
      <c r="Y49" s="126" t="b">
        <f t="shared" ref="Y49:Y57" si="39">IF(SUM(Z49:AE49)&lt;1,TRUE,FALSE)</f>
        <v>0</v>
      </c>
      <c r="Z49" s="126">
        <f t="shared" si="32"/>
        <v>1</v>
      </c>
      <c r="AA49" s="126">
        <f t="shared" si="33"/>
        <v>0</v>
      </c>
      <c r="AB49" s="126">
        <f t="shared" si="34"/>
        <v>0</v>
      </c>
      <c r="AC49" s="126">
        <f t="shared" si="35"/>
        <v>0</v>
      </c>
      <c r="AD49" s="126">
        <f t="shared" si="36"/>
        <v>0</v>
      </c>
      <c r="AE49" s="126">
        <f t="shared" si="37"/>
        <v>0</v>
      </c>
      <c r="AM49" s="69" t="str">
        <f t="shared" si="38"/>
        <v/>
      </c>
      <c r="AU49" s="5">
        <v>0</v>
      </c>
    </row>
    <row r="50" spans="1:47" ht="42.75" customHeight="1" x14ac:dyDescent="0.25">
      <c r="A50" s="294" t="s">
        <v>1814</v>
      </c>
      <c r="B50" s="295" t="s">
        <v>1815</v>
      </c>
      <c r="C50" s="295" t="s">
        <v>1816</v>
      </c>
      <c r="D50" s="501">
        <v>6</v>
      </c>
      <c r="E50" s="297"/>
      <c r="F50" s="297"/>
      <c r="G50" s="297"/>
      <c r="H50" s="214"/>
      <c r="I50" s="92" t="s">
        <v>168</v>
      </c>
      <c r="J50" s="92" t="s">
        <v>178</v>
      </c>
      <c r="K50" s="92" t="s">
        <v>185</v>
      </c>
      <c r="L50" s="166" t="s">
        <v>190</v>
      </c>
      <c r="M50" s="71"/>
      <c r="N50" s="71"/>
      <c r="O50" s="71"/>
      <c r="P50" s="71" t="s">
        <v>380</v>
      </c>
      <c r="Q50" s="71" t="e">
        <f>IF(OR(AND($C$2="Base contract",$C$3="No, section requirements must be reviewed",#REF!= FALSE,#REF!=FALSE),AND($C$2="Contract amendment",$C$3="No, section requirements must be reviewed",#REF!=FALSE,#REF!=FALSE)),"MUNN")</f>
        <v>#REF!</v>
      </c>
      <c r="R50" s="64">
        <v>44179</v>
      </c>
      <c r="S50" s="64"/>
      <c r="T50" s="64"/>
      <c r="U50" s="97">
        <f>IF(OR($E$47="N/A",AND(AU50=0,'Cover Sheet'!$B$29="Streamlined Review"),AND(E50="Met",F50&lt;&gt;""),AND(E50="Not met",G50&lt;&gt;""),AND(E50="Unsure",G50&lt;&gt;""),AND(E50="N/A",H50&lt;&gt;""),AND(Y50=TRUE)),1,0)</f>
        <v>0</v>
      </c>
      <c r="W50" s="56" t="b">
        <f t="shared" si="30"/>
        <v>0</v>
      </c>
      <c r="X50" s="126" t="b">
        <f t="shared" si="31"/>
        <v>0</v>
      </c>
      <c r="Y50" s="126" t="b">
        <f t="shared" si="39"/>
        <v>0</v>
      </c>
      <c r="Z50" s="126">
        <f t="shared" si="32"/>
        <v>1</v>
      </c>
      <c r="AA50" s="126">
        <f t="shared" si="33"/>
        <v>0</v>
      </c>
      <c r="AB50" s="126">
        <f t="shared" si="34"/>
        <v>0</v>
      </c>
      <c r="AC50" s="126">
        <f t="shared" si="35"/>
        <v>0</v>
      </c>
      <c r="AD50" s="126">
        <f t="shared" si="36"/>
        <v>0</v>
      </c>
      <c r="AE50" s="126">
        <f t="shared" si="37"/>
        <v>0</v>
      </c>
      <c r="AM50" s="69" t="str">
        <f t="shared" si="38"/>
        <v/>
      </c>
      <c r="AU50" s="5">
        <v>0</v>
      </c>
    </row>
    <row r="51" spans="1:47" ht="37.5" customHeight="1" x14ac:dyDescent="0.25">
      <c r="A51" s="294" t="s">
        <v>1817</v>
      </c>
      <c r="B51" s="295" t="s">
        <v>1818</v>
      </c>
      <c r="C51" s="295" t="s">
        <v>1819</v>
      </c>
      <c r="D51" s="446"/>
      <c r="E51" s="297"/>
      <c r="F51" s="297"/>
      <c r="G51" s="297"/>
      <c r="H51" s="214"/>
      <c r="I51" s="92" t="s">
        <v>168</v>
      </c>
      <c r="J51" s="92" t="s">
        <v>178</v>
      </c>
      <c r="K51" s="92" t="s">
        <v>185</v>
      </c>
      <c r="L51" s="71" t="s">
        <v>190</v>
      </c>
      <c r="M51" s="71"/>
      <c r="N51" s="71"/>
      <c r="O51" s="71"/>
      <c r="P51" s="71" t="s">
        <v>380</v>
      </c>
      <c r="Q51" s="71" t="e">
        <f>IF(OR(AND($C$2="Base contract",$C$3="No, section requirements must be reviewed",#REF!= FALSE,#REF!=FALSE),AND($C$2="Contract amendment",$C$3="No, section requirements must be reviewed",#REF!=FALSE,#REF!=FALSE)),"MUNN")</f>
        <v>#REF!</v>
      </c>
      <c r="R51" s="64">
        <v>42917</v>
      </c>
      <c r="S51" s="64"/>
      <c r="T51" s="64"/>
      <c r="U51" s="97">
        <f>IF(OR($E$47="N/A",AND(AU51=0,'Cover Sheet'!$B$29="Streamlined Review"),AND(E51="Met",F51&lt;&gt;""),AND(E51="Not met",G51&lt;&gt;""),AND(E51="Unsure",G51&lt;&gt;""),AND(E51="N/A",H51&lt;&gt;""),AND(Y51=TRUE)),1,0)</f>
        <v>0</v>
      </c>
      <c r="W51" s="56" t="b">
        <f t="shared" si="30"/>
        <v>0</v>
      </c>
      <c r="X51" s="126" t="b">
        <f t="shared" si="31"/>
        <v>0</v>
      </c>
      <c r="Y51" s="126" t="b">
        <f t="shared" si="39"/>
        <v>0</v>
      </c>
      <c r="Z51" s="126">
        <f t="shared" si="32"/>
        <v>1</v>
      </c>
      <c r="AA51" s="126">
        <f t="shared" si="33"/>
        <v>0</v>
      </c>
      <c r="AB51" s="126">
        <f t="shared" si="34"/>
        <v>0</v>
      </c>
      <c r="AC51" s="126">
        <f t="shared" si="35"/>
        <v>0</v>
      </c>
      <c r="AD51" s="126">
        <f t="shared" si="36"/>
        <v>0</v>
      </c>
      <c r="AE51" s="126">
        <f t="shared" si="37"/>
        <v>0</v>
      </c>
      <c r="AM51" s="69" t="str">
        <f t="shared" si="38"/>
        <v/>
      </c>
      <c r="AU51" s="5">
        <v>0</v>
      </c>
    </row>
    <row r="52" spans="1:47" ht="56.25" customHeight="1" x14ac:dyDescent="0.25">
      <c r="A52" s="294" t="s">
        <v>1820</v>
      </c>
      <c r="B52" s="295" t="s">
        <v>1821</v>
      </c>
      <c r="C52" s="295" t="s">
        <v>1822</v>
      </c>
      <c r="D52" s="446"/>
      <c r="E52" s="297"/>
      <c r="F52" s="297"/>
      <c r="G52" s="297"/>
      <c r="H52" s="214"/>
      <c r="I52" s="92" t="s">
        <v>168</v>
      </c>
      <c r="J52" s="92" t="s">
        <v>178</v>
      </c>
      <c r="K52" s="92" t="s">
        <v>185</v>
      </c>
      <c r="L52" s="71" t="s">
        <v>190</v>
      </c>
      <c r="M52" s="71"/>
      <c r="N52" s="71"/>
      <c r="O52" s="71"/>
      <c r="P52" s="71" t="s">
        <v>380</v>
      </c>
      <c r="Q52" s="71" t="e">
        <f>IF(OR(AND($C$2="Base contract",$C$3="No, section requirements must be reviewed",#REF!= FALSE,#REF!=FALSE),AND($C$2="Contract amendment",$C$3="No, section requirements must be reviewed",#REF!=FALSE,#REF!=FALSE)),"MUNN")</f>
        <v>#REF!</v>
      </c>
      <c r="R52" s="64">
        <v>42917</v>
      </c>
      <c r="S52" s="64"/>
      <c r="T52" s="64"/>
      <c r="U52" s="97">
        <f>IF(OR($E$47="N/A",AND(AU52=0,'Cover Sheet'!$B$29="Streamlined Review"),AND(E52="Met",F52&lt;&gt;""),AND(E52="Not met",G52&lt;&gt;""),AND(E52="Unsure",G52&lt;&gt;""),AND(E52="N/A",H52&lt;&gt;""),AND(Y52=TRUE)),1,0)</f>
        <v>0</v>
      </c>
      <c r="W52" s="56" t="b">
        <f t="shared" si="30"/>
        <v>0</v>
      </c>
      <c r="X52" s="126" t="b">
        <f t="shared" si="31"/>
        <v>0</v>
      </c>
      <c r="Y52" s="126" t="b">
        <f t="shared" si="39"/>
        <v>0</v>
      </c>
      <c r="Z52" s="126">
        <f t="shared" si="32"/>
        <v>1</v>
      </c>
      <c r="AA52" s="126">
        <f t="shared" si="33"/>
        <v>0</v>
      </c>
      <c r="AB52" s="126">
        <f t="shared" si="34"/>
        <v>0</v>
      </c>
      <c r="AC52" s="126">
        <f t="shared" si="35"/>
        <v>0</v>
      </c>
      <c r="AD52" s="126">
        <f t="shared" si="36"/>
        <v>0</v>
      </c>
      <c r="AE52" s="126">
        <f t="shared" si="37"/>
        <v>0</v>
      </c>
      <c r="AM52" s="69" t="str">
        <f t="shared" si="38"/>
        <v/>
      </c>
      <c r="AU52" s="5">
        <v>0</v>
      </c>
    </row>
    <row r="53" spans="1:47" ht="101.25" customHeight="1" x14ac:dyDescent="0.25">
      <c r="A53" s="294" t="s">
        <v>1823</v>
      </c>
      <c r="B53" s="295" t="s">
        <v>1824</v>
      </c>
      <c r="C53" s="295" t="s">
        <v>1825</v>
      </c>
      <c r="D53" s="446"/>
      <c r="E53" s="297"/>
      <c r="F53" s="297"/>
      <c r="G53" s="297"/>
      <c r="H53" s="214"/>
      <c r="I53" s="92" t="s">
        <v>168</v>
      </c>
      <c r="J53" s="92" t="s">
        <v>178</v>
      </c>
      <c r="K53" s="92" t="s">
        <v>185</v>
      </c>
      <c r="L53" s="71" t="s">
        <v>190</v>
      </c>
      <c r="M53" s="71"/>
      <c r="N53" s="71"/>
      <c r="O53" s="71"/>
      <c r="P53" s="71" t="s">
        <v>380</v>
      </c>
      <c r="Q53" s="71" t="e">
        <f>IF(OR(AND($C$2="Base contract",$C$3="No, section requirements must be reviewed",#REF!= FALSE,#REF!=FALSE),AND($C$2="Contract amendment",$C$3="No, section requirements must be reviewed",#REF!=FALSE,#REF!=FALSE)),"MUNN")</f>
        <v>#REF!</v>
      </c>
      <c r="R53" s="64">
        <v>42917</v>
      </c>
      <c r="S53" s="64"/>
      <c r="T53" s="64"/>
      <c r="U53" s="97">
        <f>IF(OR($E$47="N/A",AND(AU53=0,'Cover Sheet'!$B$29="Streamlined Review"),AND(E53="Met",F53&lt;&gt;""),AND(E53="Not met",G53&lt;&gt;""),AND(E53="Unsure",G53&lt;&gt;""),AND(E53="N/A",H53&lt;&gt;""),AND(Y53=TRUE)),1,0)</f>
        <v>0</v>
      </c>
      <c r="W53" s="56" t="b">
        <f t="shared" si="30"/>
        <v>0</v>
      </c>
      <c r="X53" s="126" t="b">
        <f t="shared" si="31"/>
        <v>0</v>
      </c>
      <c r="Y53" s="126" t="b">
        <f t="shared" si="39"/>
        <v>0</v>
      </c>
      <c r="Z53" s="126">
        <f t="shared" si="32"/>
        <v>1</v>
      </c>
      <c r="AA53" s="126">
        <f t="shared" si="33"/>
        <v>0</v>
      </c>
      <c r="AB53" s="126">
        <f t="shared" si="34"/>
        <v>0</v>
      </c>
      <c r="AC53" s="126">
        <f t="shared" si="35"/>
        <v>0</v>
      </c>
      <c r="AD53" s="126">
        <f t="shared" si="36"/>
        <v>0</v>
      </c>
      <c r="AE53" s="126">
        <f t="shared" si="37"/>
        <v>0</v>
      </c>
      <c r="AM53" s="69" t="str">
        <f t="shared" si="38"/>
        <v/>
      </c>
      <c r="AU53" s="5">
        <v>0</v>
      </c>
    </row>
    <row r="54" spans="1:47" ht="36" customHeight="1" x14ac:dyDescent="0.25">
      <c r="A54" s="294" t="s">
        <v>1826</v>
      </c>
      <c r="B54" s="295" t="s">
        <v>1827</v>
      </c>
      <c r="C54" s="295" t="s">
        <v>1828</v>
      </c>
      <c r="D54" s="446"/>
      <c r="E54" s="297"/>
      <c r="F54" s="297"/>
      <c r="G54" s="297"/>
      <c r="H54" s="214"/>
      <c r="I54" s="92" t="s">
        <v>168</v>
      </c>
      <c r="J54" s="92" t="s">
        <v>178</v>
      </c>
      <c r="K54" s="92" t="s">
        <v>185</v>
      </c>
      <c r="L54" s="166" t="s">
        <v>190</v>
      </c>
      <c r="M54" s="71"/>
      <c r="N54" s="71"/>
      <c r="O54" s="71"/>
      <c r="P54" s="71" t="s">
        <v>380</v>
      </c>
      <c r="Q54" s="71" t="e">
        <f>IF(OR(AND($C$2="Base contract",$C$3="No, section requirements must be reviewed",#REF!= FALSE,#REF!=FALSE),AND($C$2="Contract amendment",$C$3="No, section requirements must be reviewed",#REF!=FALSE,#REF!=FALSE)),"MUNN")</f>
        <v>#REF!</v>
      </c>
      <c r="R54" s="64"/>
      <c r="S54" s="64"/>
      <c r="T54" s="64"/>
      <c r="U54" s="97">
        <f>IF(OR($E$47="N/A",AND(AU54=0,'Cover Sheet'!$B$29="Streamlined Review"),AND(E54="Met",F54&lt;&gt;""),AND(E54="Not met",G54&lt;&gt;""),AND(E54="Unsure",G54&lt;&gt;""),AND(E54="N/A",H54&lt;&gt;""),AND(Y54=TRUE)),1,0)</f>
        <v>0</v>
      </c>
      <c r="W54" s="56" t="b">
        <f t="shared" si="30"/>
        <v>0</v>
      </c>
      <c r="X54" s="126" t="b">
        <f t="shared" si="31"/>
        <v>0</v>
      </c>
      <c r="Y54" s="126" t="b">
        <f t="shared" si="39"/>
        <v>0</v>
      </c>
      <c r="Z54" s="126">
        <f t="shared" si="32"/>
        <v>1</v>
      </c>
      <c r="AA54" s="126">
        <f t="shared" si="33"/>
        <v>0</v>
      </c>
      <c r="AB54" s="126">
        <f t="shared" si="34"/>
        <v>0</v>
      </c>
      <c r="AC54" s="126">
        <f t="shared" si="35"/>
        <v>0</v>
      </c>
      <c r="AD54" s="126">
        <f t="shared" si="36"/>
        <v>0</v>
      </c>
      <c r="AE54" s="126">
        <f t="shared" si="37"/>
        <v>0</v>
      </c>
      <c r="AM54" s="69" t="str">
        <f t="shared" si="38"/>
        <v/>
      </c>
      <c r="AU54" s="5">
        <v>0</v>
      </c>
    </row>
    <row r="55" spans="1:47" ht="76.5" x14ac:dyDescent="0.25">
      <c r="A55" s="294" t="s">
        <v>1829</v>
      </c>
      <c r="B55" s="295" t="s">
        <v>1830</v>
      </c>
      <c r="C55" s="295" t="s">
        <v>1831</v>
      </c>
      <c r="D55" s="446"/>
      <c r="E55" s="297"/>
      <c r="F55" s="297"/>
      <c r="G55" s="297"/>
      <c r="H55" s="214"/>
      <c r="I55" s="92" t="s">
        <v>168</v>
      </c>
      <c r="J55" s="92" t="s">
        <v>178</v>
      </c>
      <c r="K55" s="92" t="s">
        <v>185</v>
      </c>
      <c r="L55" s="166" t="s">
        <v>190</v>
      </c>
      <c r="M55" s="71"/>
      <c r="N55" s="71"/>
      <c r="O55" s="71"/>
      <c r="P55" s="71" t="s">
        <v>380</v>
      </c>
      <c r="Q55" s="71" t="e">
        <f>IF(OR(AND($C$2="Base contract",$C$3="No, section requirements must be reviewed",#REF!= FALSE,#REF!=FALSE),AND($C$2="Contract amendment",$C$3="No, section requirements must be reviewed",#REF!=FALSE,#REF!=FALSE)),"MUNN")</f>
        <v>#REF!</v>
      </c>
      <c r="R55" s="64"/>
      <c r="S55" s="64"/>
      <c r="T55" s="64"/>
      <c r="U55" s="97">
        <f>IF(OR($E$47="N/A",AND(AU55=0,'Cover Sheet'!$B$29="Streamlined Review"),AND(E55="Met",F55&lt;&gt;""),AND(E55="Not met",G55&lt;&gt;""),AND(E55="Unsure",G55&lt;&gt;""),AND(E55="N/A",H55&lt;&gt;""),AND(Y55=TRUE)),1,0)</f>
        <v>0</v>
      </c>
      <c r="W55" s="56" t="b">
        <f t="shared" si="30"/>
        <v>0</v>
      </c>
      <c r="X55" s="126" t="b">
        <f t="shared" si="31"/>
        <v>0</v>
      </c>
      <c r="Y55" s="126" t="b">
        <f t="shared" si="39"/>
        <v>0</v>
      </c>
      <c r="Z55" s="126">
        <f t="shared" si="32"/>
        <v>1</v>
      </c>
      <c r="AA55" s="126">
        <f t="shared" si="33"/>
        <v>0</v>
      </c>
      <c r="AB55" s="126">
        <f t="shared" si="34"/>
        <v>0</v>
      </c>
      <c r="AC55" s="126">
        <f t="shared" si="35"/>
        <v>0</v>
      </c>
      <c r="AD55" s="126">
        <f t="shared" si="36"/>
        <v>0</v>
      </c>
      <c r="AE55" s="126">
        <f t="shared" si="37"/>
        <v>0</v>
      </c>
      <c r="AM55" s="69" t="str">
        <f t="shared" si="38"/>
        <v/>
      </c>
      <c r="AU55" s="5">
        <v>1</v>
      </c>
    </row>
    <row r="56" spans="1:47" ht="81" customHeight="1" x14ac:dyDescent="0.25">
      <c r="A56" s="294" t="s">
        <v>1832</v>
      </c>
      <c r="B56" s="295" t="s">
        <v>1833</v>
      </c>
      <c r="C56" s="295" t="s">
        <v>1834</v>
      </c>
      <c r="D56" s="501">
        <v>7</v>
      </c>
      <c r="E56" s="297"/>
      <c r="F56" s="297"/>
      <c r="G56" s="297"/>
      <c r="H56" s="214"/>
      <c r="I56" s="92" t="s">
        <v>168</v>
      </c>
      <c r="J56" s="92" t="s">
        <v>178</v>
      </c>
      <c r="K56" s="92" t="s">
        <v>185</v>
      </c>
      <c r="L56" s="71" t="s">
        <v>190</v>
      </c>
      <c r="M56" s="71"/>
      <c r="N56" s="71"/>
      <c r="O56" s="71"/>
      <c r="P56" s="71" t="s">
        <v>380</v>
      </c>
      <c r="Q56" s="71" t="e">
        <f>IF(OR(AND($C$2="Base contract",$C$3="No, section requirements must be reviewed",#REF!= FALSE,#REF!=FALSE),AND($C$2="Contract amendment",$C$3="No, section requirements must be reviewed",#REF!=FALSE,#REF!=FALSE)),"MUNN")</f>
        <v>#REF!</v>
      </c>
      <c r="R56" s="64">
        <v>42917</v>
      </c>
      <c r="S56" s="64"/>
      <c r="T56" s="64"/>
      <c r="U56" s="97">
        <f>IF(OR($E$47="N/A",AND(AU56=0,'Cover Sheet'!$B$29="Streamlined Review"),AND(E56="Met",F56&lt;&gt;""),AND(E56="Not met",G56&lt;&gt;""),AND(E56="Unsure",G56&lt;&gt;""),AND(E56="N/A",H56&lt;&gt;""),AND(Y56=TRUE)),1,0)</f>
        <v>0</v>
      </c>
      <c r="W56" s="56" t="b">
        <f t="shared" si="30"/>
        <v>0</v>
      </c>
      <c r="X56" s="126" t="b">
        <f t="shared" si="31"/>
        <v>0</v>
      </c>
      <c r="Y56" s="126" t="b">
        <f t="shared" si="39"/>
        <v>0</v>
      </c>
      <c r="Z56" s="126">
        <f t="shared" si="32"/>
        <v>1</v>
      </c>
      <c r="AA56" s="126">
        <f t="shared" si="33"/>
        <v>0</v>
      </c>
      <c r="AB56" s="126">
        <f t="shared" si="34"/>
        <v>0</v>
      </c>
      <c r="AC56" s="126">
        <f t="shared" si="35"/>
        <v>0</v>
      </c>
      <c r="AD56" s="126">
        <f t="shared" si="36"/>
        <v>0</v>
      </c>
      <c r="AE56" s="126">
        <f t="shared" si="37"/>
        <v>0</v>
      </c>
      <c r="AM56" s="69" t="str">
        <f t="shared" si="38"/>
        <v/>
      </c>
      <c r="AU56" s="5">
        <v>0</v>
      </c>
    </row>
    <row r="57" spans="1:47" ht="70.5" customHeight="1" thickBot="1" x14ac:dyDescent="0.3">
      <c r="A57" s="294" t="s">
        <v>1835</v>
      </c>
      <c r="B57" s="295" t="s">
        <v>1836</v>
      </c>
      <c r="C57" s="295" t="s">
        <v>1837</v>
      </c>
      <c r="D57" s="446"/>
      <c r="E57" s="297"/>
      <c r="F57" s="297"/>
      <c r="G57" s="297"/>
      <c r="H57" s="214"/>
      <c r="I57" s="92" t="s">
        <v>168</v>
      </c>
      <c r="J57" s="92" t="s">
        <v>178</v>
      </c>
      <c r="K57" s="92" t="s">
        <v>185</v>
      </c>
      <c r="L57" s="71" t="s">
        <v>190</v>
      </c>
      <c r="M57" s="71"/>
      <c r="N57" s="71"/>
      <c r="O57" s="71"/>
      <c r="P57" s="71" t="s">
        <v>380</v>
      </c>
      <c r="Q57" s="71" t="e">
        <f>IF(OR(AND($C$2="Base contract",$C$3="No, section requirements must be reviewed",#REF!= FALSE,#REF!=FALSE),AND($C$2="Contract amendment",$C$3="No, section requirements must be reviewed",#REF!=FALSE,#REF!=FALSE)),"MUNN")</f>
        <v>#REF!</v>
      </c>
      <c r="R57" s="64">
        <v>42917</v>
      </c>
      <c r="S57" s="64"/>
      <c r="T57" s="64"/>
      <c r="U57" s="97">
        <f>IF(OR($E$47="N/A",AND(AU57=0,'Cover Sheet'!$B$29="Streamlined Review"),AND(E57="Met",F57&lt;&gt;""),AND(E57="Not met",G57&lt;&gt;""),AND(E57="Unsure",G57&lt;&gt;""),AND(E57="N/A",H57&lt;&gt;""),AND(Y57=TRUE)),1,0)</f>
        <v>0</v>
      </c>
      <c r="W57" s="56" t="b">
        <f t="shared" si="30"/>
        <v>0</v>
      </c>
      <c r="X57" s="126" t="b">
        <f t="shared" si="31"/>
        <v>0</v>
      </c>
      <c r="Y57" s="126" t="b">
        <f t="shared" si="39"/>
        <v>0</v>
      </c>
      <c r="Z57" s="126">
        <f t="shared" si="32"/>
        <v>1</v>
      </c>
      <c r="AA57" s="126">
        <f t="shared" si="33"/>
        <v>0</v>
      </c>
      <c r="AB57" s="126">
        <f t="shared" si="34"/>
        <v>0</v>
      </c>
      <c r="AC57" s="126">
        <f t="shared" si="35"/>
        <v>0</v>
      </c>
      <c r="AD57" s="126">
        <f t="shared" si="36"/>
        <v>0</v>
      </c>
      <c r="AE57" s="126">
        <f t="shared" si="37"/>
        <v>0</v>
      </c>
      <c r="AM57" s="69" t="str">
        <f t="shared" si="38"/>
        <v/>
      </c>
      <c r="AU57" s="5">
        <v>0</v>
      </c>
    </row>
    <row r="58" spans="1:47" ht="18.75" customHeight="1" thickBot="1" x14ac:dyDescent="0.3">
      <c r="A58" s="450"/>
      <c r="B58" s="451"/>
      <c r="C58" s="465" t="s">
        <v>75</v>
      </c>
      <c r="D58" s="442"/>
      <c r="E58" s="443"/>
      <c r="F58" s="444"/>
      <c r="G58" s="444"/>
      <c r="H58" s="445"/>
      <c r="I58" s="126"/>
      <c r="J58" s="126"/>
      <c r="K58" s="126"/>
      <c r="L58" s="126"/>
      <c r="M58" s="126"/>
      <c r="N58" s="126"/>
      <c r="O58" s="126"/>
      <c r="P58" s="126"/>
      <c r="Q58" s="126"/>
      <c r="R58" s="126"/>
      <c r="S58" s="126"/>
      <c r="T58" s="126"/>
      <c r="U58" s="126"/>
      <c r="W58" s="68"/>
      <c r="X58" s="68"/>
      <c r="Y58" s="68"/>
      <c r="Z58" s="68"/>
      <c r="AA58" s="68"/>
      <c r="AB58" s="68"/>
      <c r="AC58" s="68"/>
      <c r="AD58" s="68"/>
      <c r="AE58" s="68"/>
      <c r="AU58" s="5"/>
    </row>
    <row r="59" spans="1:47" ht="70.5" customHeight="1" x14ac:dyDescent="0.25">
      <c r="A59" s="294" t="s">
        <v>1838</v>
      </c>
      <c r="B59" s="295" t="s">
        <v>1839</v>
      </c>
      <c r="C59" s="295" t="s">
        <v>1840</v>
      </c>
      <c r="D59" s="446"/>
      <c r="E59" s="297"/>
      <c r="F59" s="297"/>
      <c r="G59" s="297"/>
      <c r="H59" s="214"/>
      <c r="I59" s="92" t="s">
        <v>168</v>
      </c>
      <c r="J59" s="92" t="s">
        <v>178</v>
      </c>
      <c r="K59" s="92" t="s">
        <v>185</v>
      </c>
      <c r="L59" s="71" t="s">
        <v>190</v>
      </c>
      <c r="M59" s="71"/>
      <c r="N59" s="71"/>
      <c r="O59" s="71"/>
      <c r="P59" s="71" t="s">
        <v>380</v>
      </c>
      <c r="Q59" s="71" t="e">
        <f>IF(OR(AND($C$2="Base contract",$C$3="No, section requirements must be reviewed",#REF!= FALSE,#REF!=FALSE),AND($C$2="Contract amendment",$C$3="No, section requirements must be reviewed",#REF!=FALSE,#REF!=FALSE)),"MUNN")</f>
        <v>#REF!</v>
      </c>
      <c r="R59" s="64">
        <v>42917</v>
      </c>
      <c r="S59" s="64"/>
      <c r="T59" s="64"/>
      <c r="U59" s="97">
        <f>IF(OR($E$58="N/A",AND(AU59=0,'Cover Sheet'!$B$29="Streamlined Review"),AND(E59="Met",F59&lt;&gt;""),AND(E59="Not met",G59&lt;&gt;""),AND(E59="Unsure",G59&lt;&gt;""),AND(E59="N/A",H59&lt;&gt;""),AND(Y59=TRUE)),1,0)</f>
        <v>0</v>
      </c>
      <c r="W59" s="56" t="b">
        <f t="shared" ref="W59:W68" si="40">IF(OR(AND($H$6="Medicaid",MID($A59,1,FIND(".",$A59,1)-1)="II"),AND($H$6="CHIP",MID($A59,1,FIND(".",$A59,1)-1)="I")),TRUE,FALSE)</f>
        <v>0</v>
      </c>
      <c r="X59" s="126" t="b">
        <f t="shared" ref="X59:X68" si="41">IF(OR(Y59=TRUE,W59=TRUE,AM59=TRUE),TRUE,FALSE)</f>
        <v>0</v>
      </c>
      <c r="Y59" s="126" t="b">
        <f>IF(SUM(Z59:AE59)&lt;1,TRUE,FALSE)</f>
        <v>0</v>
      </c>
      <c r="Z59" s="126">
        <f t="shared" ref="Z59:Z68" si="42">IF($Z$2=I59,1,0)</f>
        <v>1</v>
      </c>
      <c r="AA59" s="126">
        <f t="shared" ref="AA59:AA68" si="43">IF($AA$2=J59,1,0)</f>
        <v>0</v>
      </c>
      <c r="AB59" s="126">
        <f t="shared" ref="AB59:AB68" si="44">IF($AB$2=K59,1,0)</f>
        <v>0</v>
      </c>
      <c r="AC59" s="126">
        <f t="shared" ref="AC59:AC68" si="45">IF($AC$2=L59,1,0)</f>
        <v>0</v>
      </c>
      <c r="AD59" s="126">
        <f t="shared" ref="AD59:AD68" si="46">IF($AD$2=M59,1,0)</f>
        <v>0</v>
      </c>
      <c r="AE59" s="126">
        <f t="shared" ref="AE59:AE68" si="47">IF($AE$2=O59,1,0)</f>
        <v>0</v>
      </c>
      <c r="AM59" s="69" t="str">
        <f t="shared" ref="AM59:AM68" si="48">IF(AL59=1,1,"")</f>
        <v/>
      </c>
      <c r="AU59" s="5">
        <v>1</v>
      </c>
    </row>
    <row r="60" spans="1:47" ht="57" customHeight="1" x14ac:dyDescent="0.25">
      <c r="A60" s="294" t="s">
        <v>1841</v>
      </c>
      <c r="B60" s="295" t="s">
        <v>1842</v>
      </c>
      <c r="C60" s="295" t="s">
        <v>1843</v>
      </c>
      <c r="D60" s="446"/>
      <c r="E60" s="297"/>
      <c r="F60" s="297"/>
      <c r="G60" s="297"/>
      <c r="H60" s="214"/>
      <c r="I60" s="167" t="s">
        <v>168</v>
      </c>
      <c r="J60" s="167" t="s">
        <v>178</v>
      </c>
      <c r="K60" s="167" t="s">
        <v>185</v>
      </c>
      <c r="L60" s="71" t="s">
        <v>190</v>
      </c>
      <c r="M60" s="71"/>
      <c r="N60" s="71"/>
      <c r="O60" s="71"/>
      <c r="P60" s="71" t="s">
        <v>380</v>
      </c>
      <c r="Q60" s="71" t="e">
        <f>IF(OR(AND($C$2="Base contract",$C$3="No, section requirements must be reviewed",#REF!= FALSE,#REF!=FALSE),AND($C$2="Contract amendment",$C$3="No, section requirements must be reviewed",#REF!=FALSE,#REF!=FALSE)),"MUNN")</f>
        <v>#REF!</v>
      </c>
      <c r="R60" s="64">
        <v>42917</v>
      </c>
      <c r="S60" s="64"/>
      <c r="T60" s="64"/>
      <c r="U60" s="97">
        <f>IF(OR($E$58="N/A",AND(AU60=0,'Cover Sheet'!$B$29="Streamlined Review"),AND(E60="Met",F60&lt;&gt;""),AND(E60="Not met",G60&lt;&gt;""),AND(E60="Unsure",G60&lt;&gt;""),AND(E60="N/A",H60&lt;&gt;""),AND(Y60=TRUE)),1,0)</f>
        <v>0</v>
      </c>
      <c r="W60" s="56" t="b">
        <f t="shared" si="40"/>
        <v>0</v>
      </c>
      <c r="X60" s="126" t="b">
        <f t="shared" si="41"/>
        <v>0</v>
      </c>
      <c r="Y60" s="126" t="b">
        <f t="shared" ref="Y60:Y68" si="49">IF(SUM(Z60:AE60)&lt;1,TRUE,FALSE)</f>
        <v>0</v>
      </c>
      <c r="Z60" s="126">
        <f t="shared" si="42"/>
        <v>1</v>
      </c>
      <c r="AA60" s="126">
        <f t="shared" si="43"/>
        <v>0</v>
      </c>
      <c r="AB60" s="126">
        <f t="shared" si="44"/>
        <v>0</v>
      </c>
      <c r="AC60" s="126">
        <f t="shared" si="45"/>
        <v>0</v>
      </c>
      <c r="AD60" s="126">
        <f t="shared" si="46"/>
        <v>0</v>
      </c>
      <c r="AE60" s="126">
        <f t="shared" si="47"/>
        <v>0</v>
      </c>
      <c r="AM60" s="69" t="str">
        <f t="shared" si="48"/>
        <v/>
      </c>
      <c r="AU60" s="5">
        <v>1</v>
      </c>
    </row>
    <row r="61" spans="1:47" ht="55.5" customHeight="1" x14ac:dyDescent="0.25">
      <c r="A61" s="294" t="s">
        <v>1844</v>
      </c>
      <c r="B61" s="295" t="s">
        <v>1845</v>
      </c>
      <c r="C61" s="295" t="s">
        <v>1846</v>
      </c>
      <c r="D61" s="446"/>
      <c r="E61" s="297"/>
      <c r="F61" s="297"/>
      <c r="G61" s="297"/>
      <c r="H61" s="214"/>
      <c r="I61" s="92" t="s">
        <v>168</v>
      </c>
      <c r="J61" s="92" t="s">
        <v>178</v>
      </c>
      <c r="K61" s="92" t="s">
        <v>185</v>
      </c>
      <c r="L61" s="71" t="s">
        <v>190</v>
      </c>
      <c r="M61" s="71"/>
      <c r="N61" s="71"/>
      <c r="O61" s="71"/>
      <c r="P61" s="71" t="s">
        <v>380</v>
      </c>
      <c r="Q61" s="71" t="e">
        <f>IF(OR(AND($C$2="Base contract",$C$3="No, section requirements must be reviewed",#REF!= FALSE,#REF!=FALSE),AND($C$2="Contract amendment",$C$3="No, section requirements must be reviewed",#REF!=FALSE,#REF!=FALSE)),"MUNN")</f>
        <v>#REF!</v>
      </c>
      <c r="R61" s="64">
        <v>42917</v>
      </c>
      <c r="S61" s="64"/>
      <c r="T61" s="64"/>
      <c r="U61" s="97">
        <f>IF(OR($E$58="N/A",AND(AU61=0,'Cover Sheet'!$B$29="Streamlined Review"),AND(E61="Met",F61&lt;&gt;""),AND(E61="Not met",G61&lt;&gt;""),AND(E61="Unsure",G61&lt;&gt;""),AND(E61="N/A",H61&lt;&gt;""),AND(Y61=TRUE)),1,0)</f>
        <v>0</v>
      </c>
      <c r="W61" s="56" t="b">
        <f t="shared" si="40"/>
        <v>0</v>
      </c>
      <c r="X61" s="126" t="b">
        <f t="shared" si="41"/>
        <v>0</v>
      </c>
      <c r="Y61" s="126" t="b">
        <f t="shared" si="49"/>
        <v>0</v>
      </c>
      <c r="Z61" s="126">
        <f t="shared" si="42"/>
        <v>1</v>
      </c>
      <c r="AA61" s="126">
        <f t="shared" si="43"/>
        <v>0</v>
      </c>
      <c r="AB61" s="126">
        <f t="shared" si="44"/>
        <v>0</v>
      </c>
      <c r="AC61" s="126">
        <f t="shared" si="45"/>
        <v>0</v>
      </c>
      <c r="AD61" s="126">
        <f t="shared" si="46"/>
        <v>0</v>
      </c>
      <c r="AE61" s="126">
        <f t="shared" si="47"/>
        <v>0</v>
      </c>
      <c r="AM61" s="69" t="str">
        <f t="shared" si="48"/>
        <v/>
      </c>
      <c r="AU61" s="5">
        <v>0</v>
      </c>
    </row>
    <row r="62" spans="1:47" ht="60" customHeight="1" x14ac:dyDescent="0.25">
      <c r="A62" s="294" t="s">
        <v>1847</v>
      </c>
      <c r="B62" s="295" t="s">
        <v>1848</v>
      </c>
      <c r="C62" s="295" t="s">
        <v>1849</v>
      </c>
      <c r="D62" s="446"/>
      <c r="E62" s="297"/>
      <c r="F62" s="297"/>
      <c r="G62" s="297"/>
      <c r="H62" s="214"/>
      <c r="I62" s="92" t="s">
        <v>168</v>
      </c>
      <c r="J62" s="92" t="s">
        <v>178</v>
      </c>
      <c r="K62" s="92" t="s">
        <v>185</v>
      </c>
      <c r="L62" s="71" t="s">
        <v>190</v>
      </c>
      <c r="M62" s="71"/>
      <c r="N62" s="71"/>
      <c r="O62" s="71"/>
      <c r="P62" s="71" t="s">
        <v>380</v>
      </c>
      <c r="Q62" s="71" t="e">
        <f>IF(OR(AND($C$2="Base contract",$C$3="No, section requirements must be reviewed",#REF!= FALSE,#REF!=FALSE),AND($C$2="Contract amendment",$C$3="No, section requirements must be reviewed",#REF!=FALSE,#REF!=FALSE)),"MUNN")</f>
        <v>#REF!</v>
      </c>
      <c r="R62" s="64">
        <v>42917</v>
      </c>
      <c r="S62" s="64"/>
      <c r="T62" s="64"/>
      <c r="U62" s="97">
        <f>IF(OR($E$58="N/A",AND(AU62=0,'Cover Sheet'!$B$29="Streamlined Review"),AND(E62="Met",F62&lt;&gt;""),AND(E62="Not met",G62&lt;&gt;""),AND(E62="Unsure",G62&lt;&gt;""),AND(E62="N/A",H62&lt;&gt;""),AND(Y62=TRUE)),1,0)</f>
        <v>0</v>
      </c>
      <c r="W62" s="56" t="b">
        <f t="shared" si="40"/>
        <v>0</v>
      </c>
      <c r="X62" s="126" t="b">
        <f t="shared" si="41"/>
        <v>0</v>
      </c>
      <c r="Y62" s="126" t="b">
        <f t="shared" si="49"/>
        <v>0</v>
      </c>
      <c r="Z62" s="126">
        <f t="shared" si="42"/>
        <v>1</v>
      </c>
      <c r="AA62" s="126">
        <f t="shared" si="43"/>
        <v>0</v>
      </c>
      <c r="AB62" s="126">
        <f t="shared" si="44"/>
        <v>0</v>
      </c>
      <c r="AC62" s="126">
        <f t="shared" si="45"/>
        <v>0</v>
      </c>
      <c r="AD62" s="126">
        <f t="shared" si="46"/>
        <v>0</v>
      </c>
      <c r="AE62" s="126">
        <f t="shared" si="47"/>
        <v>0</v>
      </c>
      <c r="AM62" s="69" t="str">
        <f t="shared" si="48"/>
        <v/>
      </c>
      <c r="AU62" s="5">
        <v>0</v>
      </c>
    </row>
    <row r="63" spans="1:47" ht="47.25" customHeight="1" x14ac:dyDescent="0.25">
      <c r="A63" s="294" t="s">
        <v>1850</v>
      </c>
      <c r="B63" s="295" t="s">
        <v>1851</v>
      </c>
      <c r="C63" s="295" t="s">
        <v>1852</v>
      </c>
      <c r="D63" s="446"/>
      <c r="E63" s="297"/>
      <c r="F63" s="297"/>
      <c r="G63" s="297"/>
      <c r="H63" s="214"/>
      <c r="I63" s="92" t="s">
        <v>168</v>
      </c>
      <c r="J63" s="92" t="s">
        <v>178</v>
      </c>
      <c r="K63" s="92" t="s">
        <v>185</v>
      </c>
      <c r="L63" s="71" t="s">
        <v>190</v>
      </c>
      <c r="M63" s="71"/>
      <c r="N63" s="71"/>
      <c r="O63" s="71"/>
      <c r="P63" s="71" t="s">
        <v>380</v>
      </c>
      <c r="Q63" s="71" t="e">
        <f>IF(OR(AND($C$2="Base contract",$C$3="No, section requirements must be reviewed",#REF!= FALSE,#REF!=FALSE),AND($C$2="Contract amendment",$C$3="No, section requirements must be reviewed",#REF!=FALSE,#REF!=FALSE)),"MUNN")</f>
        <v>#REF!</v>
      </c>
      <c r="R63" s="64">
        <v>42917</v>
      </c>
      <c r="S63" s="64"/>
      <c r="T63" s="64"/>
      <c r="U63" s="97">
        <f>IF(OR($E$58="N/A",AND(AU63=0,'Cover Sheet'!$B$29="Streamlined Review"),AND(E63="Met",F63&lt;&gt;""),AND(E63="Not met",G63&lt;&gt;""),AND(E63="Unsure",G63&lt;&gt;""),AND(E63="N/A",H63&lt;&gt;""),AND(Y63=TRUE)),1,0)</f>
        <v>0</v>
      </c>
      <c r="W63" s="56" t="b">
        <f t="shared" si="40"/>
        <v>0</v>
      </c>
      <c r="X63" s="126" t="b">
        <f t="shared" si="41"/>
        <v>0</v>
      </c>
      <c r="Y63" s="126" t="b">
        <f t="shared" si="49"/>
        <v>0</v>
      </c>
      <c r="Z63" s="126">
        <f t="shared" si="42"/>
        <v>1</v>
      </c>
      <c r="AA63" s="126">
        <f t="shared" si="43"/>
        <v>0</v>
      </c>
      <c r="AB63" s="126">
        <f t="shared" si="44"/>
        <v>0</v>
      </c>
      <c r="AC63" s="126">
        <f t="shared" si="45"/>
        <v>0</v>
      </c>
      <c r="AD63" s="126">
        <f t="shared" si="46"/>
        <v>0</v>
      </c>
      <c r="AE63" s="126">
        <f t="shared" si="47"/>
        <v>0</v>
      </c>
      <c r="AM63" s="69" t="str">
        <f t="shared" si="48"/>
        <v/>
      </c>
      <c r="AU63" s="5">
        <v>0</v>
      </c>
    </row>
    <row r="64" spans="1:47" ht="44.25" customHeight="1" x14ac:dyDescent="0.25">
      <c r="A64" s="294" t="s">
        <v>1853</v>
      </c>
      <c r="B64" s="295" t="s">
        <v>1854</v>
      </c>
      <c r="C64" s="295" t="s">
        <v>1855</v>
      </c>
      <c r="D64" s="446"/>
      <c r="E64" s="297"/>
      <c r="F64" s="297"/>
      <c r="G64" s="297"/>
      <c r="H64" s="214"/>
      <c r="I64" s="92" t="s">
        <v>168</v>
      </c>
      <c r="J64" s="92" t="s">
        <v>178</v>
      </c>
      <c r="K64" s="92" t="s">
        <v>185</v>
      </c>
      <c r="L64" s="71" t="s">
        <v>190</v>
      </c>
      <c r="M64" s="71"/>
      <c r="N64" s="71"/>
      <c r="O64" s="71"/>
      <c r="P64" s="71" t="s">
        <v>380</v>
      </c>
      <c r="Q64" s="71" t="e">
        <f>IF(OR(AND($C$2="Base contract",$C$3="No, section requirements must be reviewed",#REF!= FALSE,#REF!=FALSE),AND($C$2="Contract amendment",$C$3="No, section requirements must be reviewed",#REF!=FALSE,#REF!=FALSE)),"MUNN")</f>
        <v>#REF!</v>
      </c>
      <c r="R64" s="64">
        <v>42917</v>
      </c>
      <c r="S64" s="64"/>
      <c r="T64" s="64"/>
      <c r="U64" s="97">
        <f>IF(OR($E$58="N/A",AND(AU64=0,'Cover Sheet'!$B$29="Streamlined Review"),AND(E64="Met",F64&lt;&gt;""),AND(E64="Not met",G64&lt;&gt;""),AND(E64="Unsure",G64&lt;&gt;""),AND(E64="N/A",H64&lt;&gt;""),AND(Y64=TRUE)),1,0)</f>
        <v>0</v>
      </c>
      <c r="W64" s="56" t="b">
        <f t="shared" si="40"/>
        <v>0</v>
      </c>
      <c r="X64" s="126" t="b">
        <f t="shared" si="41"/>
        <v>0</v>
      </c>
      <c r="Y64" s="126" t="b">
        <f t="shared" si="49"/>
        <v>0</v>
      </c>
      <c r="Z64" s="126">
        <f t="shared" si="42"/>
        <v>1</v>
      </c>
      <c r="AA64" s="126">
        <f t="shared" si="43"/>
        <v>0</v>
      </c>
      <c r="AB64" s="126">
        <f t="shared" si="44"/>
        <v>0</v>
      </c>
      <c r="AC64" s="126">
        <f t="shared" si="45"/>
        <v>0</v>
      </c>
      <c r="AD64" s="126">
        <f t="shared" si="46"/>
        <v>0</v>
      </c>
      <c r="AE64" s="126">
        <f t="shared" si="47"/>
        <v>0</v>
      </c>
      <c r="AM64" s="69" t="str">
        <f t="shared" si="48"/>
        <v/>
      </c>
      <c r="AU64" s="5">
        <v>0</v>
      </c>
    </row>
    <row r="65" spans="1:47" ht="51.75" x14ac:dyDescent="0.25">
      <c r="A65" s="294" t="s">
        <v>1856</v>
      </c>
      <c r="B65" s="295" t="s">
        <v>1857</v>
      </c>
      <c r="C65" s="295" t="s">
        <v>1858</v>
      </c>
      <c r="D65" s="446"/>
      <c r="E65" s="297"/>
      <c r="F65" s="297"/>
      <c r="G65" s="297"/>
      <c r="H65" s="214"/>
      <c r="I65" s="167" t="s">
        <v>168</v>
      </c>
      <c r="J65" s="167" t="s">
        <v>178</v>
      </c>
      <c r="K65" s="167" t="s">
        <v>185</v>
      </c>
      <c r="L65" s="71" t="s">
        <v>190</v>
      </c>
      <c r="M65" s="71"/>
      <c r="N65" s="71"/>
      <c r="O65" s="71"/>
      <c r="P65" s="71" t="s">
        <v>380</v>
      </c>
      <c r="Q65" s="71" t="e">
        <f>IF(OR(AND($C$2="Base contract",$C$3="No, section requirements must be reviewed",#REF!= FALSE,#REF!=FALSE),AND($C$2="Contract amendment",$C$3="No, section requirements must be reviewed",#REF!=FALSE,#REF!=FALSE)),"MUNN")</f>
        <v>#REF!</v>
      </c>
      <c r="R65" s="64">
        <v>42917</v>
      </c>
      <c r="S65" s="64"/>
      <c r="T65" s="64"/>
      <c r="U65" s="97">
        <f>IF(OR($E$58="N/A",AND(AU65=0,'Cover Sheet'!$B$29="Streamlined Review"),AND(E65="Met",F65&lt;&gt;""),AND(E65="Not met",G65&lt;&gt;""),AND(E65="Unsure",G65&lt;&gt;""),AND(E65="N/A",H65&lt;&gt;""),AND(Y65=TRUE)),1,0)</f>
        <v>0</v>
      </c>
      <c r="W65" s="56" t="b">
        <f t="shared" si="40"/>
        <v>0</v>
      </c>
      <c r="X65" s="126" t="b">
        <f t="shared" si="41"/>
        <v>0</v>
      </c>
      <c r="Y65" s="126" t="b">
        <f t="shared" si="49"/>
        <v>0</v>
      </c>
      <c r="Z65" s="126">
        <f t="shared" si="42"/>
        <v>1</v>
      </c>
      <c r="AA65" s="126">
        <f t="shared" si="43"/>
        <v>0</v>
      </c>
      <c r="AB65" s="126">
        <f t="shared" si="44"/>
        <v>0</v>
      </c>
      <c r="AC65" s="126">
        <f t="shared" si="45"/>
        <v>0</v>
      </c>
      <c r="AD65" s="126">
        <f t="shared" si="46"/>
        <v>0</v>
      </c>
      <c r="AE65" s="126">
        <f t="shared" si="47"/>
        <v>0</v>
      </c>
      <c r="AM65" s="69" t="str">
        <f t="shared" si="48"/>
        <v/>
      </c>
      <c r="AU65" s="5">
        <v>1</v>
      </c>
    </row>
    <row r="66" spans="1:47" ht="45.75" customHeight="1" x14ac:dyDescent="0.25">
      <c r="A66" s="294" t="s">
        <v>1859</v>
      </c>
      <c r="B66" s="295" t="s">
        <v>1860</v>
      </c>
      <c r="C66" s="295" t="s">
        <v>1861</v>
      </c>
      <c r="D66" s="446"/>
      <c r="E66" s="297"/>
      <c r="F66" s="297"/>
      <c r="G66" s="297"/>
      <c r="H66" s="214"/>
      <c r="I66" s="92" t="s">
        <v>168</v>
      </c>
      <c r="J66" s="92" t="s">
        <v>178</v>
      </c>
      <c r="K66" s="92" t="s">
        <v>185</v>
      </c>
      <c r="L66" s="71" t="s">
        <v>190</v>
      </c>
      <c r="M66" s="71"/>
      <c r="N66" s="71"/>
      <c r="O66" s="71"/>
      <c r="P66" s="71" t="s">
        <v>380</v>
      </c>
      <c r="Q66" s="71" t="e">
        <f>IF(OR(AND($C$2="Base contract",$C$3="No, section requirements must be reviewed",#REF!= FALSE,#REF!=FALSE),AND($C$2="Contract amendment",$C$3="No, section requirements must be reviewed",#REF!=FALSE,#REF!=FALSE)),"MUNN")</f>
        <v>#REF!</v>
      </c>
      <c r="R66" s="64">
        <v>42917</v>
      </c>
      <c r="S66" s="64"/>
      <c r="T66" s="64"/>
      <c r="U66" s="97">
        <f>IF(OR($E$58="N/A",AND(AU66=0,'Cover Sheet'!$B$29="Streamlined Review"),AND(E66="Met",F66&lt;&gt;""),AND(E66="Not met",G66&lt;&gt;""),AND(E66="Unsure",G66&lt;&gt;""),AND(E66="N/A",H66&lt;&gt;""),AND(Y66=TRUE)),1,0)</f>
        <v>0</v>
      </c>
      <c r="W66" s="56" t="b">
        <f t="shared" si="40"/>
        <v>0</v>
      </c>
      <c r="X66" s="126" t="b">
        <f t="shared" si="41"/>
        <v>0</v>
      </c>
      <c r="Y66" s="126" t="b">
        <f t="shared" si="49"/>
        <v>0</v>
      </c>
      <c r="Z66" s="126">
        <f t="shared" si="42"/>
        <v>1</v>
      </c>
      <c r="AA66" s="126">
        <f t="shared" si="43"/>
        <v>0</v>
      </c>
      <c r="AB66" s="126">
        <f t="shared" si="44"/>
        <v>0</v>
      </c>
      <c r="AC66" s="126">
        <f t="shared" si="45"/>
        <v>0</v>
      </c>
      <c r="AD66" s="126">
        <f t="shared" si="46"/>
        <v>0</v>
      </c>
      <c r="AE66" s="126">
        <f t="shared" si="47"/>
        <v>0</v>
      </c>
      <c r="AM66" s="69" t="str">
        <f t="shared" si="48"/>
        <v/>
      </c>
      <c r="AU66" s="5">
        <v>0</v>
      </c>
    </row>
    <row r="67" spans="1:47" ht="57.75" customHeight="1" x14ac:dyDescent="0.25">
      <c r="A67" s="294" t="s">
        <v>1862</v>
      </c>
      <c r="B67" s="295" t="s">
        <v>1863</v>
      </c>
      <c r="C67" s="295" t="s">
        <v>1864</v>
      </c>
      <c r="D67" s="446"/>
      <c r="E67" s="297"/>
      <c r="F67" s="297"/>
      <c r="G67" s="297"/>
      <c r="H67" s="214"/>
      <c r="I67" s="92" t="s">
        <v>168</v>
      </c>
      <c r="J67" s="92" t="s">
        <v>178</v>
      </c>
      <c r="K67" s="92" t="s">
        <v>185</v>
      </c>
      <c r="L67" s="71" t="s">
        <v>190</v>
      </c>
      <c r="M67" s="71"/>
      <c r="N67" s="71"/>
      <c r="O67" s="71"/>
      <c r="P67" s="71" t="s">
        <v>380</v>
      </c>
      <c r="Q67" s="71" t="e">
        <f>IF(OR(AND($C$2="Base contract",$C$3="No, section requirements must be reviewed",#REF!= FALSE,#REF!=FALSE),AND($C$2="Contract amendment",$C$3="No, section requirements must be reviewed",#REF!=FALSE,#REF!=FALSE)),"MUNN")</f>
        <v>#REF!</v>
      </c>
      <c r="R67" s="64">
        <v>42917</v>
      </c>
      <c r="S67" s="64"/>
      <c r="T67" s="64"/>
      <c r="U67" s="97">
        <f>IF(OR($E$58="N/A",AND(AU67=0,'Cover Sheet'!$B$29="Streamlined Review"),AND(E67="Met",F67&lt;&gt;""),AND(E67="Not met",G67&lt;&gt;""),AND(E67="Unsure",G67&lt;&gt;""),AND(E67="N/A",H67&lt;&gt;""),AND(Y67=TRUE)),1,0)</f>
        <v>0</v>
      </c>
      <c r="W67" s="56" t="b">
        <f t="shared" si="40"/>
        <v>0</v>
      </c>
      <c r="X67" s="126" t="b">
        <f t="shared" si="41"/>
        <v>0</v>
      </c>
      <c r="Y67" s="126" t="b">
        <f t="shared" si="49"/>
        <v>0</v>
      </c>
      <c r="Z67" s="126">
        <f t="shared" si="42"/>
        <v>1</v>
      </c>
      <c r="AA67" s="126">
        <f t="shared" si="43"/>
        <v>0</v>
      </c>
      <c r="AB67" s="126">
        <f t="shared" si="44"/>
        <v>0</v>
      </c>
      <c r="AC67" s="126">
        <f t="shared" si="45"/>
        <v>0</v>
      </c>
      <c r="AD67" s="126">
        <f t="shared" si="46"/>
        <v>0</v>
      </c>
      <c r="AE67" s="126">
        <f t="shared" si="47"/>
        <v>0</v>
      </c>
      <c r="AM67" s="69" t="str">
        <f t="shared" si="48"/>
        <v/>
      </c>
      <c r="AU67" s="5">
        <v>0</v>
      </c>
    </row>
    <row r="68" spans="1:47" ht="49.5" customHeight="1" thickBot="1" x14ac:dyDescent="0.3">
      <c r="A68" s="294" t="s">
        <v>1865</v>
      </c>
      <c r="B68" s="295" t="s">
        <v>1866</v>
      </c>
      <c r="C68" s="295" t="s">
        <v>1867</v>
      </c>
      <c r="D68" s="446"/>
      <c r="E68" s="297"/>
      <c r="F68" s="297"/>
      <c r="G68" s="297"/>
      <c r="H68" s="214"/>
      <c r="I68" s="92" t="s">
        <v>168</v>
      </c>
      <c r="J68" s="92" t="s">
        <v>178</v>
      </c>
      <c r="K68" s="92" t="s">
        <v>185</v>
      </c>
      <c r="L68" s="71" t="s">
        <v>190</v>
      </c>
      <c r="M68" s="71"/>
      <c r="N68" s="71"/>
      <c r="O68" s="71"/>
      <c r="P68" s="71" t="s">
        <v>380</v>
      </c>
      <c r="Q68" s="71" t="e">
        <f>IF(OR(AND($C$2="Base contract",$C$3="No, section requirements must be reviewed",#REF!= FALSE,#REF!=FALSE),AND($C$2="Contract amendment",$C$3="No, section requirements must be reviewed",#REF!=FALSE,#REF!=FALSE)),"MUNN")</f>
        <v>#REF!</v>
      </c>
      <c r="R68" s="64">
        <v>42917</v>
      </c>
      <c r="S68" s="64"/>
      <c r="T68" s="64"/>
      <c r="U68" s="97">
        <f>IF(OR($E$58="N/A",AND(AU68=0,'Cover Sheet'!$B$29="Streamlined Review"),AND(E68="Met",F68&lt;&gt;""),AND(E68="Not met",G68&lt;&gt;""),AND(E68="Unsure",G68&lt;&gt;""),AND(E68="N/A",H68&lt;&gt;""),AND(Y68=TRUE)),1,0)</f>
        <v>0</v>
      </c>
      <c r="W68" s="56" t="b">
        <f t="shared" si="40"/>
        <v>0</v>
      </c>
      <c r="X68" s="126" t="b">
        <f t="shared" si="41"/>
        <v>0</v>
      </c>
      <c r="Y68" s="126" t="b">
        <f t="shared" si="49"/>
        <v>0</v>
      </c>
      <c r="Z68" s="126">
        <f t="shared" si="42"/>
        <v>1</v>
      </c>
      <c r="AA68" s="126">
        <f t="shared" si="43"/>
        <v>0</v>
      </c>
      <c r="AB68" s="126">
        <f t="shared" si="44"/>
        <v>0</v>
      </c>
      <c r="AC68" s="126">
        <f t="shared" si="45"/>
        <v>0</v>
      </c>
      <c r="AD68" s="126">
        <f t="shared" si="46"/>
        <v>0</v>
      </c>
      <c r="AE68" s="126">
        <f t="shared" si="47"/>
        <v>0</v>
      </c>
      <c r="AM68" s="69" t="str">
        <f t="shared" si="48"/>
        <v/>
      </c>
      <c r="AU68" s="5">
        <v>0</v>
      </c>
    </row>
    <row r="69" spans="1:47" ht="15.75" thickBot="1" x14ac:dyDescent="0.3">
      <c r="A69" s="450"/>
      <c r="B69" s="451"/>
      <c r="C69" s="465" t="s">
        <v>76</v>
      </c>
      <c r="D69" s="442"/>
      <c r="E69" s="443"/>
      <c r="F69" s="444"/>
      <c r="G69" s="444"/>
      <c r="H69" s="445"/>
      <c r="I69" s="126"/>
      <c r="J69" s="126"/>
      <c r="K69" s="126"/>
      <c r="L69" s="126"/>
      <c r="M69" s="126"/>
      <c r="N69" s="126"/>
      <c r="O69" s="126"/>
      <c r="P69" s="126"/>
      <c r="Q69" s="126"/>
      <c r="R69" s="126"/>
      <c r="S69" s="126"/>
      <c r="T69" s="126"/>
      <c r="U69" s="126"/>
      <c r="W69" s="68"/>
      <c r="X69" s="68"/>
      <c r="Y69" s="68"/>
      <c r="Z69" s="68"/>
      <c r="AA69" s="68"/>
      <c r="AB69" s="68"/>
      <c r="AC69" s="68"/>
      <c r="AD69" s="68"/>
      <c r="AE69" s="68"/>
      <c r="AU69" s="5"/>
    </row>
    <row r="70" spans="1:47" ht="137.44999999999999" customHeight="1" x14ac:dyDescent="0.25">
      <c r="A70" s="294" t="s">
        <v>1868</v>
      </c>
      <c r="B70" s="295" t="s">
        <v>1869</v>
      </c>
      <c r="C70" s="295" t="s">
        <v>1870</v>
      </c>
      <c r="D70" s="502">
        <v>8</v>
      </c>
      <c r="E70" s="297"/>
      <c r="F70" s="297"/>
      <c r="G70" s="297"/>
      <c r="H70" s="214"/>
      <c r="I70" s="92" t="s">
        <v>168</v>
      </c>
      <c r="J70" s="92" t="s">
        <v>178</v>
      </c>
      <c r="K70" s="92" t="s">
        <v>185</v>
      </c>
      <c r="L70" s="71" t="s">
        <v>190</v>
      </c>
      <c r="M70" s="71"/>
      <c r="N70" s="71"/>
      <c r="O70" s="71"/>
      <c r="P70" s="71" t="s">
        <v>380</v>
      </c>
      <c r="Q70" s="71" t="e">
        <f>IF(OR(AND($C$2="Base contract",$C$3="No, section requirements must be reviewed",#REF!= FALSE,#REF!=FALSE),AND($C$2="Contract amendment",$C$3="No, section requirements must be reviewed",#REF!=FALSE,#REF!=FALSE)),"MUNN")</f>
        <v>#REF!</v>
      </c>
      <c r="R70" s="64">
        <v>42917</v>
      </c>
      <c r="S70" s="64"/>
      <c r="T70" s="64"/>
      <c r="U70" s="97">
        <f>IF(OR($E$69="N/A",AND(AU70=0,'Cover Sheet'!$B$29="Streamlined Review"),AND(E70="Met",F70&lt;&gt;""),AND(E70="Not met",G70&lt;&gt;""),AND(E70="Unsure",G70&lt;&gt;""),AND(E70="N/A",H70&lt;&gt;""),AND(Y70=TRUE)),1,0)</f>
        <v>0</v>
      </c>
      <c r="W70" s="56" t="b">
        <f>IF(OR(AND($H$6="Medicaid",MID($A70,1,FIND(".",$A70,1)-1)="II"),AND($H$6="CHIP",MID($A70,1,FIND(".",$A70,1)-1)="I")),TRUE,FALSE)</f>
        <v>0</v>
      </c>
      <c r="X70" s="126" t="b">
        <f>IF(OR(Y70=TRUE,W70=TRUE,AM70=TRUE),TRUE,FALSE)</f>
        <v>0</v>
      </c>
      <c r="Y70" s="126" t="b">
        <f>IF(SUM(Z70:AE70)&lt;1,TRUE,FALSE)</f>
        <v>0</v>
      </c>
      <c r="Z70" s="126">
        <f>IF($Z$2=I70,1,0)</f>
        <v>1</v>
      </c>
      <c r="AA70" s="126">
        <f>IF($AA$2=J70,1,0)</f>
        <v>0</v>
      </c>
      <c r="AB70" s="126">
        <f>IF($AB$2=K70,1,0)</f>
        <v>0</v>
      </c>
      <c r="AC70" s="126">
        <f>IF($AC$2=L70,1,0)</f>
        <v>0</v>
      </c>
      <c r="AD70" s="126">
        <f>IF($AD$2=M70,1,0)</f>
        <v>0</v>
      </c>
      <c r="AE70" s="126">
        <f>IF($AE$2=O70,1,0)</f>
        <v>0</v>
      </c>
      <c r="AM70" s="69" t="str">
        <f>IF(AL70=1,1,"")</f>
        <v/>
      </c>
      <c r="AU70" s="5">
        <v>1</v>
      </c>
    </row>
    <row r="71" spans="1:47" ht="34.5" customHeight="1" thickBot="1" x14ac:dyDescent="0.3">
      <c r="A71" s="294" t="s">
        <v>1871</v>
      </c>
      <c r="B71" s="295" t="s">
        <v>1872</v>
      </c>
      <c r="C71" s="295" t="s">
        <v>1873</v>
      </c>
      <c r="D71" s="446"/>
      <c r="E71" s="297"/>
      <c r="F71" s="297"/>
      <c r="G71" s="297"/>
      <c r="H71" s="214"/>
      <c r="I71" s="92" t="s">
        <v>168</v>
      </c>
      <c r="J71" s="92" t="s">
        <v>178</v>
      </c>
      <c r="K71" s="92" t="s">
        <v>185</v>
      </c>
      <c r="L71" s="166" t="s">
        <v>190</v>
      </c>
      <c r="M71" s="71"/>
      <c r="N71" s="71"/>
      <c r="O71" s="71"/>
      <c r="P71" s="71" t="s">
        <v>380</v>
      </c>
      <c r="Q71" s="71" t="e">
        <f>IF(OR(AND($C$2="Base contract",$C$3="No, section requirements must be reviewed",#REF!= FALSE,#REF!=FALSE),AND($C$2="Contract amendment",$C$3="No, section requirements must be reviewed",#REF!=FALSE,#REF!=FALSE)),"MUNN")</f>
        <v>#REF!</v>
      </c>
      <c r="R71" s="64"/>
      <c r="S71" s="64"/>
      <c r="T71" s="64"/>
      <c r="U71" s="97">
        <f>IF(OR($E$69="N/A",AND(AU71=0,'Cover Sheet'!$B$29="Streamlined Review"),AND(E71="Met",F71&lt;&gt;""),AND(E71="Not met",G71&lt;&gt;""),AND(E71="Unsure",G71&lt;&gt;""),AND(E71="N/A",H71&lt;&gt;""),AND(Y71=TRUE)),1,0)</f>
        <v>0</v>
      </c>
      <c r="W71" s="56" t="b">
        <f>IF(OR(AND($H$6="Medicaid",MID($A71,1,FIND(".",$A71,1)-1)="II"),AND($H$6="CHIP",MID($A71,1,FIND(".",$A71,1)-1)="I")),TRUE,FALSE)</f>
        <v>0</v>
      </c>
      <c r="X71" s="126" t="b">
        <f>IF(OR(Y71=TRUE,W71=TRUE,AM71=TRUE),TRUE,FALSE)</f>
        <v>0</v>
      </c>
      <c r="Y71" s="126" t="b">
        <f>IF(SUM(Z71:AE71)&lt;1,TRUE,FALSE)</f>
        <v>0</v>
      </c>
      <c r="Z71" s="126">
        <f>IF($Z$2=I71,1,0)</f>
        <v>1</v>
      </c>
      <c r="AA71" s="126">
        <f>IF($AA$2=J71,1,0)</f>
        <v>0</v>
      </c>
      <c r="AB71" s="126">
        <f>IF($AB$2=K71,1,0)</f>
        <v>0</v>
      </c>
      <c r="AC71" s="126">
        <f>IF($AC$2=L71,1,0)</f>
        <v>0</v>
      </c>
      <c r="AD71" s="126">
        <f>IF($AD$2=M71,1,0)</f>
        <v>0</v>
      </c>
      <c r="AE71" s="126">
        <f>IF($AE$2=O71,1,0)</f>
        <v>0</v>
      </c>
      <c r="AM71" s="69" t="str">
        <f>IF(AL71=1,1,"")</f>
        <v/>
      </c>
      <c r="AU71" s="5">
        <v>0</v>
      </c>
    </row>
    <row r="72" spans="1:47" ht="15.75" thickBot="1" x14ac:dyDescent="0.3">
      <c r="A72" s="450"/>
      <c r="B72" s="451"/>
      <c r="C72" s="465" t="s">
        <v>77</v>
      </c>
      <c r="D72" s="442"/>
      <c r="E72" s="443"/>
      <c r="F72" s="444"/>
      <c r="G72" s="444"/>
      <c r="H72" s="445"/>
      <c r="I72" s="126"/>
      <c r="J72" s="126"/>
      <c r="K72" s="126"/>
      <c r="L72" s="126"/>
      <c r="M72" s="126"/>
      <c r="N72" s="126"/>
      <c r="O72" s="126"/>
      <c r="P72" s="126"/>
      <c r="Q72" s="126"/>
      <c r="R72" s="126"/>
      <c r="S72" s="126"/>
      <c r="T72" s="126"/>
      <c r="U72" s="126"/>
      <c r="W72" s="68"/>
      <c r="X72" s="68"/>
      <c r="Y72" s="68"/>
      <c r="Z72" s="68"/>
      <c r="AA72" s="68"/>
      <c r="AB72" s="68"/>
      <c r="AC72" s="68"/>
      <c r="AD72" s="68"/>
      <c r="AE72" s="68"/>
      <c r="AU72" s="5"/>
    </row>
    <row r="73" spans="1:47" ht="134.1" customHeight="1" x14ac:dyDescent="0.25">
      <c r="A73" s="294" t="s">
        <v>1874</v>
      </c>
      <c r="B73" s="295" t="s">
        <v>1875</v>
      </c>
      <c r="C73" s="295" t="s">
        <v>1876</v>
      </c>
      <c r="D73" s="446"/>
      <c r="E73" s="297"/>
      <c r="F73" s="297"/>
      <c r="G73" s="297"/>
      <c r="H73" s="214"/>
      <c r="I73" s="92" t="s">
        <v>168</v>
      </c>
      <c r="J73" s="92" t="s">
        <v>178</v>
      </c>
      <c r="K73" s="92" t="s">
        <v>185</v>
      </c>
      <c r="L73" s="71" t="s">
        <v>190</v>
      </c>
      <c r="M73" s="71"/>
      <c r="N73" s="71"/>
      <c r="O73" s="71"/>
      <c r="P73" s="71" t="s">
        <v>380</v>
      </c>
      <c r="Q73" s="71" t="e">
        <f>IF(OR(AND($C$2="Base contract",$C$3="No, section requirements must be reviewed",#REF!= FALSE,#REF!=FALSE),AND($C$2="Contract amendment",$C$3="No, section requirements must be reviewed",#REF!=FALSE,#REF!=FALSE)),"MUNN")</f>
        <v>#REF!</v>
      </c>
      <c r="R73" s="64">
        <v>42917</v>
      </c>
      <c r="S73" s="64"/>
      <c r="T73" s="64"/>
      <c r="U73" s="97">
        <f>IF(OR($E$72="N/A",AND(AU73=0,'Cover Sheet'!$B$29="Streamlined Review"),AND(E73="Met",F73&lt;&gt;""),AND(E73="Not met",G73&lt;&gt;""),AND(E73="Unsure",G73&lt;&gt;""),AND(E73="N/A",H73&lt;&gt;""),AND(Y73=TRUE)),1,0)</f>
        <v>0</v>
      </c>
      <c r="W73" s="56" t="b">
        <f t="shared" ref="W73:W78" si="50">IF(OR(AND($H$6="Medicaid",MID($A73,1,FIND(".",$A73,1)-1)="II"),AND($H$6="CHIP",MID($A73,1,FIND(".",$A73,1)-1)="I")),TRUE,FALSE)</f>
        <v>0</v>
      </c>
      <c r="X73" s="126" t="b">
        <f t="shared" ref="X73:X78" si="51">IF(OR(Y73=TRUE,W73=TRUE,AM73=TRUE),TRUE,FALSE)</f>
        <v>0</v>
      </c>
      <c r="Y73" s="126" t="b">
        <f t="shared" ref="Y73:Y78" si="52">IF(SUM(Z73:AE73)&lt;1,TRUE,FALSE)</f>
        <v>0</v>
      </c>
      <c r="Z73" s="126">
        <f t="shared" ref="Z73:Z78" si="53">IF($Z$2=I73,1,0)</f>
        <v>1</v>
      </c>
      <c r="AA73" s="126">
        <f t="shared" ref="AA73:AA78" si="54">IF($AA$2=J73,1,0)</f>
        <v>0</v>
      </c>
      <c r="AB73" s="126">
        <f t="shared" ref="AB73:AB78" si="55">IF($AB$2=K73,1,0)</f>
        <v>0</v>
      </c>
      <c r="AC73" s="126">
        <f t="shared" ref="AC73:AC78" si="56">IF($AC$2=L73,1,0)</f>
        <v>0</v>
      </c>
      <c r="AD73" s="126">
        <f t="shared" ref="AD73:AD78" si="57">IF($AD$2=M73,1,0)</f>
        <v>0</v>
      </c>
      <c r="AE73" s="126">
        <f t="shared" ref="AE73:AE78" si="58">IF($AE$2=O73,1,0)</f>
        <v>0</v>
      </c>
      <c r="AL73" s="69">
        <v>1</v>
      </c>
      <c r="AM73" s="69">
        <f t="shared" ref="AM73:AM78" si="59">IF(AL73=1,1,"")</f>
        <v>1</v>
      </c>
      <c r="AU73" s="5">
        <v>1</v>
      </c>
    </row>
    <row r="74" spans="1:47" ht="103.5" customHeight="1" x14ac:dyDescent="0.25">
      <c r="A74" s="294" t="s">
        <v>1877</v>
      </c>
      <c r="B74" s="295" t="s">
        <v>1878</v>
      </c>
      <c r="C74" s="295" t="s">
        <v>1879</v>
      </c>
      <c r="D74" s="446"/>
      <c r="E74" s="297"/>
      <c r="F74" s="297"/>
      <c r="G74" s="297"/>
      <c r="H74" s="214"/>
      <c r="I74" s="92" t="s">
        <v>168</v>
      </c>
      <c r="J74" s="92" t="s">
        <v>178</v>
      </c>
      <c r="K74" s="92" t="s">
        <v>185</v>
      </c>
      <c r="L74" s="71" t="s">
        <v>190</v>
      </c>
      <c r="M74" s="71"/>
      <c r="N74" s="71"/>
      <c r="O74" s="71"/>
      <c r="P74" s="71" t="s">
        <v>380</v>
      </c>
      <c r="Q74" s="71" t="e">
        <f>IF(OR(AND($C$2="Base contract",$C$3="No, section requirements must be reviewed",#REF!= FALSE,#REF!=FALSE),AND($C$2="Contract amendment",$C$3="No, section requirements must be reviewed",#REF!=FALSE,#REF!=FALSE)),"MUNN")</f>
        <v>#REF!</v>
      </c>
      <c r="R74" s="64">
        <v>42917</v>
      </c>
      <c r="S74" s="64"/>
      <c r="T74" s="64"/>
      <c r="U74" s="97">
        <f>IF(OR($E$72="N/A",AND(AU74=0,'Cover Sheet'!$B$29="Streamlined Review"),AND(E74="Met",F74&lt;&gt;""),AND(E74="Not met",G74&lt;&gt;""),AND(E74="Unsure",G74&lt;&gt;""),AND(E74="N/A",H74&lt;&gt;""),AND(Y74=TRUE)),1,0)</f>
        <v>0</v>
      </c>
      <c r="W74" s="56" t="b">
        <f t="shared" si="50"/>
        <v>0</v>
      </c>
      <c r="X74" s="126" t="b">
        <f t="shared" si="51"/>
        <v>0</v>
      </c>
      <c r="Y74" s="126" t="b">
        <f t="shared" si="52"/>
        <v>0</v>
      </c>
      <c r="Z74" s="126">
        <f t="shared" si="53"/>
        <v>1</v>
      </c>
      <c r="AA74" s="126">
        <f t="shared" si="54"/>
        <v>0</v>
      </c>
      <c r="AB74" s="126">
        <f t="shared" si="55"/>
        <v>0</v>
      </c>
      <c r="AC74" s="126">
        <f t="shared" si="56"/>
        <v>0</v>
      </c>
      <c r="AD74" s="126">
        <f t="shared" si="57"/>
        <v>0</v>
      </c>
      <c r="AE74" s="126">
        <f t="shared" si="58"/>
        <v>0</v>
      </c>
      <c r="AL74" s="69">
        <v>1</v>
      </c>
      <c r="AM74" s="69">
        <f t="shared" si="59"/>
        <v>1</v>
      </c>
      <c r="AU74" s="5">
        <v>1</v>
      </c>
    </row>
    <row r="75" spans="1:47" ht="70.5" customHeight="1" x14ac:dyDescent="0.25">
      <c r="A75" s="294" t="s">
        <v>1880</v>
      </c>
      <c r="B75" s="295" t="s">
        <v>1881</v>
      </c>
      <c r="C75" s="295" t="s">
        <v>1882</v>
      </c>
      <c r="D75" s="446"/>
      <c r="E75" s="297"/>
      <c r="F75" s="297"/>
      <c r="G75" s="297"/>
      <c r="H75" s="214"/>
      <c r="I75" s="92" t="s">
        <v>168</v>
      </c>
      <c r="J75" s="92" t="s">
        <v>178</v>
      </c>
      <c r="K75" s="92" t="s">
        <v>185</v>
      </c>
      <c r="L75" s="71" t="s">
        <v>190</v>
      </c>
      <c r="M75" s="71"/>
      <c r="N75" s="71"/>
      <c r="O75" s="71"/>
      <c r="P75" s="71" t="s">
        <v>380</v>
      </c>
      <c r="Q75" s="71" t="e">
        <f>IF(OR(AND($C$2="Base contract",$C$3="No, section requirements must be reviewed",#REF!= FALSE,#REF!=FALSE),AND($C$2="Contract amendment",$C$3="No, section requirements must be reviewed",#REF!=FALSE,#REF!=FALSE)),"MUNN")</f>
        <v>#REF!</v>
      </c>
      <c r="R75" s="64">
        <v>42917</v>
      </c>
      <c r="S75" s="64"/>
      <c r="T75" s="64"/>
      <c r="U75" s="97">
        <f>IF(OR($E$72="N/A",AND(AU75=0,'Cover Sheet'!$B$29="Streamlined Review"),AND(E75="Met",F75&lt;&gt;""),AND(E75="Not met",G75&lt;&gt;""),AND(E75="Unsure",G75&lt;&gt;""),AND(E75="N/A",H75&lt;&gt;""),AND(Y75=TRUE)),1,0)</f>
        <v>0</v>
      </c>
      <c r="W75" s="56" t="b">
        <f t="shared" si="50"/>
        <v>0</v>
      </c>
      <c r="X75" s="126" t="b">
        <f t="shared" si="51"/>
        <v>0</v>
      </c>
      <c r="Y75" s="126" t="b">
        <f t="shared" si="52"/>
        <v>0</v>
      </c>
      <c r="Z75" s="126">
        <f t="shared" si="53"/>
        <v>1</v>
      </c>
      <c r="AA75" s="126">
        <f t="shared" si="54"/>
        <v>0</v>
      </c>
      <c r="AB75" s="126">
        <f t="shared" si="55"/>
        <v>0</v>
      </c>
      <c r="AC75" s="126">
        <f t="shared" si="56"/>
        <v>0</v>
      </c>
      <c r="AD75" s="126">
        <f t="shared" si="57"/>
        <v>0</v>
      </c>
      <c r="AE75" s="126">
        <f t="shared" si="58"/>
        <v>0</v>
      </c>
      <c r="AL75" s="69">
        <v>1</v>
      </c>
      <c r="AM75" s="69">
        <f t="shared" si="59"/>
        <v>1</v>
      </c>
      <c r="AU75" s="5">
        <v>0</v>
      </c>
    </row>
    <row r="76" spans="1:47" ht="63.75" x14ac:dyDescent="0.25">
      <c r="A76" s="295" t="s">
        <v>1883</v>
      </c>
      <c r="B76" s="295" t="s">
        <v>1884</v>
      </c>
      <c r="C76" s="295" t="s">
        <v>1885</v>
      </c>
      <c r="D76" s="446"/>
      <c r="E76" s="297"/>
      <c r="F76" s="297"/>
      <c r="G76" s="297"/>
      <c r="H76" s="214"/>
      <c r="I76" s="92" t="s">
        <v>168</v>
      </c>
      <c r="J76" s="92" t="s">
        <v>178</v>
      </c>
      <c r="K76" s="92" t="s">
        <v>185</v>
      </c>
      <c r="L76" s="71" t="s">
        <v>190</v>
      </c>
      <c r="M76" s="71"/>
      <c r="N76" s="71"/>
      <c r="O76" s="71"/>
      <c r="P76" s="71" t="s">
        <v>380</v>
      </c>
      <c r="Q76" s="71" t="e">
        <f>IF(OR(AND($C$2="Base contract",$C$3="No, section requirements must be reviewed",#REF!= FALSE,#REF!=FALSE),AND($C$2="Contract amendment",$C$3="No, section requirements must be reviewed",#REF!=FALSE,#REF!=FALSE)),"MUNN")</f>
        <v>#REF!</v>
      </c>
      <c r="R76" s="64">
        <v>43282</v>
      </c>
      <c r="S76" s="64"/>
      <c r="T76" s="64"/>
      <c r="U76" s="97">
        <f>IF(OR($E$72="N/A",AND(AU76=0,'Cover Sheet'!$B$29="Streamlined Review"),AND(E76="Met",F76&lt;&gt;""),AND(E76="Not met",G76&lt;&gt;""),AND(E76="Unsure",G76&lt;&gt;""),AND(E76="N/A",H76&lt;&gt;""),AND(Y76=TRUE)),1,0)</f>
        <v>0</v>
      </c>
      <c r="W76" s="56" t="b">
        <f t="shared" si="50"/>
        <v>0</v>
      </c>
      <c r="X76" s="126" t="b">
        <f t="shared" si="51"/>
        <v>0</v>
      </c>
      <c r="Y76" s="126" t="b">
        <f t="shared" si="52"/>
        <v>0</v>
      </c>
      <c r="Z76" s="126">
        <f t="shared" si="53"/>
        <v>1</v>
      </c>
      <c r="AA76" s="126">
        <f t="shared" si="54"/>
        <v>0</v>
      </c>
      <c r="AB76" s="126">
        <f t="shared" si="55"/>
        <v>0</v>
      </c>
      <c r="AC76" s="126">
        <f t="shared" si="56"/>
        <v>0</v>
      </c>
      <c r="AD76" s="126">
        <f t="shared" si="57"/>
        <v>0</v>
      </c>
      <c r="AE76" s="126">
        <f t="shared" si="58"/>
        <v>0</v>
      </c>
      <c r="AM76" s="69" t="str">
        <f t="shared" si="59"/>
        <v/>
      </c>
      <c r="AU76" s="5">
        <v>0</v>
      </c>
    </row>
    <row r="77" spans="1:47" ht="70.5" customHeight="1" x14ac:dyDescent="0.25">
      <c r="A77" s="295" t="s">
        <v>1886</v>
      </c>
      <c r="B77" s="295" t="s">
        <v>1887</v>
      </c>
      <c r="C77" s="295" t="s">
        <v>1888</v>
      </c>
      <c r="D77" s="446"/>
      <c r="E77" s="297"/>
      <c r="F77" s="297"/>
      <c r="G77" s="297"/>
      <c r="H77" s="214"/>
      <c r="I77" s="92" t="s">
        <v>168</v>
      </c>
      <c r="J77" s="92" t="s">
        <v>178</v>
      </c>
      <c r="K77" s="92" t="s">
        <v>185</v>
      </c>
      <c r="L77" s="166" t="s">
        <v>190</v>
      </c>
      <c r="M77" s="71"/>
      <c r="N77" s="71"/>
      <c r="O77" s="71"/>
      <c r="P77" s="71" t="s">
        <v>380</v>
      </c>
      <c r="Q77" s="71" t="e">
        <f>IF(OR(AND($C$2="Base contract",$C$3="No, section requirements must be reviewed",#REF!= FALSE,#REF!=FALSE),AND($C$2="Contract amendment",$C$3="No, section requirements must be reviewed",#REF!=FALSE,#REF!=FALSE)),"MUNN")</f>
        <v>#REF!</v>
      </c>
      <c r="R77" s="64">
        <v>43282</v>
      </c>
      <c r="S77" s="64"/>
      <c r="T77" s="64"/>
      <c r="U77" s="97">
        <f>IF(OR($E$72="N/A",AND(AU77=0,'Cover Sheet'!$B$29="Streamlined Review"),AND(E77="Met",F77&lt;&gt;""),AND(E77="Not met",G77&lt;&gt;""),AND(E77="Unsure",G77&lt;&gt;""),AND(E77="N/A",H77&lt;&gt;""),AND(Y77=TRUE)),1,0)</f>
        <v>0</v>
      </c>
      <c r="W77" s="56" t="b">
        <f t="shared" si="50"/>
        <v>0</v>
      </c>
      <c r="X77" s="126" t="b">
        <f t="shared" si="51"/>
        <v>0</v>
      </c>
      <c r="Y77" s="126" t="b">
        <f t="shared" si="52"/>
        <v>0</v>
      </c>
      <c r="Z77" s="126">
        <f t="shared" si="53"/>
        <v>1</v>
      </c>
      <c r="AA77" s="126">
        <f t="shared" si="54"/>
        <v>0</v>
      </c>
      <c r="AB77" s="126">
        <f t="shared" si="55"/>
        <v>0</v>
      </c>
      <c r="AC77" s="126">
        <f t="shared" si="56"/>
        <v>0</v>
      </c>
      <c r="AD77" s="126">
        <f t="shared" si="57"/>
        <v>0</v>
      </c>
      <c r="AE77" s="126">
        <f t="shared" si="58"/>
        <v>0</v>
      </c>
      <c r="AM77" s="69" t="str">
        <f t="shared" si="59"/>
        <v/>
      </c>
      <c r="AU77" s="5">
        <v>0</v>
      </c>
    </row>
    <row r="78" spans="1:47" ht="70.5" customHeight="1" thickBot="1" x14ac:dyDescent="0.3">
      <c r="A78" s="309" t="s">
        <v>1889</v>
      </c>
      <c r="B78" s="309" t="s">
        <v>1890</v>
      </c>
      <c r="C78" s="309" t="s">
        <v>1891</v>
      </c>
      <c r="D78" s="471"/>
      <c r="E78" s="311"/>
      <c r="F78" s="311"/>
      <c r="G78" s="311"/>
      <c r="H78" s="312"/>
      <c r="I78" s="92" t="s">
        <v>168</v>
      </c>
      <c r="J78" s="92" t="s">
        <v>178</v>
      </c>
      <c r="K78" s="92" t="s">
        <v>185</v>
      </c>
      <c r="L78" s="166" t="s">
        <v>190</v>
      </c>
      <c r="M78" s="166" t="s">
        <v>195</v>
      </c>
      <c r="N78" s="71"/>
      <c r="O78" s="71"/>
      <c r="P78" s="71" t="s">
        <v>380</v>
      </c>
      <c r="Q78" s="71" t="e">
        <f>IF(OR(AND($C$2="Base contract",$C$3="No, section requirements must be reviewed",#REF!= FALSE,#REF!=FALSE),AND($C$2="Contract amendment",$C$3="No, section requirements must be reviewed",#REF!=FALSE,#REF!=FALSE)),"MUNN")</f>
        <v>#REF!</v>
      </c>
      <c r="R78" s="64">
        <v>43282</v>
      </c>
      <c r="S78" s="64"/>
      <c r="T78" s="64"/>
      <c r="U78" s="97">
        <f>IF(OR($E$72="N/A",AND(AU78=0,'Cover Sheet'!$B$29="Streamlined Review"),AND(E78="Met",F78&lt;&gt;""),AND(E78="Not met",G78&lt;&gt;""),AND(E78="Unsure",G78&lt;&gt;""),AND(E78="N/A",H78&lt;&gt;""),AND(Y78=TRUE)),1,0)</f>
        <v>0</v>
      </c>
      <c r="W78" s="56" t="b">
        <f t="shared" si="50"/>
        <v>0</v>
      </c>
      <c r="X78" s="126" t="b">
        <f t="shared" si="51"/>
        <v>0</v>
      </c>
      <c r="Y78" s="126" t="b">
        <f t="shared" si="52"/>
        <v>0</v>
      </c>
      <c r="Z78" s="126">
        <f t="shared" si="53"/>
        <v>1</v>
      </c>
      <c r="AA78" s="126">
        <f t="shared" si="54"/>
        <v>0</v>
      </c>
      <c r="AB78" s="126">
        <f t="shared" si="55"/>
        <v>0</v>
      </c>
      <c r="AC78" s="126">
        <f t="shared" si="56"/>
        <v>0</v>
      </c>
      <c r="AD78" s="126">
        <f t="shared" si="57"/>
        <v>0</v>
      </c>
      <c r="AE78" s="126">
        <f t="shared" si="58"/>
        <v>0</v>
      </c>
      <c r="AM78" s="69" t="str">
        <f t="shared" si="59"/>
        <v/>
      </c>
      <c r="AU78" s="5">
        <v>0</v>
      </c>
    </row>
    <row r="79" spans="1:47" ht="15.75" thickBot="1" x14ac:dyDescent="0.3">
      <c r="A79" s="450"/>
      <c r="B79" s="451"/>
      <c r="C79" s="465" t="s">
        <v>78</v>
      </c>
      <c r="D79" s="442"/>
      <c r="E79" s="443"/>
      <c r="F79" s="444"/>
      <c r="G79" s="444"/>
      <c r="H79" s="445"/>
      <c r="I79" s="126"/>
      <c r="J79" s="126"/>
      <c r="K79" s="126"/>
      <c r="L79" s="126"/>
      <c r="M79" s="126"/>
      <c r="N79" s="126"/>
      <c r="O79" s="126"/>
      <c r="P79" s="126"/>
      <c r="Q79" s="126"/>
      <c r="R79" s="126"/>
      <c r="S79" s="126"/>
      <c r="T79" s="126"/>
      <c r="U79" s="126"/>
      <c r="W79" s="68"/>
      <c r="X79" s="68"/>
      <c r="Y79" s="68"/>
      <c r="Z79" s="68"/>
      <c r="AA79" s="68"/>
      <c r="AB79" s="68"/>
      <c r="AC79" s="68"/>
      <c r="AD79" s="68"/>
      <c r="AE79" s="68"/>
      <c r="AU79" s="5"/>
    </row>
    <row r="80" spans="1:47" ht="27" customHeight="1" x14ac:dyDescent="0.25">
      <c r="A80" s="294" t="s">
        <v>1892</v>
      </c>
      <c r="B80" s="295" t="s">
        <v>1893</v>
      </c>
      <c r="C80" s="295" t="s">
        <v>1894</v>
      </c>
      <c r="D80" s="446"/>
      <c r="E80" s="297"/>
      <c r="F80" s="297"/>
      <c r="G80" s="297"/>
      <c r="H80" s="214"/>
      <c r="I80" s="92" t="s">
        <v>168</v>
      </c>
      <c r="J80" s="92" t="s">
        <v>178</v>
      </c>
      <c r="K80" s="92" t="s">
        <v>185</v>
      </c>
      <c r="L80" s="71" t="s">
        <v>190</v>
      </c>
      <c r="M80" s="71"/>
      <c r="N80" s="71"/>
      <c r="O80" s="71"/>
      <c r="P80" s="71" t="s">
        <v>380</v>
      </c>
      <c r="Q80" s="71" t="e">
        <f>IF(OR(AND($C$2="Base contract",$C$3="No, section requirements must be reviewed",#REF!= FALSE,#REF!=FALSE),AND($C$2="Contract amendment",$C$3="No, section requirements must be reviewed",#REF!=FALSE,#REF!=FALSE)),"MUNN")</f>
        <v>#REF!</v>
      </c>
      <c r="R80" s="64">
        <v>42917</v>
      </c>
      <c r="S80" s="64"/>
      <c r="T80" s="64"/>
      <c r="U80" s="97">
        <f>IF(OR($E$79="N/A",AND(AU80=0,'Cover Sheet'!$B$29="Streamlined Review"),AND(E80="Met",F80&lt;&gt;""),AND(E80="Not met",G80&lt;&gt;""),AND(E80="Unsure",G80&lt;&gt;""),AND(E80="N/A",H80&lt;&gt;""),AND(Y80=TRUE)),1,0)</f>
        <v>0</v>
      </c>
      <c r="W80" s="56" t="b">
        <f t="shared" ref="W80:W88" si="60">IF(OR(AND($H$6="Medicaid",MID($A80,1,FIND(".",$A80,1)-1)="II"),AND($H$6="CHIP",MID($A80,1,FIND(".",$A80,1)-1)="I")),TRUE,FALSE)</f>
        <v>0</v>
      </c>
      <c r="X80" s="126" t="b">
        <f t="shared" ref="X80:X88" si="61">IF(OR(Y80=TRUE,W80=TRUE,AM80=TRUE),TRUE,FALSE)</f>
        <v>0</v>
      </c>
      <c r="Y80" s="126" t="b">
        <f>IF(SUM(Z80:AE80)&lt;1,TRUE,FALSE)</f>
        <v>0</v>
      </c>
      <c r="Z80" s="126">
        <f t="shared" ref="Z80:Z88" si="62">IF($Z$2=I80,1,0)</f>
        <v>1</v>
      </c>
      <c r="AA80" s="126">
        <f t="shared" ref="AA80:AA88" si="63">IF($AA$2=J80,1,0)</f>
        <v>0</v>
      </c>
      <c r="AB80" s="126">
        <f t="shared" ref="AB80:AB88" si="64">IF($AB$2=K80,1,0)</f>
        <v>0</v>
      </c>
      <c r="AC80" s="126">
        <f t="shared" ref="AC80:AC88" si="65">IF($AC$2=L80,1,0)</f>
        <v>0</v>
      </c>
      <c r="AD80" s="126">
        <f t="shared" ref="AD80:AD88" si="66">IF($AD$2=M80,1,0)</f>
        <v>0</v>
      </c>
      <c r="AE80" s="126">
        <f t="shared" ref="AE80:AE88" si="67">IF($AE$2=O80,1,0)</f>
        <v>0</v>
      </c>
      <c r="AM80" s="69" t="str">
        <f t="shared" ref="AM80:AM88" si="68">IF(AL80=1,1,"")</f>
        <v/>
      </c>
      <c r="AU80" s="5">
        <v>0</v>
      </c>
    </row>
    <row r="81" spans="1:47" ht="27" customHeight="1" x14ac:dyDescent="0.25">
      <c r="A81" s="294" t="s">
        <v>1895</v>
      </c>
      <c r="B81" s="295" t="s">
        <v>1896</v>
      </c>
      <c r="C81" s="295" t="s">
        <v>1897</v>
      </c>
      <c r="D81" s="446"/>
      <c r="E81" s="297"/>
      <c r="F81" s="297"/>
      <c r="G81" s="297"/>
      <c r="H81" s="214"/>
      <c r="I81" s="92" t="s">
        <v>168</v>
      </c>
      <c r="J81" s="92" t="s">
        <v>178</v>
      </c>
      <c r="K81" s="92" t="s">
        <v>185</v>
      </c>
      <c r="L81" s="166" t="s">
        <v>190</v>
      </c>
      <c r="M81" s="71"/>
      <c r="N81" s="71"/>
      <c r="O81" s="71"/>
      <c r="P81" s="71" t="s">
        <v>380</v>
      </c>
      <c r="Q81" s="71" t="e">
        <f>IF(OR(AND($C$2="Base contract",$C$3="No, section requirements must be reviewed",#REF!= FALSE,#REF!=FALSE),AND($C$2="Contract amendment",$C$3="No, section requirements must be reviewed",#REF!=FALSE,#REF!=FALSE)),"MUNN")</f>
        <v>#REF!</v>
      </c>
      <c r="R81" s="64"/>
      <c r="S81" s="64"/>
      <c r="T81" s="64"/>
      <c r="U81" s="97">
        <f>IF(OR($E$79="N/A",AND(AU81=0,'Cover Sheet'!$B$29="Streamlined Review"),AND(E81="Met",F81&lt;&gt;""),AND(E81="Not met",G81&lt;&gt;""),AND(E81="Unsure",G81&lt;&gt;""),AND(E81="N/A",H81&lt;&gt;""),AND(Y81=TRUE)),1,0)</f>
        <v>0</v>
      </c>
      <c r="W81" s="56" t="b">
        <f t="shared" si="60"/>
        <v>0</v>
      </c>
      <c r="X81" s="126" t="b">
        <f t="shared" si="61"/>
        <v>0</v>
      </c>
      <c r="Y81" s="126" t="b">
        <f t="shared" ref="Y81:Y88" si="69">IF(SUM(Z81:AE81)&lt;1,TRUE,FALSE)</f>
        <v>0</v>
      </c>
      <c r="Z81" s="126">
        <f t="shared" si="62"/>
        <v>1</v>
      </c>
      <c r="AA81" s="126">
        <f t="shared" si="63"/>
        <v>0</v>
      </c>
      <c r="AB81" s="126">
        <f t="shared" si="64"/>
        <v>0</v>
      </c>
      <c r="AC81" s="126">
        <f t="shared" si="65"/>
        <v>0</v>
      </c>
      <c r="AD81" s="126">
        <f t="shared" si="66"/>
        <v>0</v>
      </c>
      <c r="AE81" s="126">
        <f t="shared" si="67"/>
        <v>0</v>
      </c>
      <c r="AM81" s="69" t="str">
        <f t="shared" si="68"/>
        <v/>
      </c>
      <c r="AU81" s="5">
        <v>0</v>
      </c>
    </row>
    <row r="82" spans="1:47" ht="33" customHeight="1" x14ac:dyDescent="0.25">
      <c r="A82" s="294" t="s">
        <v>1898</v>
      </c>
      <c r="B82" s="295" t="s">
        <v>1896</v>
      </c>
      <c r="C82" s="295" t="s">
        <v>1899</v>
      </c>
      <c r="D82" s="446"/>
      <c r="E82" s="297"/>
      <c r="F82" s="297"/>
      <c r="G82" s="297"/>
      <c r="H82" s="214"/>
      <c r="I82" s="92" t="s">
        <v>168</v>
      </c>
      <c r="J82" s="92" t="s">
        <v>178</v>
      </c>
      <c r="K82" s="92" t="s">
        <v>185</v>
      </c>
      <c r="L82" s="166" t="s">
        <v>190</v>
      </c>
      <c r="M82" s="71"/>
      <c r="N82" s="71"/>
      <c r="O82" s="71"/>
      <c r="P82" s="71" t="s">
        <v>380</v>
      </c>
      <c r="Q82" s="71" t="e">
        <f>IF(OR(AND($C$2="Base contract",$C$3="No, section requirements must be reviewed",#REF!= FALSE,#REF!=FALSE),AND($C$2="Contract amendment",$C$3="No, section requirements must be reviewed",#REF!=FALSE,#REF!=FALSE)),"MUNN")</f>
        <v>#REF!</v>
      </c>
      <c r="R82" s="64"/>
      <c r="S82" s="64"/>
      <c r="T82" s="64"/>
      <c r="U82" s="97">
        <f>IF(OR($E$79="N/A",AND(AU82=0,'Cover Sheet'!$B$29="Streamlined Review"),AND(E82="Met",F82&lt;&gt;""),AND(E82="Not met",G82&lt;&gt;""),AND(E82="Unsure",G82&lt;&gt;""),AND(E82="N/A",H82&lt;&gt;""),AND(Y82=TRUE)),1,0)</f>
        <v>0</v>
      </c>
      <c r="W82" s="56" t="b">
        <f t="shared" si="60"/>
        <v>0</v>
      </c>
      <c r="X82" s="126" t="b">
        <f t="shared" si="61"/>
        <v>0</v>
      </c>
      <c r="Y82" s="126" t="b">
        <f t="shared" si="69"/>
        <v>0</v>
      </c>
      <c r="Z82" s="126">
        <f t="shared" si="62"/>
        <v>1</v>
      </c>
      <c r="AA82" s="126">
        <f t="shared" si="63"/>
        <v>0</v>
      </c>
      <c r="AB82" s="126">
        <f t="shared" si="64"/>
        <v>0</v>
      </c>
      <c r="AC82" s="126">
        <f t="shared" si="65"/>
        <v>0</v>
      </c>
      <c r="AD82" s="126">
        <f t="shared" si="66"/>
        <v>0</v>
      </c>
      <c r="AE82" s="126">
        <f t="shared" si="67"/>
        <v>0</v>
      </c>
      <c r="AM82" s="69" t="str">
        <f t="shared" si="68"/>
        <v/>
      </c>
      <c r="AU82" s="5">
        <v>0</v>
      </c>
    </row>
    <row r="83" spans="1:47" ht="46.5" customHeight="1" x14ac:dyDescent="0.25">
      <c r="A83" s="294" t="s">
        <v>1900</v>
      </c>
      <c r="B83" s="295" t="s">
        <v>1901</v>
      </c>
      <c r="C83" s="295" t="s">
        <v>1902</v>
      </c>
      <c r="D83" s="446"/>
      <c r="E83" s="297"/>
      <c r="F83" s="297"/>
      <c r="G83" s="297"/>
      <c r="H83" s="214"/>
      <c r="I83" s="92" t="s">
        <v>168</v>
      </c>
      <c r="J83" s="92" t="s">
        <v>178</v>
      </c>
      <c r="K83" s="92" t="s">
        <v>185</v>
      </c>
      <c r="L83" s="166" t="s">
        <v>190</v>
      </c>
      <c r="M83" s="71"/>
      <c r="N83" s="71"/>
      <c r="O83" s="71"/>
      <c r="P83" s="71" t="s">
        <v>380</v>
      </c>
      <c r="Q83" s="71" t="e">
        <f>IF(OR(AND($C$2="Base contract",$C$3="No, section requirements must be reviewed",#REF!= FALSE,#REF!=FALSE),AND($C$2="Contract amendment",$C$3="No, section requirements must be reviewed",#REF!=FALSE,#REF!=FALSE)),"MUNN")</f>
        <v>#REF!</v>
      </c>
      <c r="R83" s="64"/>
      <c r="S83" s="64"/>
      <c r="T83" s="64"/>
      <c r="U83" s="97">
        <f>IF(OR($E$79="N/A",AND(AU83=0,'Cover Sheet'!$B$29="Streamlined Review"),AND(E83="Met",F83&lt;&gt;""),AND(E83="Not met",G83&lt;&gt;""),AND(E83="Unsure",G83&lt;&gt;""),AND(E83="N/A",H83&lt;&gt;""),AND(Y83=TRUE)),1,0)</f>
        <v>0</v>
      </c>
      <c r="W83" s="56" t="b">
        <f t="shared" si="60"/>
        <v>0</v>
      </c>
      <c r="X83" s="126" t="b">
        <f t="shared" si="61"/>
        <v>0</v>
      </c>
      <c r="Y83" s="126" t="b">
        <f t="shared" si="69"/>
        <v>0</v>
      </c>
      <c r="Z83" s="126">
        <f t="shared" si="62"/>
        <v>1</v>
      </c>
      <c r="AA83" s="126">
        <f t="shared" si="63"/>
        <v>0</v>
      </c>
      <c r="AB83" s="126">
        <f t="shared" si="64"/>
        <v>0</v>
      </c>
      <c r="AC83" s="126">
        <f t="shared" si="65"/>
        <v>0</v>
      </c>
      <c r="AD83" s="126">
        <f t="shared" si="66"/>
        <v>0</v>
      </c>
      <c r="AE83" s="126">
        <f t="shared" si="67"/>
        <v>0</v>
      </c>
      <c r="AM83" s="69" t="str">
        <f t="shared" si="68"/>
        <v/>
      </c>
      <c r="AU83" s="5">
        <v>1</v>
      </c>
    </row>
    <row r="84" spans="1:47" ht="38.25" x14ac:dyDescent="0.25">
      <c r="A84" s="294" t="s">
        <v>1903</v>
      </c>
      <c r="B84" s="295" t="s">
        <v>1904</v>
      </c>
      <c r="C84" s="295" t="s">
        <v>1905</v>
      </c>
      <c r="D84" s="446"/>
      <c r="E84" s="297"/>
      <c r="F84" s="297"/>
      <c r="G84" s="297"/>
      <c r="H84" s="214"/>
      <c r="I84" s="92" t="s">
        <v>168</v>
      </c>
      <c r="J84" s="92" t="s">
        <v>178</v>
      </c>
      <c r="K84" s="92" t="s">
        <v>185</v>
      </c>
      <c r="L84" s="166" t="s">
        <v>190</v>
      </c>
      <c r="M84" s="71"/>
      <c r="N84" s="71"/>
      <c r="O84" s="71"/>
      <c r="P84" s="71" t="s">
        <v>380</v>
      </c>
      <c r="Q84" s="71" t="e">
        <f>IF(OR(AND($C$2="Base contract",$C$3="No, section requirements must be reviewed",#REF!= FALSE,#REF!=FALSE),AND($C$2="Contract amendment",$C$3="No, section requirements must be reviewed",#REF!=FALSE,#REF!=FALSE)),"MUNN")</f>
        <v>#REF!</v>
      </c>
      <c r="R84" s="64"/>
      <c r="S84" s="64"/>
      <c r="T84" s="64"/>
      <c r="U84" s="97">
        <f>IF(OR($E$79="N/A",AND(AU84=0,'Cover Sheet'!$B$29="Streamlined Review"),AND(E84="Met",F84&lt;&gt;""),AND(E84="Not met",G84&lt;&gt;""),AND(E84="Unsure",G84&lt;&gt;""),AND(E84="N/A",H84&lt;&gt;""),AND(Y84=TRUE)),1,0)</f>
        <v>0</v>
      </c>
      <c r="W84" s="56" t="b">
        <f t="shared" si="60"/>
        <v>0</v>
      </c>
      <c r="X84" s="126" t="b">
        <f t="shared" si="61"/>
        <v>0</v>
      </c>
      <c r="Y84" s="126" t="b">
        <f t="shared" si="69"/>
        <v>0</v>
      </c>
      <c r="Z84" s="126">
        <f t="shared" si="62"/>
        <v>1</v>
      </c>
      <c r="AA84" s="126">
        <f t="shared" si="63"/>
        <v>0</v>
      </c>
      <c r="AB84" s="126">
        <f t="shared" si="64"/>
        <v>0</v>
      </c>
      <c r="AC84" s="126">
        <f t="shared" si="65"/>
        <v>0</v>
      </c>
      <c r="AD84" s="126">
        <f t="shared" si="66"/>
        <v>0</v>
      </c>
      <c r="AE84" s="126">
        <f t="shared" si="67"/>
        <v>0</v>
      </c>
      <c r="AM84" s="69" t="str">
        <f t="shared" si="68"/>
        <v/>
      </c>
      <c r="AU84" s="5">
        <v>0</v>
      </c>
    </row>
    <row r="85" spans="1:47" ht="45.75" customHeight="1" x14ac:dyDescent="0.25">
      <c r="A85" s="294" t="s">
        <v>1906</v>
      </c>
      <c r="B85" s="295" t="s">
        <v>1907</v>
      </c>
      <c r="C85" s="295" t="s">
        <v>1908</v>
      </c>
      <c r="D85" s="446"/>
      <c r="E85" s="297"/>
      <c r="F85" s="297"/>
      <c r="G85" s="297"/>
      <c r="H85" s="214"/>
      <c r="I85" s="92" t="s">
        <v>168</v>
      </c>
      <c r="J85" s="92" t="s">
        <v>178</v>
      </c>
      <c r="K85" s="92" t="s">
        <v>185</v>
      </c>
      <c r="L85" s="166" t="s">
        <v>190</v>
      </c>
      <c r="M85" s="71"/>
      <c r="N85" s="71"/>
      <c r="O85" s="71"/>
      <c r="P85" s="71" t="s">
        <v>380</v>
      </c>
      <c r="Q85" s="71" t="e">
        <f>IF(OR(AND($C$2="Base contract",$C$3="No, section requirements must be reviewed",#REF!= FALSE,#REF!=FALSE),AND($C$2="Contract amendment",$C$3="No, section requirements must be reviewed",#REF!=FALSE,#REF!=FALSE)),"MUNN")</f>
        <v>#REF!</v>
      </c>
      <c r="R85" s="64"/>
      <c r="S85" s="64"/>
      <c r="T85" s="64"/>
      <c r="U85" s="97">
        <f>IF(OR($E$79="N/A",AND(AU85=0,'Cover Sheet'!$B$29="Streamlined Review"),AND(E85="Met",F85&lt;&gt;""),AND(E85="Not met",G85&lt;&gt;""),AND(E85="Unsure",G85&lt;&gt;""),AND(E85="N/A",H85&lt;&gt;""),AND(Y85=TRUE)),1,0)</f>
        <v>0</v>
      </c>
      <c r="W85" s="56" t="b">
        <f t="shared" si="60"/>
        <v>0</v>
      </c>
      <c r="X85" s="126" t="b">
        <f t="shared" si="61"/>
        <v>0</v>
      </c>
      <c r="Y85" s="126" t="b">
        <f t="shared" si="69"/>
        <v>0</v>
      </c>
      <c r="Z85" s="126">
        <f t="shared" si="62"/>
        <v>1</v>
      </c>
      <c r="AA85" s="126">
        <f t="shared" si="63"/>
        <v>0</v>
      </c>
      <c r="AB85" s="126">
        <f t="shared" si="64"/>
        <v>0</v>
      </c>
      <c r="AC85" s="126">
        <f t="shared" si="65"/>
        <v>0</v>
      </c>
      <c r="AD85" s="126">
        <f t="shared" si="66"/>
        <v>0</v>
      </c>
      <c r="AE85" s="126">
        <f t="shared" si="67"/>
        <v>0</v>
      </c>
      <c r="AM85" s="69" t="str">
        <f t="shared" si="68"/>
        <v/>
      </c>
      <c r="AU85" s="5">
        <v>0</v>
      </c>
    </row>
    <row r="86" spans="1:47" ht="50.25" customHeight="1" x14ac:dyDescent="0.25">
      <c r="A86" s="294" t="s">
        <v>1909</v>
      </c>
      <c r="B86" s="295" t="s">
        <v>1910</v>
      </c>
      <c r="C86" s="295" t="s">
        <v>1911</v>
      </c>
      <c r="D86" s="446"/>
      <c r="E86" s="297"/>
      <c r="F86" s="297"/>
      <c r="G86" s="297"/>
      <c r="H86" s="214"/>
      <c r="I86" s="92" t="s">
        <v>168</v>
      </c>
      <c r="J86" s="92" t="s">
        <v>178</v>
      </c>
      <c r="K86" s="92" t="s">
        <v>185</v>
      </c>
      <c r="L86" s="71" t="s">
        <v>190</v>
      </c>
      <c r="M86" s="71"/>
      <c r="N86" s="71"/>
      <c r="O86" s="71"/>
      <c r="P86" s="71" t="s">
        <v>380</v>
      </c>
      <c r="Q86" s="71" t="e">
        <f>IF(OR(AND($C$2="Base contract",$C$3="No, section requirements must be reviewed",#REF!= FALSE,#REF!=FALSE),AND($C$2="Contract amendment",$C$3="No, section requirements must be reviewed",#REF!=FALSE,#REF!=FALSE)),"MUNN")</f>
        <v>#REF!</v>
      </c>
      <c r="R86" s="64">
        <v>42917</v>
      </c>
      <c r="S86" s="64"/>
      <c r="T86" s="64"/>
      <c r="U86" s="97">
        <f>IF(OR($E$79="N/A",AND(AU86=0,'Cover Sheet'!$B$29="Streamlined Review"),AND(E86="Met",F86&lt;&gt;""),AND(E86="Not met",G86&lt;&gt;""),AND(E86="Unsure",G86&lt;&gt;""),AND(E86="N/A",H86&lt;&gt;""),AND(Y86=TRUE)),1,0)</f>
        <v>0</v>
      </c>
      <c r="W86" s="56" t="b">
        <f t="shared" si="60"/>
        <v>0</v>
      </c>
      <c r="X86" s="126" t="b">
        <f t="shared" si="61"/>
        <v>0</v>
      </c>
      <c r="Y86" s="126" t="b">
        <f t="shared" si="69"/>
        <v>0</v>
      </c>
      <c r="Z86" s="126">
        <f t="shared" si="62"/>
        <v>1</v>
      </c>
      <c r="AA86" s="126">
        <f t="shared" si="63"/>
        <v>0</v>
      </c>
      <c r="AB86" s="126">
        <f t="shared" si="64"/>
        <v>0</v>
      </c>
      <c r="AC86" s="126">
        <f t="shared" si="65"/>
        <v>0</v>
      </c>
      <c r="AD86" s="126">
        <f t="shared" si="66"/>
        <v>0</v>
      </c>
      <c r="AE86" s="126">
        <f t="shared" si="67"/>
        <v>0</v>
      </c>
      <c r="AM86" s="69" t="str">
        <f t="shared" si="68"/>
        <v/>
      </c>
      <c r="AU86" s="5">
        <v>0</v>
      </c>
    </row>
    <row r="87" spans="1:47" ht="59.25" customHeight="1" x14ac:dyDescent="0.25">
      <c r="A87" s="294" t="s">
        <v>1912</v>
      </c>
      <c r="B87" s="295" t="s">
        <v>1913</v>
      </c>
      <c r="C87" s="295" t="s">
        <v>1914</v>
      </c>
      <c r="D87" s="446"/>
      <c r="E87" s="297"/>
      <c r="F87" s="297"/>
      <c r="G87" s="297"/>
      <c r="H87" s="214"/>
      <c r="I87" s="92" t="s">
        <v>168</v>
      </c>
      <c r="J87" s="92" t="s">
        <v>178</v>
      </c>
      <c r="K87" s="92" t="s">
        <v>185</v>
      </c>
      <c r="L87" s="71" t="s">
        <v>190</v>
      </c>
      <c r="M87" s="71"/>
      <c r="N87" s="71"/>
      <c r="O87" s="71"/>
      <c r="P87" s="71" t="s">
        <v>380</v>
      </c>
      <c r="Q87" s="71" t="e">
        <f>IF(OR(AND($C$2="Base contract",$C$3="No, section requirements must be reviewed",#REF!= FALSE,#REF!=FALSE),AND($C$2="Contract amendment",$C$3="No, section requirements must be reviewed",#REF!=FALSE,#REF!=FALSE)),"MUNN")</f>
        <v>#REF!</v>
      </c>
      <c r="R87" s="64">
        <v>42917</v>
      </c>
      <c r="S87" s="64"/>
      <c r="T87" s="64"/>
      <c r="U87" s="97">
        <f>IF(OR($E$79="N/A",AND(AU87=0,'Cover Sheet'!$B$29="Streamlined Review"),AND(E87="Met",F87&lt;&gt;""),AND(E87="Not met",G87&lt;&gt;""),AND(E87="Unsure",G87&lt;&gt;""),AND(E87="N/A",H87&lt;&gt;""),AND(Y87=TRUE)),1,0)</f>
        <v>0</v>
      </c>
      <c r="W87" s="56" t="b">
        <f t="shared" si="60"/>
        <v>0</v>
      </c>
      <c r="X87" s="126" t="b">
        <f t="shared" si="61"/>
        <v>0</v>
      </c>
      <c r="Y87" s="126" t="b">
        <f t="shared" si="69"/>
        <v>0</v>
      </c>
      <c r="Z87" s="126">
        <f t="shared" si="62"/>
        <v>1</v>
      </c>
      <c r="AA87" s="126">
        <f t="shared" si="63"/>
        <v>0</v>
      </c>
      <c r="AB87" s="126">
        <f t="shared" si="64"/>
        <v>0</v>
      </c>
      <c r="AC87" s="126">
        <f t="shared" si="65"/>
        <v>0</v>
      </c>
      <c r="AD87" s="126">
        <f t="shared" si="66"/>
        <v>0</v>
      </c>
      <c r="AE87" s="126">
        <f t="shared" si="67"/>
        <v>0</v>
      </c>
      <c r="AM87" s="69" t="str">
        <f t="shared" si="68"/>
        <v/>
      </c>
      <c r="AU87" s="5">
        <v>0</v>
      </c>
    </row>
    <row r="88" spans="1:47" ht="51" customHeight="1" thickBot="1" x14ac:dyDescent="0.3">
      <c r="A88" s="294" t="s">
        <v>1915</v>
      </c>
      <c r="B88" s="295" t="s">
        <v>1916</v>
      </c>
      <c r="C88" s="295" t="s">
        <v>1917</v>
      </c>
      <c r="D88" s="501">
        <v>9</v>
      </c>
      <c r="E88" s="297"/>
      <c r="F88" s="297"/>
      <c r="G88" s="297"/>
      <c r="H88" s="214"/>
      <c r="I88" s="92" t="s">
        <v>168</v>
      </c>
      <c r="J88" s="92" t="s">
        <v>178</v>
      </c>
      <c r="K88" s="92" t="s">
        <v>185</v>
      </c>
      <c r="L88" s="71" t="s">
        <v>190</v>
      </c>
      <c r="M88" s="71"/>
      <c r="N88" s="71"/>
      <c r="O88" s="71"/>
      <c r="P88" s="71" t="s">
        <v>380</v>
      </c>
      <c r="Q88" s="71" t="e">
        <f>IF(OR(AND($C$2="Base contract",$C$3="No, section requirements must be reviewed",#REF!= FALSE,#REF!=FALSE),AND($C$2="Contract amendment",$C$3="No, section requirements must be reviewed",#REF!=FALSE,#REF!=FALSE)),"MUNN")</f>
        <v>#REF!</v>
      </c>
      <c r="R88" s="64">
        <v>42917</v>
      </c>
      <c r="S88" s="64"/>
      <c r="T88" s="64"/>
      <c r="U88" s="97">
        <f>IF(OR($E$79="N/A",AND(AU88=0,'Cover Sheet'!$B$29="Streamlined Review"),AND(E88="Met",F88&lt;&gt;""),AND(E88="Not met",G88&lt;&gt;""),AND(E88="Unsure",G88&lt;&gt;""),AND(E88="N/A",H88&lt;&gt;""),AND(Y88=TRUE)),1,0)</f>
        <v>0</v>
      </c>
      <c r="W88" s="56" t="b">
        <f t="shared" si="60"/>
        <v>0</v>
      </c>
      <c r="X88" s="126" t="b">
        <f t="shared" si="61"/>
        <v>0</v>
      </c>
      <c r="Y88" s="126" t="b">
        <f t="shared" si="69"/>
        <v>0</v>
      </c>
      <c r="Z88" s="126">
        <f t="shared" si="62"/>
        <v>1</v>
      </c>
      <c r="AA88" s="126">
        <f t="shared" si="63"/>
        <v>0</v>
      </c>
      <c r="AB88" s="126">
        <f t="shared" si="64"/>
        <v>0</v>
      </c>
      <c r="AC88" s="126">
        <f t="shared" si="65"/>
        <v>0</v>
      </c>
      <c r="AD88" s="126">
        <f t="shared" si="66"/>
        <v>0</v>
      </c>
      <c r="AE88" s="126">
        <f t="shared" si="67"/>
        <v>0</v>
      </c>
      <c r="AM88" s="69" t="str">
        <f t="shared" si="68"/>
        <v/>
      </c>
      <c r="AU88" s="5">
        <v>0</v>
      </c>
    </row>
    <row r="89" spans="1:47" ht="15.75" thickBot="1" x14ac:dyDescent="0.3">
      <c r="A89" s="450"/>
      <c r="B89" s="451"/>
      <c r="C89" s="465" t="s">
        <v>79</v>
      </c>
      <c r="D89" s="442"/>
      <c r="E89" s="443"/>
      <c r="F89" s="444"/>
      <c r="G89" s="444"/>
      <c r="H89" s="445"/>
      <c r="I89" s="126"/>
      <c r="J89" s="126"/>
      <c r="K89" s="126"/>
      <c r="L89" s="126"/>
      <c r="M89" s="126"/>
      <c r="N89" s="126"/>
      <c r="O89" s="126"/>
      <c r="P89" s="126"/>
      <c r="Q89" s="126"/>
      <c r="R89" s="126"/>
      <c r="S89" s="126"/>
      <c r="T89" s="126"/>
      <c r="U89" s="126"/>
      <c r="W89" s="68"/>
      <c r="X89" s="68"/>
      <c r="Y89" s="68"/>
      <c r="Z89" s="68"/>
      <c r="AA89" s="68"/>
      <c r="AB89" s="68"/>
      <c r="AC89" s="68"/>
      <c r="AD89" s="68"/>
      <c r="AE89" s="68"/>
      <c r="AU89" s="5"/>
    </row>
    <row r="90" spans="1:47" ht="20.25" customHeight="1" x14ac:dyDescent="0.25">
      <c r="A90" s="294" t="s">
        <v>1918</v>
      </c>
      <c r="B90" s="295" t="s">
        <v>1919</v>
      </c>
      <c r="C90" s="295" t="s">
        <v>1920</v>
      </c>
      <c r="D90" s="446"/>
      <c r="E90" s="297"/>
      <c r="F90" s="297"/>
      <c r="G90" s="297"/>
      <c r="H90" s="214"/>
      <c r="I90" s="92" t="s">
        <v>168</v>
      </c>
      <c r="J90" s="92" t="s">
        <v>178</v>
      </c>
      <c r="K90" s="92" t="s">
        <v>185</v>
      </c>
      <c r="L90" s="166" t="s">
        <v>190</v>
      </c>
      <c r="M90" s="71"/>
      <c r="N90" s="71"/>
      <c r="O90" s="71"/>
      <c r="P90" s="71" t="s">
        <v>380</v>
      </c>
      <c r="Q90" s="71" t="e">
        <f>IF(OR(AND($C$2="Base contract",$C$3="No, section requirements must be reviewed",#REF!= FALSE,#REF!=FALSE),AND($C$2="Contract amendment",$C$3="No, section requirements must be reviewed",#REF!=FALSE,#REF!=FALSE)),"MUNN")</f>
        <v>#REF!</v>
      </c>
      <c r="R90" s="64"/>
      <c r="S90" s="64"/>
      <c r="T90" s="64"/>
      <c r="U90" s="97">
        <f>IF(OR($E$89="N/A",AND(AU90=0,'Cover Sheet'!$B$29="Streamlined Review"),AND(E90="Met",F90&lt;&gt;""),AND(E90="Not met",G90&lt;&gt;""),AND(E90="Unsure",G90&lt;&gt;""),AND(E90="N/A",H90&lt;&gt;""),AND(Y90=TRUE)),1,0)</f>
        <v>0</v>
      </c>
      <c r="W90" s="56" t="b">
        <f t="shared" ref="W90:W97" si="70">IF(OR(AND($H$6="Medicaid",MID($A90,1,FIND(".",$A90,1)-1)="II"),AND($H$6="CHIP",MID($A90,1,FIND(".",$A90,1)-1)="I")),TRUE,FALSE)</f>
        <v>0</v>
      </c>
      <c r="X90" s="126" t="b">
        <f t="shared" ref="X90:X97" si="71">IF(OR(Y90=TRUE,W90=TRUE,AM90=TRUE),TRUE,FALSE)</f>
        <v>0</v>
      </c>
      <c r="Y90" s="126" t="b">
        <f>IF(SUM(Z90:AE90)&lt;1,TRUE,FALSE)</f>
        <v>0</v>
      </c>
      <c r="Z90" s="126">
        <f>IF($Z$2=I90,1,0)</f>
        <v>1</v>
      </c>
      <c r="AA90" s="126">
        <f>IF($AA$2=J90,1,0)</f>
        <v>0</v>
      </c>
      <c r="AB90" s="126">
        <f>IF($AB$2=K90,1,0)</f>
        <v>0</v>
      </c>
      <c r="AC90" s="126">
        <f>IF($AC$2=L90,1,0)</f>
        <v>0</v>
      </c>
      <c r="AD90" s="126">
        <f>IF($AD$2=M90,1,0)</f>
        <v>0</v>
      </c>
      <c r="AE90" s="126">
        <f>IF($AE$2=O90,1,0)</f>
        <v>0</v>
      </c>
      <c r="AM90" s="69" t="str">
        <f t="shared" ref="AM90:AM97" si="72">IF(AL90=1,1,"")</f>
        <v/>
      </c>
      <c r="AU90" s="5">
        <v>0</v>
      </c>
    </row>
    <row r="91" spans="1:47" ht="32.25" customHeight="1" x14ac:dyDescent="0.25">
      <c r="A91" s="294" t="s">
        <v>1921</v>
      </c>
      <c r="B91" s="295" t="s">
        <v>1922</v>
      </c>
      <c r="C91" s="295" t="s">
        <v>1923</v>
      </c>
      <c r="D91" s="446"/>
      <c r="E91" s="297"/>
      <c r="F91" s="297"/>
      <c r="G91" s="297"/>
      <c r="H91" s="214"/>
      <c r="I91" s="92" t="s">
        <v>168</v>
      </c>
      <c r="J91" s="92" t="s">
        <v>178</v>
      </c>
      <c r="K91" s="92" t="s">
        <v>185</v>
      </c>
      <c r="L91" s="71" t="s">
        <v>190</v>
      </c>
      <c r="M91" s="71"/>
      <c r="N91" s="71"/>
      <c r="O91" s="71"/>
      <c r="P91" s="71" t="s">
        <v>380</v>
      </c>
      <c r="Q91" s="71" t="e">
        <f>IF(OR(AND($C$2="Base contract",$C$3="No, section requirements must be reviewed",#REF!= FALSE,#REF!=FALSE),AND($C$2="Contract amendment",$C$3="No, section requirements must be reviewed",#REF!=FALSE,#REF!=FALSE)),"MUNN")</f>
        <v>#REF!</v>
      </c>
      <c r="R91" s="64">
        <v>42917</v>
      </c>
      <c r="S91" s="64"/>
      <c r="T91" s="64"/>
      <c r="U91" s="97">
        <f>IF(OR($E$89="N/A",AND(AU91=0,'Cover Sheet'!$B$29="Streamlined Review"),AND(E91="Met",F91&lt;&gt;""),AND(E91="Not met",G91&lt;&gt;""),AND(E91="Unsure",G91&lt;&gt;""),AND(E91="N/A",H91&lt;&gt;""),AND(Y91=TRUE)),1,0)</f>
        <v>0</v>
      </c>
      <c r="W91" s="56" t="b">
        <f t="shared" si="70"/>
        <v>0</v>
      </c>
      <c r="X91" s="126" t="b">
        <f t="shared" si="71"/>
        <v>0</v>
      </c>
      <c r="Y91" s="126" t="b">
        <f t="shared" ref="Y91:Y97" si="73">IF(SUM(Z91:AE91)&lt;1,TRUE,FALSE)</f>
        <v>0</v>
      </c>
      <c r="Z91" s="126">
        <f t="shared" ref="Z91:Z97" si="74">IF($Z$2=I91,1,0)</f>
        <v>1</v>
      </c>
      <c r="AA91" s="126">
        <f t="shared" ref="AA91:AA97" si="75">IF($AA$2=J91,1,0)</f>
        <v>0</v>
      </c>
      <c r="AB91" s="126">
        <f t="shared" ref="AB91:AB97" si="76">IF($AB$2=K91,1,0)</f>
        <v>0</v>
      </c>
      <c r="AC91" s="126">
        <f t="shared" ref="AC91:AC97" si="77">IF($AC$2=L91,1,0)</f>
        <v>0</v>
      </c>
      <c r="AD91" s="126">
        <f t="shared" ref="AD91:AD97" si="78">IF($AD$2=M91,1,0)</f>
        <v>0</v>
      </c>
      <c r="AE91" s="126">
        <f t="shared" ref="AE91:AE97" si="79">IF($AE$2=O91,1,0)</f>
        <v>0</v>
      </c>
      <c r="AM91" s="69" t="str">
        <f t="shared" si="72"/>
        <v/>
      </c>
      <c r="AU91" s="5">
        <v>0</v>
      </c>
    </row>
    <row r="92" spans="1:47" ht="32.25" customHeight="1" x14ac:dyDescent="0.25">
      <c r="A92" s="294" t="s">
        <v>1924</v>
      </c>
      <c r="B92" s="295" t="s">
        <v>1925</v>
      </c>
      <c r="C92" s="295" t="s">
        <v>1926</v>
      </c>
      <c r="D92" s="446"/>
      <c r="E92" s="297"/>
      <c r="F92" s="297"/>
      <c r="G92" s="297"/>
      <c r="H92" s="214"/>
      <c r="I92" s="92" t="s">
        <v>168</v>
      </c>
      <c r="J92" s="92" t="s">
        <v>178</v>
      </c>
      <c r="K92" s="92" t="s">
        <v>185</v>
      </c>
      <c r="L92" s="71" t="s">
        <v>190</v>
      </c>
      <c r="M92" s="71"/>
      <c r="N92" s="71"/>
      <c r="O92" s="71"/>
      <c r="P92" s="71" t="s">
        <v>380</v>
      </c>
      <c r="Q92" s="71" t="e">
        <f>IF(OR(AND($C$2="Base contract",$C$3="No, section requirements must be reviewed",#REF!= FALSE,#REF!=FALSE),AND($C$2="Contract amendment",$C$3="No, section requirements must be reviewed",#REF!=FALSE,#REF!=FALSE)),"MUNN")</f>
        <v>#REF!</v>
      </c>
      <c r="R92" s="64">
        <v>42917</v>
      </c>
      <c r="S92" s="64"/>
      <c r="T92" s="64"/>
      <c r="U92" s="97">
        <f>IF(OR($E$89="N/A",AND(AU92=0,'Cover Sheet'!$B$29="Streamlined Review"),AND(E92="Met",F92&lt;&gt;""),AND(E92="Not met",G92&lt;&gt;""),AND(E92="Unsure",G92&lt;&gt;""),AND(E92="N/A",H92&lt;&gt;""),AND(Y92=TRUE)),1,0)</f>
        <v>0</v>
      </c>
      <c r="W92" s="56" t="b">
        <f t="shared" si="70"/>
        <v>0</v>
      </c>
      <c r="X92" s="126" t="b">
        <f t="shared" si="71"/>
        <v>0</v>
      </c>
      <c r="Y92" s="126" t="b">
        <f t="shared" si="73"/>
        <v>0</v>
      </c>
      <c r="Z92" s="126">
        <f t="shared" si="74"/>
        <v>1</v>
      </c>
      <c r="AA92" s="126">
        <f t="shared" si="75"/>
        <v>0</v>
      </c>
      <c r="AB92" s="126">
        <f t="shared" si="76"/>
        <v>0</v>
      </c>
      <c r="AC92" s="126">
        <f t="shared" si="77"/>
        <v>0</v>
      </c>
      <c r="AD92" s="126">
        <f t="shared" si="78"/>
        <v>0</v>
      </c>
      <c r="AE92" s="126">
        <f t="shared" si="79"/>
        <v>0</v>
      </c>
      <c r="AM92" s="69" t="str">
        <f t="shared" si="72"/>
        <v/>
      </c>
      <c r="AU92" s="5">
        <v>0</v>
      </c>
    </row>
    <row r="93" spans="1:47" ht="33.75" customHeight="1" x14ac:dyDescent="0.25">
      <c r="A93" s="294" t="s">
        <v>1927</v>
      </c>
      <c r="B93" s="295" t="s">
        <v>1928</v>
      </c>
      <c r="C93" s="295" t="s">
        <v>1929</v>
      </c>
      <c r="D93" s="446"/>
      <c r="E93" s="297"/>
      <c r="F93" s="297"/>
      <c r="G93" s="297"/>
      <c r="H93" s="214"/>
      <c r="I93" s="92" t="s">
        <v>168</v>
      </c>
      <c r="J93" s="92" t="s">
        <v>178</v>
      </c>
      <c r="K93" s="92" t="s">
        <v>185</v>
      </c>
      <c r="L93" s="71" t="s">
        <v>190</v>
      </c>
      <c r="M93" s="71"/>
      <c r="N93" s="71"/>
      <c r="O93" s="71"/>
      <c r="P93" s="71" t="s">
        <v>380</v>
      </c>
      <c r="Q93" s="71" t="e">
        <f>IF(OR(AND($C$2="Base contract",$C$3="No, section requirements must be reviewed",#REF!= FALSE,#REF!=FALSE),AND($C$2="Contract amendment",$C$3="No, section requirements must be reviewed",#REF!=FALSE,#REF!=FALSE)),"MUNN")</f>
        <v>#REF!</v>
      </c>
      <c r="R93" s="64">
        <v>42917</v>
      </c>
      <c r="S93" s="64"/>
      <c r="T93" s="64"/>
      <c r="U93" s="97">
        <f>IF(OR($E$89="N/A",AND(AU93=0,'Cover Sheet'!$B$29="Streamlined Review"),AND(E93="Met",F93&lt;&gt;""),AND(E93="Not met",G93&lt;&gt;""),AND(E93="Unsure",G93&lt;&gt;""),AND(E93="N/A",H93&lt;&gt;""),AND(Y93=TRUE)),1,0)</f>
        <v>0</v>
      </c>
      <c r="W93" s="56" t="b">
        <f t="shared" si="70"/>
        <v>0</v>
      </c>
      <c r="X93" s="126" t="b">
        <f t="shared" si="71"/>
        <v>0</v>
      </c>
      <c r="Y93" s="126" t="b">
        <f t="shared" si="73"/>
        <v>0</v>
      </c>
      <c r="Z93" s="126">
        <f t="shared" si="74"/>
        <v>1</v>
      </c>
      <c r="AA93" s="126">
        <f t="shared" si="75"/>
        <v>0</v>
      </c>
      <c r="AB93" s="126">
        <f t="shared" si="76"/>
        <v>0</v>
      </c>
      <c r="AC93" s="126">
        <f t="shared" si="77"/>
        <v>0</v>
      </c>
      <c r="AD93" s="126">
        <f t="shared" si="78"/>
        <v>0</v>
      </c>
      <c r="AE93" s="126">
        <f t="shared" si="79"/>
        <v>0</v>
      </c>
      <c r="AM93" s="69" t="str">
        <f t="shared" si="72"/>
        <v/>
      </c>
      <c r="AU93" s="5">
        <v>0</v>
      </c>
    </row>
    <row r="94" spans="1:47" ht="31.5" customHeight="1" x14ac:dyDescent="0.25">
      <c r="A94" s="294" t="s">
        <v>1930</v>
      </c>
      <c r="B94" s="295" t="s">
        <v>1931</v>
      </c>
      <c r="C94" s="295" t="s">
        <v>1932</v>
      </c>
      <c r="D94" s="446"/>
      <c r="E94" s="297"/>
      <c r="F94" s="297"/>
      <c r="G94" s="297"/>
      <c r="H94" s="214"/>
      <c r="I94" s="92" t="s">
        <v>168</v>
      </c>
      <c r="J94" s="92" t="s">
        <v>178</v>
      </c>
      <c r="K94" s="92" t="s">
        <v>185</v>
      </c>
      <c r="L94" s="71" t="s">
        <v>190</v>
      </c>
      <c r="M94" s="71"/>
      <c r="N94" s="71"/>
      <c r="O94" s="71"/>
      <c r="P94" s="71" t="s">
        <v>380</v>
      </c>
      <c r="Q94" s="71" t="e">
        <f>IF(OR(AND($C$2="Base contract",$C$3="No, section requirements must be reviewed",#REF!= FALSE,#REF!=FALSE),AND($C$2="Contract amendment",$C$3="No, section requirements must be reviewed",#REF!=FALSE,#REF!=FALSE)),"MUNN")</f>
        <v>#REF!</v>
      </c>
      <c r="R94" s="64">
        <v>42917</v>
      </c>
      <c r="S94" s="64"/>
      <c r="T94" s="64"/>
      <c r="U94" s="97">
        <f>IF(OR($E$89="N/A",AND(AU94=0,'Cover Sheet'!$B$29="Streamlined Review"),AND(E94="Met",F94&lt;&gt;""),AND(E94="Not met",G94&lt;&gt;""),AND(E94="Unsure",G94&lt;&gt;""),AND(E94="N/A",H94&lt;&gt;""),AND(Y94=TRUE)),1,0)</f>
        <v>0</v>
      </c>
      <c r="W94" s="56" t="b">
        <f t="shared" si="70"/>
        <v>0</v>
      </c>
      <c r="X94" s="126" t="b">
        <f t="shared" si="71"/>
        <v>0</v>
      </c>
      <c r="Y94" s="126" t="b">
        <f t="shared" si="73"/>
        <v>0</v>
      </c>
      <c r="Z94" s="126">
        <f t="shared" si="74"/>
        <v>1</v>
      </c>
      <c r="AA94" s="126">
        <f t="shared" si="75"/>
        <v>0</v>
      </c>
      <c r="AB94" s="126">
        <f t="shared" si="76"/>
        <v>0</v>
      </c>
      <c r="AC94" s="126">
        <f t="shared" si="77"/>
        <v>0</v>
      </c>
      <c r="AD94" s="126">
        <f t="shared" si="78"/>
        <v>0</v>
      </c>
      <c r="AE94" s="126">
        <f t="shared" si="79"/>
        <v>0</v>
      </c>
      <c r="AM94" s="69" t="str">
        <f t="shared" si="72"/>
        <v/>
      </c>
      <c r="AU94" s="5">
        <v>0</v>
      </c>
    </row>
    <row r="95" spans="1:47" ht="31.5" customHeight="1" x14ac:dyDescent="0.25">
      <c r="A95" s="294" t="s">
        <v>1933</v>
      </c>
      <c r="B95" s="295" t="s">
        <v>1934</v>
      </c>
      <c r="C95" s="295" t="s">
        <v>1935</v>
      </c>
      <c r="D95" s="446"/>
      <c r="E95" s="297"/>
      <c r="F95" s="297"/>
      <c r="G95" s="297"/>
      <c r="H95" s="214"/>
      <c r="I95" s="92" t="s">
        <v>168</v>
      </c>
      <c r="J95" s="92" t="s">
        <v>178</v>
      </c>
      <c r="K95" s="92" t="s">
        <v>185</v>
      </c>
      <c r="L95" s="71" t="s">
        <v>190</v>
      </c>
      <c r="M95" s="71"/>
      <c r="N95" s="71"/>
      <c r="O95" s="71"/>
      <c r="P95" s="71" t="s">
        <v>380</v>
      </c>
      <c r="Q95" s="71" t="e">
        <f>IF(OR(AND($C$2="Base contract",$C$3="No, section requirements must be reviewed",#REF!= FALSE,#REF!=FALSE),AND($C$2="Contract amendment",$C$3="No, section requirements must be reviewed",#REF!=FALSE,#REF!=FALSE)),"MUNN")</f>
        <v>#REF!</v>
      </c>
      <c r="R95" s="64">
        <v>42917</v>
      </c>
      <c r="S95" s="64"/>
      <c r="T95" s="64"/>
      <c r="U95" s="97">
        <f>IF(OR($E$89="N/A",AND(AU95=0,'Cover Sheet'!$B$29="Streamlined Review"),AND(E95="Met",F95&lt;&gt;""),AND(E95="Not met",G95&lt;&gt;""),AND(E95="Unsure",G95&lt;&gt;""),AND(E95="N/A",H95&lt;&gt;""),AND(Y95=TRUE)),1,0)</f>
        <v>0</v>
      </c>
      <c r="W95" s="56" t="b">
        <f t="shared" si="70"/>
        <v>0</v>
      </c>
      <c r="X95" s="126" t="b">
        <f t="shared" si="71"/>
        <v>0</v>
      </c>
      <c r="Y95" s="126" t="b">
        <f t="shared" si="73"/>
        <v>0</v>
      </c>
      <c r="Z95" s="126">
        <f t="shared" si="74"/>
        <v>1</v>
      </c>
      <c r="AA95" s="126">
        <f t="shared" si="75"/>
        <v>0</v>
      </c>
      <c r="AB95" s="126">
        <f t="shared" si="76"/>
        <v>0</v>
      </c>
      <c r="AC95" s="126">
        <f t="shared" si="77"/>
        <v>0</v>
      </c>
      <c r="AD95" s="126">
        <f t="shared" si="78"/>
        <v>0</v>
      </c>
      <c r="AE95" s="126">
        <f t="shared" si="79"/>
        <v>0</v>
      </c>
      <c r="AM95" s="69" t="str">
        <f t="shared" si="72"/>
        <v/>
      </c>
      <c r="AU95" s="5">
        <v>0</v>
      </c>
    </row>
    <row r="96" spans="1:47" ht="33" customHeight="1" x14ac:dyDescent="0.25">
      <c r="A96" s="294" t="s">
        <v>1936</v>
      </c>
      <c r="B96" s="295" t="s">
        <v>1937</v>
      </c>
      <c r="C96" s="295" t="s">
        <v>1938</v>
      </c>
      <c r="D96" s="446"/>
      <c r="E96" s="297"/>
      <c r="F96" s="297"/>
      <c r="G96" s="297"/>
      <c r="H96" s="214"/>
      <c r="I96" s="92" t="s">
        <v>168</v>
      </c>
      <c r="J96" s="92" t="s">
        <v>178</v>
      </c>
      <c r="K96" s="92" t="s">
        <v>185</v>
      </c>
      <c r="L96" s="71" t="s">
        <v>190</v>
      </c>
      <c r="M96" s="71"/>
      <c r="N96" s="71"/>
      <c r="O96" s="71"/>
      <c r="P96" s="71" t="s">
        <v>380</v>
      </c>
      <c r="Q96" s="71" t="e">
        <f>IF(OR(AND($C$2="Base contract",$C$3="No, section requirements must be reviewed",#REF!= FALSE,#REF!=FALSE),AND($C$2="Contract amendment",$C$3="No, section requirements must be reviewed",#REF!=FALSE,#REF!=FALSE)),"MUNN")</f>
        <v>#REF!</v>
      </c>
      <c r="R96" s="64">
        <v>42917</v>
      </c>
      <c r="S96" s="64"/>
      <c r="T96" s="64"/>
      <c r="U96" s="97">
        <f>IF(OR($E$89="N/A",AND(AU96=0,'Cover Sheet'!$B$29="Streamlined Review"),AND(E96="Met",F96&lt;&gt;""),AND(E96="Not met",G96&lt;&gt;""),AND(E96="Unsure",G96&lt;&gt;""),AND(E96="N/A",H96&lt;&gt;""),AND(Y96=TRUE)),1,0)</f>
        <v>0</v>
      </c>
      <c r="W96" s="56" t="b">
        <f t="shared" si="70"/>
        <v>0</v>
      </c>
      <c r="X96" s="126" t="b">
        <f t="shared" si="71"/>
        <v>0</v>
      </c>
      <c r="Y96" s="126" t="b">
        <f t="shared" si="73"/>
        <v>0</v>
      </c>
      <c r="Z96" s="126">
        <f t="shared" si="74"/>
        <v>1</v>
      </c>
      <c r="AA96" s="126">
        <f t="shared" si="75"/>
        <v>0</v>
      </c>
      <c r="AB96" s="126">
        <f t="shared" si="76"/>
        <v>0</v>
      </c>
      <c r="AC96" s="126">
        <f t="shared" si="77"/>
        <v>0</v>
      </c>
      <c r="AD96" s="126">
        <f t="shared" si="78"/>
        <v>0</v>
      </c>
      <c r="AE96" s="126">
        <f t="shared" si="79"/>
        <v>0</v>
      </c>
      <c r="AM96" s="69" t="str">
        <f t="shared" si="72"/>
        <v/>
      </c>
      <c r="AU96" s="5">
        <v>0</v>
      </c>
    </row>
    <row r="97" spans="1:47" ht="47.25" customHeight="1" x14ac:dyDescent="0.25">
      <c r="A97" s="294" t="s">
        <v>1939</v>
      </c>
      <c r="B97" s="295" t="s">
        <v>1940</v>
      </c>
      <c r="C97" s="295" t="s">
        <v>1941</v>
      </c>
      <c r="D97" s="446"/>
      <c r="E97" s="297"/>
      <c r="F97" s="297"/>
      <c r="G97" s="297"/>
      <c r="H97" s="214"/>
      <c r="I97" s="92" t="s">
        <v>168</v>
      </c>
      <c r="J97" s="92" t="s">
        <v>178</v>
      </c>
      <c r="K97" s="92" t="s">
        <v>185</v>
      </c>
      <c r="L97" s="71" t="s">
        <v>190</v>
      </c>
      <c r="M97" s="71"/>
      <c r="N97" s="71"/>
      <c r="O97" s="71"/>
      <c r="P97" s="71" t="s">
        <v>380</v>
      </c>
      <c r="Q97" s="71" t="e">
        <f>IF(OR(AND($C$2="Base contract",$C$3="No, section requirements must be reviewed",#REF!= FALSE,#REF!=FALSE),AND($C$2="Contract amendment",$C$3="No, section requirements must be reviewed",#REF!=FALSE,#REF!=FALSE)),"MUNN")</f>
        <v>#REF!</v>
      </c>
      <c r="R97" s="64">
        <v>42917</v>
      </c>
      <c r="S97" s="64"/>
      <c r="T97" s="64"/>
      <c r="U97" s="97">
        <f>IF(OR($E$89="N/A",AND(AU97=0,'Cover Sheet'!$B$29="Streamlined Review"),AND(E97="Met",F97&lt;&gt;""),AND(E97="Not met",G97&lt;&gt;""),AND(E97="Unsure",G97&lt;&gt;""),AND(E97="N/A",H97&lt;&gt;""),AND(Y97=TRUE)),1,0)</f>
        <v>0</v>
      </c>
      <c r="W97" s="56" t="b">
        <f t="shared" si="70"/>
        <v>0</v>
      </c>
      <c r="X97" s="126" t="b">
        <f t="shared" si="71"/>
        <v>0</v>
      </c>
      <c r="Y97" s="126" t="b">
        <f t="shared" si="73"/>
        <v>0</v>
      </c>
      <c r="Z97" s="126">
        <f t="shared" si="74"/>
        <v>1</v>
      </c>
      <c r="AA97" s="126">
        <f t="shared" si="75"/>
        <v>0</v>
      </c>
      <c r="AB97" s="126">
        <f t="shared" si="76"/>
        <v>0</v>
      </c>
      <c r="AC97" s="126">
        <f t="shared" si="77"/>
        <v>0</v>
      </c>
      <c r="AD97" s="126">
        <f t="shared" si="78"/>
        <v>0</v>
      </c>
      <c r="AE97" s="126">
        <f t="shared" si="79"/>
        <v>0</v>
      </c>
      <c r="AM97" s="69" t="str">
        <f t="shared" si="72"/>
        <v/>
      </c>
      <c r="AU97" s="5">
        <v>0</v>
      </c>
    </row>
    <row r="98" spans="1:47" x14ac:dyDescent="0.25">
      <c r="A98" s="302" t="s">
        <v>442</v>
      </c>
      <c r="B98" s="303"/>
      <c r="C98" s="547"/>
      <c r="D98" s="304"/>
      <c r="E98" s="269"/>
      <c r="F98" s="270"/>
      <c r="G98" s="271"/>
      <c r="H98" s="271"/>
      <c r="U98" s="116"/>
    </row>
    <row r="99" spans="1:47" ht="21" customHeight="1" x14ac:dyDescent="0.25">
      <c r="A99" s="550">
        <v>1</v>
      </c>
      <c r="B99" s="571" t="s">
        <v>1942</v>
      </c>
      <c r="C99" s="571"/>
      <c r="D99" s="571"/>
      <c r="E99" s="571"/>
      <c r="F99" s="571"/>
      <c r="G99" s="571"/>
      <c r="H99" s="571"/>
    </row>
    <row r="100" spans="1:47" ht="43.5" customHeight="1" x14ac:dyDescent="0.25">
      <c r="A100" s="550">
        <v>2</v>
      </c>
      <c r="B100" s="571" t="s">
        <v>1943</v>
      </c>
      <c r="C100" s="571"/>
      <c r="D100" s="571"/>
      <c r="E100" s="571"/>
      <c r="F100" s="571"/>
      <c r="G100" s="571"/>
      <c r="H100" s="571"/>
    </row>
    <row r="101" spans="1:47" ht="30.6" customHeight="1" x14ac:dyDescent="0.25">
      <c r="A101" s="550">
        <v>3</v>
      </c>
      <c r="B101" s="571" t="s">
        <v>1944</v>
      </c>
      <c r="C101" s="571"/>
      <c r="D101" s="571"/>
      <c r="E101" s="571"/>
      <c r="F101" s="571"/>
      <c r="G101" s="571"/>
      <c r="H101" s="571"/>
    </row>
    <row r="102" spans="1:47" ht="13.5" customHeight="1" x14ac:dyDescent="0.25">
      <c r="A102" s="550">
        <v>4</v>
      </c>
      <c r="B102" s="571" t="s">
        <v>1945</v>
      </c>
      <c r="C102" s="571"/>
      <c r="D102" s="571"/>
      <c r="E102" s="571"/>
      <c r="F102" s="571"/>
      <c r="G102" s="571"/>
      <c r="H102" s="571"/>
    </row>
    <row r="103" spans="1:47" ht="17.100000000000001" customHeight="1" x14ac:dyDescent="0.25">
      <c r="A103" s="550">
        <v>5</v>
      </c>
      <c r="B103" s="571" t="s">
        <v>1946</v>
      </c>
      <c r="C103" s="571"/>
      <c r="D103" s="571"/>
      <c r="E103" s="571"/>
      <c r="F103" s="571"/>
      <c r="G103" s="571"/>
      <c r="H103" s="571"/>
    </row>
    <row r="104" spans="1:47" ht="15.95" customHeight="1" x14ac:dyDescent="0.25">
      <c r="A104" s="550">
        <v>6</v>
      </c>
      <c r="B104" s="571" t="s">
        <v>1947</v>
      </c>
      <c r="C104" s="571"/>
      <c r="D104" s="571"/>
      <c r="E104" s="571"/>
      <c r="F104" s="571"/>
      <c r="G104" s="571"/>
      <c r="H104" s="571"/>
    </row>
    <row r="105" spans="1:47" ht="30" customHeight="1" x14ac:dyDescent="0.25">
      <c r="A105" s="550">
        <v>7</v>
      </c>
      <c r="B105" s="571" t="s">
        <v>1948</v>
      </c>
      <c r="C105" s="571"/>
      <c r="D105" s="571"/>
      <c r="E105" s="571"/>
      <c r="F105" s="571"/>
      <c r="G105" s="571"/>
      <c r="H105" s="571"/>
    </row>
    <row r="106" spans="1:47" ht="15.6" customHeight="1" x14ac:dyDescent="0.25">
      <c r="A106" s="550">
        <v>8</v>
      </c>
      <c r="B106" s="571" t="s">
        <v>1949</v>
      </c>
      <c r="C106" s="571"/>
      <c r="D106" s="571"/>
      <c r="E106" s="571"/>
      <c r="F106" s="571"/>
      <c r="G106" s="571"/>
      <c r="H106" s="571"/>
    </row>
    <row r="107" spans="1:47" ht="19.5" customHeight="1" x14ac:dyDescent="0.25">
      <c r="A107" s="550">
        <v>9</v>
      </c>
      <c r="B107" s="571" t="s">
        <v>1950</v>
      </c>
      <c r="C107" s="571"/>
      <c r="D107" s="571"/>
      <c r="E107" s="571"/>
      <c r="F107" s="571"/>
      <c r="G107" s="571"/>
      <c r="H107" s="571"/>
    </row>
  </sheetData>
  <sheetProtection algorithmName="SHA-512" hashValue="pzzZEGata4D06FcH5C24ZOdj+fr8CzPXZqRLeMeB8/LrJiU0bMwBAIKc3KM9bIobaTfQjVq39UInjzl47s3jNA==" saltValue="ce/V4QqZFy078QykF6bVKg==" spinCount="100000" sheet="1" formatColumns="0" formatRows="0"/>
  <mergeCells count="12">
    <mergeCell ref="Z1:AE1"/>
    <mergeCell ref="A1:F1"/>
    <mergeCell ref="A2:B2"/>
    <mergeCell ref="B107:H107"/>
    <mergeCell ref="B99:H99"/>
    <mergeCell ref="B100:H100"/>
    <mergeCell ref="B101:H101"/>
    <mergeCell ref="B102:H102"/>
    <mergeCell ref="B103:H103"/>
    <mergeCell ref="B104:H104"/>
    <mergeCell ref="B105:H105"/>
    <mergeCell ref="B106:H106"/>
  </mergeCells>
  <phoneticPr fontId="22" type="noConversion"/>
  <conditionalFormatting sqref="A9:H19 A8:D8 F8:H8 A20:D20 F20:H20 A28:H38 A27:D27 F27:H27 A40:H42 A39:D39 F39:H39 A44:H46 A43:D43 F43:H43 A48:H57 A47:D47 F47:H47 A59:H68 A58:D58 F58:H58 A70:H71 A69:D69 F69:H69 A73:H78 A72:D72 F72:H72 A80:H88 A79:D79 F79:H79 A90:H97 A89:D89 F89:H89 A21:H26">
    <cfRule type="expression" dxfId="64" priority="3855">
      <formula>$C$3="Yes, section requirements are not applicable"</formula>
    </cfRule>
  </conditionalFormatting>
  <conditionalFormatting sqref="A9:H19">
    <cfRule type="expression" dxfId="63" priority="12">
      <formula>$E$8="N/A"</formula>
    </cfRule>
  </conditionalFormatting>
  <conditionalFormatting sqref="A21:H26">
    <cfRule type="expression" dxfId="62" priority="11">
      <formula>$E$20="N/A"</formula>
    </cfRule>
  </conditionalFormatting>
  <conditionalFormatting sqref="A28:H38">
    <cfRule type="expression" dxfId="61" priority="10">
      <formula>$E$27="N/A"</formula>
    </cfRule>
  </conditionalFormatting>
  <conditionalFormatting sqref="A40:H42">
    <cfRule type="expression" dxfId="60" priority="9">
      <formula>$E$39="N/A"</formula>
    </cfRule>
  </conditionalFormatting>
  <conditionalFormatting sqref="A44:H46">
    <cfRule type="expression" dxfId="59" priority="8">
      <formula>$E$43="N/A"</formula>
    </cfRule>
  </conditionalFormatting>
  <conditionalFormatting sqref="A48:H57">
    <cfRule type="expression" dxfId="58" priority="7">
      <formula>$E$47="N/A"</formula>
    </cfRule>
  </conditionalFormatting>
  <conditionalFormatting sqref="A59:H68">
    <cfRule type="expression" dxfId="57" priority="6">
      <formula>$E$58="N/A"</formula>
    </cfRule>
  </conditionalFormatting>
  <conditionalFormatting sqref="A70:H71">
    <cfRule type="expression" dxfId="56" priority="5">
      <formula>$E$69="N/A"</formula>
    </cfRule>
  </conditionalFormatting>
  <conditionalFormatting sqref="A73:H78">
    <cfRule type="expression" dxfId="55" priority="4">
      <formula>$E$72="N/A"</formula>
    </cfRule>
  </conditionalFormatting>
  <conditionalFormatting sqref="A80:H88">
    <cfRule type="expression" dxfId="54" priority="3">
      <formula>$E$79="N/A"</formula>
    </cfRule>
  </conditionalFormatting>
  <conditionalFormatting sqref="A90:H97">
    <cfRule type="expression" dxfId="53" priority="2">
      <formula>$E$89="N/A"</formula>
    </cfRule>
  </conditionalFormatting>
  <conditionalFormatting sqref="A9:H97">
    <cfRule type="expression" dxfId="52" priority="1">
      <formula>$X9=TRUE</formula>
    </cfRule>
  </conditionalFormatting>
  <conditionalFormatting sqref="E8 E20 E27 E39 E43 E47 E58 E69 E72 E79 E89">
    <cfRule type="expression" dxfId="51" priority="5151">
      <formula>$AK8=1</formula>
    </cfRule>
    <cfRule type="expression" dxfId="50" priority="5152">
      <formula>$C$3="Yes, section requirements are not included in the contract amendment"</formula>
    </cfRule>
    <cfRule type="expression" dxfId="49" priority="5153">
      <formula>OR(#REF!=TRUE,#REF!=TRUE)</formula>
    </cfRule>
  </conditionalFormatting>
  <dataValidations count="3">
    <dataValidation type="list" allowBlank="1" showInputMessage="1" showErrorMessage="1" sqref="C3" xr:uid="{00000000-0002-0000-0B00-000000000000}">
      <formula1>$K$2:$K$3</formula1>
    </dataValidation>
    <dataValidation type="list" allowBlank="1" showInputMessage="1" showErrorMessage="1" sqref="E40:E42 E44:E46 E21:E26 E28:E38 E48:E57 E59:E68 E70:E71 E80:E88 E90:E97 E9:E19 E73:E78" xr:uid="{0B8FAF10-AB09-45C4-BB34-AA6DE5429A6C}">
      <formula1>$J$1:$J$4</formula1>
    </dataValidation>
    <dataValidation type="list" allowBlank="1" showInputMessage="1" showErrorMessage="1" sqref="E8 E20 E27 E39 E43 E47 E58 E69 E72 E79 E89" xr:uid="{388BC044-A350-4972-92C9-96BD633609CD}">
      <formula1>$AM$1</formula1>
    </dataValidation>
  </dataValidations>
  <hyperlinks>
    <hyperlink ref="D19" location="'H. Grievances and Appeals'!A99" display="'H. Grievances and Appeals'!A99" xr:uid="{DD42A41E-D92F-4DE2-B63B-06D50CB9CBFC}"/>
    <hyperlink ref="D21" location="'H. Grievances and Appeals'!A100" display="'H. Grievances and Appeals'!A100" xr:uid="{23649373-5FF9-46AD-8A0B-0629AE5A9749}"/>
    <hyperlink ref="D34" location="'H. Grievances and Appeals'!A101" display="'H. Grievances and Appeals'!A101" xr:uid="{A4CE2831-C511-48E5-A757-C33C62A524B7}"/>
    <hyperlink ref="D38" location="'H. Grievances and Appeals'!A102" display="'H. Grievances and Appeals'!A102" xr:uid="{579E22B3-CF0C-48B2-B1E0-694158858F31}"/>
    <hyperlink ref="D41" location="'H. Grievances and Appeals'!A103" display="'H. Grievances and Appeals'!A103" xr:uid="{A2EB833A-833B-4558-B56E-C815CA5A2F4D}"/>
    <hyperlink ref="D50" location="'H. Grievances and Appeals'!A104" display="'H. Grievances and Appeals'!A104" xr:uid="{2424BBE7-928D-4079-A5CC-446053B2A3AB}"/>
    <hyperlink ref="D56" location="'H. Grievances and Appeals'!A105" display="'H. Grievances and Appeals'!A105" xr:uid="{B2A1F409-D0C0-4140-BE71-AECD07F427DC}"/>
    <hyperlink ref="D70" location="'H. Grievances and Appeals'!A106" display="'H. Grievances and Appeals'!A106" xr:uid="{DC611AC6-C218-4EBA-80B2-5143D131176A}"/>
    <hyperlink ref="D88" location="'H. Grievances and Appeals'!A107" display="'H. Grievances and Appeals'!A107" xr:uid="{360BE08D-5AA1-4275-B645-0CBCD686C2F6}"/>
    <hyperlink ref="A99" location="'H. Grievances and Appeals'!D19" display="'H. Grievances and Appeals'!D19" xr:uid="{D98E4826-5AB1-4346-91EF-D92EBB558ABE}"/>
    <hyperlink ref="A100" location="'H. Grievances and Appeals'!D21" display="'H. Grievances and Appeals'!D21" xr:uid="{BE75C120-66B2-4E41-8A3A-7C0B7F35646C}"/>
    <hyperlink ref="A101" location="'H. Grievances and Appeals'!D34" display="'H. Grievances and Appeals'!D34" xr:uid="{2CE918A0-0428-4241-A439-434483382BDC}"/>
    <hyperlink ref="A102" location="'H. Grievances and Appeals'!D38" display="'H. Grievances and Appeals'!D38" xr:uid="{226BAB01-4C7A-42B4-ADB2-1BD5AD72E3F2}"/>
    <hyperlink ref="A103" location="'H. Grievances and Appeals'!D41" display="'H. Grievances and Appeals'!D41" xr:uid="{D9F13A0E-B739-4FEF-8453-DA9277E0CB26}"/>
    <hyperlink ref="A104" location="'H. Grievances and Appeals'!D50" display="'H. Grievances and Appeals'!D50" xr:uid="{FB5D39A4-0694-4251-A3C2-5067AF28F690}"/>
    <hyperlink ref="A105" location="'H. Grievances and Appeals'!D56" display="'H. Grievances and Appeals'!D56" xr:uid="{8C0C2AF1-715E-4B5D-8C97-0A942BD413A8}"/>
    <hyperlink ref="A107" location="'H. Grievances and Appeals'!D88" display="'H. Grievances and Appeals'!D88" xr:uid="{D8FBF48E-AFE7-4B67-92C3-95839AF12DEA}"/>
    <hyperlink ref="D35" location="'H. Grievances and Appeals'!A101" display="'H. Grievances and Appeals'!A101" xr:uid="{09A50B25-09CC-4AFB-8858-BFACDA7672D3}"/>
    <hyperlink ref="A106" location="'H. Grievances and Appeals'!D70" display="'H. Grievances and Appeals'!D70" xr:uid="{8B483D13-AEAF-4AD7-8477-D5AEFB2D3A0A}"/>
    <hyperlink ref="D22" location="'H. Grievances and Appeals'!A100" display="'H. Grievances and Appeals'!A100" xr:uid="{738F8A0E-201A-423F-8754-80C64B3E9731}"/>
    <hyperlink ref="D23" location="'H. Grievances and Appeals'!A100" display="'H. Grievances and Appeals'!A100" xr:uid="{849354C2-ECEA-4CD7-AD89-BE92352A42F6}"/>
    <hyperlink ref="D24" location="'H. Grievances and Appeals'!A100" display="'H. Grievances and Appeals'!A100" xr:uid="{DB7A55C6-1C5D-4C2A-9FDD-F34E04E032F5}"/>
    <hyperlink ref="D25" location="'H. Grievances and Appeals'!A100" display="'H. Grievances and Appeals'!A100" xr:uid="{CD00361E-0979-4918-8F65-8020C9584C10}"/>
    <hyperlink ref="D26" location="'H. Grievances and Appeals'!A100" display="'H. Grievances and Appeals'!A100" xr:uid="{31CE7A42-CED9-45BB-B8EC-3190B5AB4ADA}"/>
  </hyperlinks>
  <pageMargins left="0.25" right="0.25" top="0.75" bottom="0.75" header="0.3" footer="0.3"/>
  <pageSetup scale="78" fitToHeight="0" orientation="landscape" horizontalDpi="4294967293" verticalDpi="4294967293" r:id="rId1"/>
  <extLst>
    <ext xmlns:x14="http://schemas.microsoft.com/office/spreadsheetml/2009/9/main" uri="{78C0D931-6437-407d-A8EE-F0AAD7539E65}">
      <x14:conditionalFormattings>
        <x14:conditionalFormatting xmlns:xm="http://schemas.microsoft.com/office/excel/2006/main">
          <x14:cfRule type="expression" priority="46" id="{898741D8-8F5E-4AEE-9DFD-E735D9C511D5}">
            <xm:f>AND('Cover Sheet'!$B$29="Streamlined Review")</xm:f>
            <x14:dxf>
              <fill>
                <patternFill patternType="lightUp"/>
              </fill>
            </x14:dxf>
          </x14:cfRule>
          <xm:sqref>A9:H19 A21:H21 A29:H31 A35:H35 A40:H40 A42:H42 A46:H46 A48:H54 A56:H57 A61:H64 A66:H68 A71:H71 A75:H78 A80:H82 A84:H88 A90:H97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pageSetUpPr fitToPage="1"/>
  </sheetPr>
  <dimension ref="A1:BE267"/>
  <sheetViews>
    <sheetView zoomScale="90" zoomScaleNormal="90" workbookViewId="0">
      <pane ySplit="7" topLeftCell="A9" activePane="bottomLeft" state="frozen"/>
      <selection pane="bottomLeft" sqref="A1:F1"/>
    </sheetView>
  </sheetViews>
  <sheetFormatPr defaultColWidth="9.28515625" defaultRowHeight="15" x14ac:dyDescent="0.25"/>
  <cols>
    <col min="1" max="1" width="10.5703125" customWidth="1"/>
    <col min="2" max="2" width="18.5703125" style="7" customWidth="1"/>
    <col min="3" max="3" width="82" style="152" customWidth="1"/>
    <col min="4" max="4" width="7.5703125" style="8" customWidth="1"/>
    <col min="5" max="5" width="8.5703125" style="5" customWidth="1"/>
    <col min="6" max="6" width="8.5703125" customWidth="1"/>
    <col min="7" max="7" width="22.28515625" customWidth="1"/>
    <col min="8" max="8" width="26.7109375" customWidth="1"/>
    <col min="9" max="9" width="10.7109375" style="141" hidden="1" customWidth="1"/>
    <col min="10" max="10" width="9.5703125" style="139" hidden="1" customWidth="1"/>
    <col min="11" max="12" width="6.28515625" style="139" hidden="1" customWidth="1"/>
    <col min="13" max="13" width="11.28515625" style="138" hidden="1" customWidth="1"/>
    <col min="14" max="14" width="6.28515625" style="116" hidden="1" customWidth="1"/>
    <col min="15" max="15" width="8.5703125" style="116" hidden="1" customWidth="1"/>
    <col min="16" max="16" width="9.28515625" style="116" hidden="1" customWidth="1"/>
    <col min="17" max="17" width="19.7109375" style="116" hidden="1" customWidth="1"/>
    <col min="18" max="18" width="9.28515625" style="116" hidden="1" customWidth="1"/>
    <col min="19" max="19" width="12.42578125" style="117" hidden="1" customWidth="1"/>
    <col min="20" max="20" width="16.7109375" style="116" hidden="1" customWidth="1"/>
    <col min="21" max="21" width="21" style="122" hidden="1" customWidth="1"/>
    <col min="22" max="22" width="23.5703125" style="116" hidden="1" customWidth="1"/>
    <col min="23" max="31" width="24.7109375" style="116" hidden="1" customWidth="1"/>
    <col min="32" max="32" width="18.42578125" style="116" hidden="1" customWidth="1"/>
    <col min="33" max="33" width="32.42578125" style="121" hidden="1" customWidth="1"/>
    <col min="34" max="34" width="16" style="121" hidden="1" customWidth="1"/>
    <col min="35" max="35" width="24" style="121" hidden="1" customWidth="1"/>
    <col min="36" max="36" width="43.7109375" style="68" hidden="1" customWidth="1"/>
    <col min="37" max="37" width="26.5703125" style="68" hidden="1" customWidth="1"/>
    <col min="38" max="38" width="26.5703125" style="88" hidden="1" customWidth="1"/>
    <col min="39" max="39" width="10.28515625" style="88" hidden="1" customWidth="1"/>
    <col min="40" max="40" width="68.28515625" style="69" hidden="1" customWidth="1"/>
    <col min="41" max="41" width="53.7109375" style="106" hidden="1" customWidth="1"/>
    <col min="42" max="42" width="10.42578125" style="69" hidden="1" customWidth="1"/>
    <col min="43" max="43" width="49" style="84" hidden="1" customWidth="1"/>
    <col min="44" max="45" width="16.7109375" style="69" hidden="1" customWidth="1"/>
    <col min="46" max="46" width="17" style="69" hidden="1" customWidth="1"/>
    <col min="47" max="47" width="18" style="69" hidden="1" customWidth="1"/>
    <col min="48" max="51" width="27.7109375" style="69" hidden="1" customWidth="1"/>
    <col min="52" max="52" width="14.7109375" style="69" hidden="1" customWidth="1"/>
    <col min="53" max="53" width="20.28515625" style="69" hidden="1" customWidth="1"/>
    <col min="54" max="54" width="31.28515625" style="69" hidden="1" customWidth="1"/>
    <col min="55" max="55" width="19.7109375" style="117" hidden="1" customWidth="1"/>
    <col min="56" max="56" width="11.85546875" style="69" hidden="1" customWidth="1"/>
    <col min="57" max="57" width="9.28515625" style="69" hidden="1" customWidth="1"/>
  </cols>
  <sheetData>
    <row r="1" spans="1:56" ht="25.5" customHeight="1" thickBot="1" x14ac:dyDescent="0.3">
      <c r="A1" s="573" t="s">
        <v>1951</v>
      </c>
      <c r="B1" s="574"/>
      <c r="C1" s="574"/>
      <c r="D1" s="574"/>
      <c r="E1" s="574"/>
      <c r="F1" s="574"/>
      <c r="G1" s="548"/>
      <c r="H1" s="280"/>
      <c r="I1" s="25"/>
      <c r="J1" s="26" t="s">
        <v>311</v>
      </c>
      <c r="K1" s="27"/>
      <c r="L1" s="51"/>
      <c r="M1" s="52" t="b">
        <f>IF($C$2="Base contract","Blist",IF($C$2="Contract Amendment","Alist"))</f>
        <v>0</v>
      </c>
      <c r="N1" s="53"/>
      <c r="O1" s="29"/>
      <c r="P1" s="53"/>
      <c r="Q1" s="53"/>
      <c r="R1" s="53"/>
      <c r="S1" s="53"/>
      <c r="T1" s="53"/>
      <c r="U1" s="38"/>
      <c r="V1" s="115" t="s">
        <v>312</v>
      </c>
      <c r="W1" s="112"/>
      <c r="X1" s="545"/>
      <c r="Y1" s="545"/>
      <c r="Z1" s="581" t="s">
        <v>313</v>
      </c>
      <c r="AA1" s="582"/>
      <c r="AB1" s="582"/>
      <c r="AC1" s="582"/>
      <c r="AD1" s="582"/>
      <c r="AE1" s="582"/>
      <c r="AF1" s="54"/>
      <c r="AG1" s="65" t="s">
        <v>314</v>
      </c>
      <c r="AH1" s="115" t="s">
        <v>315</v>
      </c>
      <c r="AI1" s="55" t="s">
        <v>253</v>
      </c>
      <c r="AJ1" s="546" t="s">
        <v>316</v>
      </c>
      <c r="AK1" s="102" t="s">
        <v>317</v>
      </c>
      <c r="AL1" s="54"/>
      <c r="AM1" s="54"/>
      <c r="AN1" s="57"/>
      <c r="AO1" s="46" t="s">
        <v>318</v>
      </c>
      <c r="AP1" s="56"/>
      <c r="AQ1" s="56"/>
      <c r="AR1" s="56"/>
      <c r="AS1" s="56"/>
      <c r="AU1" s="69" t="s">
        <v>319</v>
      </c>
      <c r="BC1" s="53"/>
      <c r="BD1" s="110"/>
    </row>
    <row r="2" spans="1:56" ht="24" customHeight="1" x14ac:dyDescent="0.25">
      <c r="A2" s="588" t="s">
        <v>320</v>
      </c>
      <c r="B2" s="589"/>
      <c r="C2" s="551">
        <f>'Cover Sheet'!B6</f>
        <v>0</v>
      </c>
      <c r="D2" s="218"/>
      <c r="E2" s="281"/>
      <c r="F2" s="282"/>
      <c r="G2" s="283" t="s">
        <v>1077</v>
      </c>
      <c r="H2" s="284" t="str">
        <f>I2</f>
        <v>Not Started</v>
      </c>
      <c r="I2" s="25" t="str">
        <f>IF(OR($C$3="Yes, section requirements are not applicable",$C$3="Yes, all requirements on the sheet are crosshatched",AND(E8="N/A",E10="N/A",E18="N/A",E20="N/A",E34="N/A",E39="N/A")),"Section Review N/A",IF((COUNTA(A8:A40)+COUNTBLANK(A8:A40)=COUNTBLANK(E8:E40)),"Not Started",IF((COUNTA(A8:A40)&gt;SUM(U8:U40)),"In Progress","Section Review Complete")))</f>
        <v>Not Started</v>
      </c>
      <c r="J2" s="25" t="s">
        <v>322</v>
      </c>
      <c r="K2" s="27" t="s">
        <v>323</v>
      </c>
      <c r="L2" s="27"/>
      <c r="M2" s="28"/>
      <c r="N2" s="53"/>
      <c r="O2" s="29"/>
      <c r="P2" s="53"/>
      <c r="Q2" s="53"/>
      <c r="R2" s="53"/>
      <c r="S2" s="53"/>
      <c r="T2" s="53"/>
      <c r="U2" s="38"/>
      <c r="V2" s="58">
        <f>'Cover Sheet'!B19</f>
        <v>0</v>
      </c>
      <c r="W2" s="59"/>
      <c r="X2" s="59"/>
      <c r="Y2" s="59"/>
      <c r="Z2" s="54" t="str">
        <f>IF('Cover Sheet'!$B$13="Yes","MCO","--")</f>
        <v>MCO</v>
      </c>
      <c r="AA2" s="54" t="str">
        <f>IF('Cover Sheet'!$B$14="Yes","HIO","--")</f>
        <v>--</v>
      </c>
      <c r="AB2" s="54" t="str">
        <f>IF('Cover Sheet'!$B$15="Yes","PIHP","--")</f>
        <v>--</v>
      </c>
      <c r="AC2" s="54" t="str">
        <f>IF('Cover Sheet'!$B$16="Yes","PAHP","--")</f>
        <v>--</v>
      </c>
      <c r="AD2" s="54" t="str">
        <f>IF('Cover Sheet'!$B$17="Yes","NEMT PAHP","--")</f>
        <v>--</v>
      </c>
      <c r="AE2" s="54" t="str">
        <f>IF('Cover Sheet'!$B$18="Yes","PCCME","--")</f>
        <v>--</v>
      </c>
      <c r="AF2" s="54"/>
      <c r="AG2" s="53" t="e">
        <f>IF(OR('Cover Sheet'!$B$4="Medicaid", 'Cover Sheet'!$B$4="Both"),IF(OR('Cover Sheet'!$B$23="",'Cover Sheet'!#REF!=""),TRUE,FALSE), IF('Cover Sheet'!$B$4="CHIP",IF('Cover Sheet'!$B$23="",TRUE,FALSE),TRUE))</f>
        <v>#REF!</v>
      </c>
      <c r="AH2" s="60" t="e">
        <f>IF($AG$2=FALSE,'Cover Sheet'!$B$23,"")</f>
        <v>#REF!</v>
      </c>
      <c r="AI2" s="60" t="e">
        <f>IF($AG$2=FALSE,'Cover Sheet'!#REF!,"")</f>
        <v>#REF!</v>
      </c>
      <c r="AJ2" s="29" t="b">
        <f>IF('Cover Sheet'!$B$7="",TRUE,FALSE)</f>
        <v>1</v>
      </c>
      <c r="AK2" s="103" t="str">
        <f>IF($AJ$2=FALSE,'Cover Sheet'!$B$7,"")</f>
        <v/>
      </c>
      <c r="AL2" s="54"/>
      <c r="AM2" s="54"/>
      <c r="AN2" s="57"/>
      <c r="AO2" s="61">
        <f>IF('Cover Sheet'!$B$4="BOTH",1,0)</f>
        <v>1</v>
      </c>
      <c r="AP2" s="56"/>
      <c r="AQ2" s="56" t="s">
        <v>224</v>
      </c>
      <c r="AR2" s="56"/>
      <c r="AS2" s="56"/>
      <c r="BC2" s="53"/>
      <c r="BD2" s="110"/>
    </row>
    <row r="3" spans="1:56" ht="14.25" customHeight="1" thickBot="1" x14ac:dyDescent="0.3">
      <c r="A3" s="305" t="s">
        <v>324</v>
      </c>
      <c r="B3" s="306"/>
      <c r="C3" s="307" t="s">
        <v>325</v>
      </c>
      <c r="D3" s="226"/>
      <c r="E3" s="285"/>
      <c r="F3" s="286"/>
      <c r="G3" s="287" t="s">
        <v>326</v>
      </c>
      <c r="H3" s="288" t="str">
        <f>I3</f>
        <v>Not Started</v>
      </c>
      <c r="I3" s="25" t="str">
        <f>IF(OR($C$3="Yes, section requirements are not applicable",$C$3="Yes, all requirements on the sheet are crosshatched",AND(E8="N/A",E10="N/A",E18="N/A",E20="N/A",E34="N/A",E39="N/A")),"Section Review N/A",IF((COUNTA(A8:A40)+COUNTBLANK(A8:A40))=COUNTBLANK(E8:E40),"Not Started",IF(OR(COUNTA(A8:A40)+COUNTBLANK(A8:A40)&lt;&gt;COUNTIF(E8:E40,"Yes")+COUNTIF(E8:E40,"Met")+COUNTIF(E8:E40,"N/A")+COUNTBLANK(E8:E40),COUNTA(A8:A40)&lt;&gt;SUM(U8:U40)),"Revisions Needed","Approved")))</f>
        <v>Not Started</v>
      </c>
      <c r="J3" s="25" t="s">
        <v>327</v>
      </c>
      <c r="K3" s="27" t="s">
        <v>325</v>
      </c>
      <c r="L3" s="27"/>
      <c r="M3" s="28"/>
      <c r="N3" s="53"/>
      <c r="O3" s="29"/>
      <c r="P3" s="53"/>
      <c r="Q3" s="53"/>
      <c r="R3" s="53"/>
      <c r="S3" s="53"/>
      <c r="T3" s="54"/>
      <c r="U3" s="38"/>
      <c r="V3" s="54"/>
      <c r="W3" s="54"/>
      <c r="X3" s="56"/>
      <c r="Y3" s="56"/>
      <c r="Z3" s="56"/>
      <c r="AA3" s="56"/>
      <c r="AB3" s="56"/>
      <c r="AC3" s="56"/>
      <c r="AD3" s="56"/>
      <c r="AE3" s="56"/>
      <c r="AF3" s="54"/>
      <c r="AG3" s="54"/>
      <c r="AH3" s="54"/>
      <c r="AI3" s="56"/>
      <c r="AJ3" s="56"/>
      <c r="AK3" s="54"/>
      <c r="AL3" s="54"/>
      <c r="AM3" s="54"/>
      <c r="AN3" s="57"/>
      <c r="AO3" s="54"/>
      <c r="AP3" s="56"/>
      <c r="AQ3" s="56"/>
      <c r="AR3" s="56"/>
      <c r="AS3" s="56"/>
      <c r="BC3" s="53"/>
      <c r="BD3" s="110"/>
    </row>
    <row r="4" spans="1:56" ht="14.25" hidden="1" customHeight="1" x14ac:dyDescent="0.25">
      <c r="A4" s="231"/>
      <c r="B4" s="232"/>
      <c r="C4" s="289"/>
      <c r="D4" s="234"/>
      <c r="E4" s="231"/>
      <c r="F4" s="290"/>
      <c r="G4" s="290"/>
      <c r="H4" s="290"/>
      <c r="I4" s="25"/>
      <c r="J4" s="25" t="s">
        <v>319</v>
      </c>
      <c r="K4" s="27"/>
      <c r="L4" s="27"/>
      <c r="M4" s="28"/>
      <c r="N4" s="53"/>
      <c r="O4" s="29"/>
      <c r="P4" s="53"/>
      <c r="Q4" s="53"/>
      <c r="R4" s="53"/>
      <c r="S4" s="53"/>
      <c r="T4" s="54"/>
      <c r="U4" s="38"/>
      <c r="V4" s="54"/>
      <c r="W4" s="54"/>
      <c r="X4" s="56"/>
      <c r="Y4" s="56"/>
      <c r="Z4" s="56"/>
      <c r="AA4" s="56"/>
      <c r="AB4" s="56"/>
      <c r="AC4" s="56"/>
      <c r="AD4" s="56"/>
      <c r="AE4" s="56"/>
      <c r="AF4" s="54"/>
      <c r="AG4" s="54"/>
      <c r="AH4" s="54"/>
      <c r="AI4" s="56"/>
      <c r="AJ4" s="56"/>
      <c r="AK4" s="54"/>
      <c r="AL4" s="54"/>
      <c r="AM4" s="54"/>
      <c r="AN4" s="57"/>
      <c r="AO4" s="54"/>
      <c r="AP4" s="56"/>
      <c r="AQ4" s="56"/>
      <c r="AR4" s="56"/>
      <c r="AS4" s="56"/>
      <c r="BC4" s="53"/>
      <c r="BD4" s="110"/>
    </row>
    <row r="5" spans="1:56" ht="14.25" hidden="1" customHeight="1" x14ac:dyDescent="0.25">
      <c r="A5" s="237"/>
      <c r="B5" s="238"/>
      <c r="C5" s="291"/>
      <c r="D5" s="239"/>
      <c r="E5" s="237"/>
      <c r="F5" s="292"/>
      <c r="G5" s="292"/>
      <c r="H5" s="292"/>
      <c r="I5" s="25"/>
      <c r="J5" s="25"/>
      <c r="K5" s="27"/>
      <c r="L5" s="27"/>
      <c r="M5" s="28"/>
      <c r="N5" s="53"/>
      <c r="O5" s="29"/>
      <c r="P5" s="53"/>
      <c r="Q5" s="53"/>
      <c r="R5" s="53"/>
      <c r="S5" s="53" t="s">
        <v>330</v>
      </c>
      <c r="T5" s="54"/>
      <c r="U5" s="38"/>
      <c r="V5" s="54"/>
      <c r="W5" s="54"/>
      <c r="X5" s="56"/>
      <c r="Y5" s="56"/>
      <c r="Z5" s="56"/>
      <c r="AA5" s="56"/>
      <c r="AB5" s="56"/>
      <c r="AC5" s="56"/>
      <c r="AD5" s="56"/>
      <c r="AE5" s="56"/>
      <c r="AF5" s="54"/>
      <c r="AG5" s="54"/>
      <c r="AH5" s="54"/>
      <c r="AI5" s="56"/>
      <c r="AJ5" s="56"/>
      <c r="AK5" s="54"/>
      <c r="AL5" s="54"/>
      <c r="AM5" s="54"/>
      <c r="AN5" s="57"/>
      <c r="AO5" s="54"/>
      <c r="AP5" s="56"/>
      <c r="AQ5" s="56"/>
      <c r="AR5" s="56"/>
      <c r="AS5" s="56"/>
      <c r="AU5" s="69" t="s">
        <v>331</v>
      </c>
      <c r="BC5" s="53"/>
      <c r="BD5" s="110"/>
    </row>
    <row r="6" spans="1:56" ht="18" hidden="1" customHeight="1" thickBot="1" x14ac:dyDescent="0.3">
      <c r="A6" s="242"/>
      <c r="B6" s="243"/>
      <c r="C6" s="244"/>
      <c r="D6" s="245"/>
      <c r="E6" s="246"/>
      <c r="F6" s="247"/>
      <c r="G6" s="247"/>
      <c r="H6" s="247"/>
      <c r="I6" s="26" t="s">
        <v>466</v>
      </c>
      <c r="J6" s="25"/>
      <c r="K6" s="32"/>
      <c r="L6" s="25"/>
      <c r="M6" s="53"/>
      <c r="N6" s="53"/>
      <c r="O6" s="53"/>
      <c r="P6" s="33" t="s">
        <v>332</v>
      </c>
      <c r="Q6" s="33" t="s">
        <v>333</v>
      </c>
      <c r="R6" s="33" t="s">
        <v>334</v>
      </c>
      <c r="S6" s="63"/>
      <c r="T6" s="66"/>
      <c r="U6" s="38"/>
      <c r="V6" s="54"/>
      <c r="W6" s="54"/>
      <c r="X6" s="101" t="s">
        <v>351</v>
      </c>
      <c r="Y6" s="101" t="s">
        <v>352</v>
      </c>
      <c r="Z6" s="101"/>
      <c r="AA6" s="101"/>
      <c r="AB6" s="101"/>
      <c r="AC6" s="101"/>
      <c r="AD6" s="101"/>
      <c r="AE6" s="101"/>
      <c r="AF6" s="54"/>
      <c r="AG6" s="54"/>
      <c r="AH6" s="54"/>
      <c r="AI6" s="54"/>
      <c r="AJ6" s="575" t="s">
        <v>335</v>
      </c>
      <c r="AK6" s="576"/>
      <c r="AL6" s="577"/>
      <c r="AM6" s="57"/>
      <c r="AN6" s="57"/>
      <c r="AO6" s="54"/>
      <c r="AP6" s="56"/>
      <c r="AQ6" s="56"/>
      <c r="AR6" s="56" t="s">
        <v>336</v>
      </c>
      <c r="AS6" s="56"/>
      <c r="BC6" s="63"/>
      <c r="BD6" s="110"/>
    </row>
    <row r="7" spans="1:56" ht="39.6" customHeight="1" thickBot="1" x14ac:dyDescent="0.3">
      <c r="A7" s="249" t="s">
        <v>337</v>
      </c>
      <c r="B7" s="250" t="s">
        <v>338</v>
      </c>
      <c r="C7" s="251" t="s">
        <v>339</v>
      </c>
      <c r="D7" s="251" t="s">
        <v>340</v>
      </c>
      <c r="E7" s="251" t="s">
        <v>341</v>
      </c>
      <c r="F7" s="251" t="s">
        <v>342</v>
      </c>
      <c r="G7" s="251" t="s">
        <v>343</v>
      </c>
      <c r="H7" s="293" t="s">
        <v>344</v>
      </c>
      <c r="I7" s="34" t="s">
        <v>168</v>
      </c>
      <c r="J7" s="34" t="s">
        <v>178</v>
      </c>
      <c r="K7" s="34" t="s">
        <v>185</v>
      </c>
      <c r="L7" s="35" t="s">
        <v>190</v>
      </c>
      <c r="M7" s="36" t="s">
        <v>195</v>
      </c>
      <c r="N7" s="37" t="s">
        <v>345</v>
      </c>
      <c r="O7" s="37" t="s">
        <v>200</v>
      </c>
      <c r="P7" s="38"/>
      <c r="Q7" s="38"/>
      <c r="R7" s="38"/>
      <c r="S7" s="39" t="s">
        <v>346</v>
      </c>
      <c r="T7" s="49" t="s">
        <v>347</v>
      </c>
      <c r="U7" s="105" t="s">
        <v>467</v>
      </c>
      <c r="V7" s="101" t="s">
        <v>349</v>
      </c>
      <c r="W7" s="101" t="s">
        <v>353</v>
      </c>
      <c r="X7" s="158"/>
      <c r="Y7" s="158"/>
      <c r="Z7" s="158" t="s">
        <v>168</v>
      </c>
      <c r="AA7" s="158" t="s">
        <v>178</v>
      </c>
      <c r="AB7" s="158" t="s">
        <v>185</v>
      </c>
      <c r="AC7" s="158" t="s">
        <v>190</v>
      </c>
      <c r="AD7" s="158" t="s">
        <v>195</v>
      </c>
      <c r="AE7" s="158" t="s">
        <v>200</v>
      </c>
      <c r="AF7" s="101" t="s">
        <v>354</v>
      </c>
      <c r="AG7" s="101" t="s">
        <v>355</v>
      </c>
      <c r="AH7" s="101" t="s">
        <v>356</v>
      </c>
      <c r="AI7" s="101" t="s">
        <v>357</v>
      </c>
      <c r="AJ7" s="70" t="s">
        <v>358</v>
      </c>
      <c r="AK7" s="70" t="s">
        <v>359</v>
      </c>
      <c r="AL7" s="70" t="s">
        <v>360</v>
      </c>
      <c r="AM7" s="70" t="s">
        <v>361</v>
      </c>
      <c r="AN7" s="70" t="s">
        <v>362</v>
      </c>
      <c r="AO7" s="104" t="s">
        <v>363</v>
      </c>
      <c r="AP7" s="70" t="s">
        <v>364</v>
      </c>
      <c r="AQ7" s="70" t="s">
        <v>365</v>
      </c>
      <c r="AR7" s="56" t="s">
        <v>366</v>
      </c>
      <c r="AS7" s="56" t="s">
        <v>367</v>
      </c>
      <c r="AT7" s="69" t="s">
        <v>368</v>
      </c>
      <c r="AU7" s="69" t="s">
        <v>331</v>
      </c>
      <c r="AV7" s="80" t="s">
        <v>369</v>
      </c>
      <c r="AW7" s="80" t="s">
        <v>370</v>
      </c>
      <c r="AX7" s="80" t="s">
        <v>371</v>
      </c>
      <c r="AY7" s="80" t="s">
        <v>372</v>
      </c>
      <c r="AZ7" s="81" t="s">
        <v>373</v>
      </c>
      <c r="BA7" s="82" t="s">
        <v>374</v>
      </c>
      <c r="BB7" s="83" t="s">
        <v>375</v>
      </c>
      <c r="BC7" s="39" t="s">
        <v>347</v>
      </c>
      <c r="BD7" s="110" t="s">
        <v>376</v>
      </c>
    </row>
    <row r="8" spans="1:56" ht="16.149999999999999" customHeight="1" thickBot="1" x14ac:dyDescent="0.3">
      <c r="A8" s="450"/>
      <c r="B8" s="451"/>
      <c r="C8" s="452" t="s">
        <v>1952</v>
      </c>
      <c r="D8" s="442"/>
      <c r="E8" s="443"/>
      <c r="F8" s="444"/>
      <c r="G8" s="444"/>
      <c r="H8" s="445"/>
      <c r="I8" s="74"/>
      <c r="J8" s="74"/>
      <c r="K8" s="74"/>
      <c r="L8" s="87"/>
      <c r="M8" s="87"/>
      <c r="S8" s="116"/>
      <c r="AF8" s="86"/>
      <c r="AN8" s="89"/>
      <c r="AO8" s="89"/>
      <c r="AP8" s="89"/>
      <c r="AQ8" s="89"/>
      <c r="AR8" s="68"/>
      <c r="AS8" s="68"/>
      <c r="BC8" s="116"/>
      <c r="BD8" s="110"/>
    </row>
    <row r="9" spans="1:56" ht="237.6" customHeight="1" x14ac:dyDescent="0.25">
      <c r="A9" s="294" t="s">
        <v>1953</v>
      </c>
      <c r="B9" s="295" t="s">
        <v>1954</v>
      </c>
      <c r="C9" s="295" t="s">
        <v>1955</v>
      </c>
      <c r="D9" s="504" t="s">
        <v>1956</v>
      </c>
      <c r="E9" s="297"/>
      <c r="F9" s="297"/>
      <c r="G9" s="297"/>
      <c r="H9" s="214"/>
      <c r="I9" s="92" t="s">
        <v>168</v>
      </c>
      <c r="J9" s="92" t="s">
        <v>178</v>
      </c>
      <c r="K9" s="92" t="s">
        <v>185</v>
      </c>
      <c r="L9" s="71" t="s">
        <v>190</v>
      </c>
      <c r="M9" s="71" t="s">
        <v>195</v>
      </c>
      <c r="N9" s="71"/>
      <c r="O9" s="166" t="s">
        <v>200</v>
      </c>
      <c r="P9" s="71" t="s">
        <v>380</v>
      </c>
      <c r="Q9" s="71" t="b">
        <f>IF(OR(AND($C$2="Base contract",$C$3="No, section requirements must be reviewed", $AF9=FALSE,$AG9=FALSE),AND($C$2="Contract amendment",$C$3="No, section requirements must be reviewed",$AF9=FALSE,$AG9=FALSE)),"MUNN")</f>
        <v>0</v>
      </c>
      <c r="R9" s="71"/>
      <c r="S9" s="71"/>
      <c r="T9" s="71"/>
      <c r="U9" s="97">
        <f>IF(OR($E$8="N/A",AND(BD9=0,'Cover Sheet'!$B$29="Streamlined Review"),AND(E9="Met",F9&lt;&gt;""),AND(E9="Not met",G9&lt;&gt;""),AND(E9="Unsure",G9&lt;&gt;""),AND(E9="N/A",H9&lt;&gt;""),AND(Y9=TRUE)),1,0)</f>
        <v>0</v>
      </c>
      <c r="X9" s="126" t="b">
        <f>IF(OR(Y9=TRUE,W9=TRUE,AM9=TRUE),TRUE,FALSE)</f>
        <v>0</v>
      </c>
      <c r="Y9" s="126" t="b">
        <f>IF(SUM(Z9:AE9)&lt;1,TRUE,FALSE)</f>
        <v>0</v>
      </c>
      <c r="Z9" s="126">
        <f>IF($Z$2=I9,1,0)</f>
        <v>1</v>
      </c>
      <c r="AA9" s="126">
        <f>IF($AA$2=J9,1,0)</f>
        <v>0</v>
      </c>
      <c r="AB9" s="126">
        <f>IF($AB$2=K9,1,0)</f>
        <v>0</v>
      </c>
      <c r="AC9" s="126">
        <f>IF($AC$2=L9,1,0)</f>
        <v>0</v>
      </c>
      <c r="AD9" s="126">
        <f>IF($AD$2=M9,1,0)</f>
        <v>0</v>
      </c>
      <c r="AE9" s="126">
        <f>IF($AE$2=O9,1,0)</f>
        <v>0</v>
      </c>
      <c r="AF9" s="53" t="b">
        <f>IF($H$1&lt;&gt;0,IF($H$1&lt;&gt;I9,IF($H$1&lt;&gt;J9,IF($H$1&lt;&gt;K9,IF($H$1&lt;&gt;L9,IF($H$1&lt;&gt;M9,IF($H$1&lt;&gt;N9,IF($H$1&lt;&gt;O9,TRUE,FALSE))))))))</f>
        <v>0</v>
      </c>
      <c r="AG9" s="54" t="b">
        <f>IF(OR(AL9=TRUE,AM9=TRUE),TRUE,FALSE)</f>
        <v>0</v>
      </c>
      <c r="AL9" s="56" t="b">
        <f>IF(AND('Cover Sheet'!$B$19="Non-Risk",$R9=1),TRUE,FALSE)</f>
        <v>0</v>
      </c>
      <c r="AM9" s="56" t="b">
        <f>IF(OR(AND($H$6="Medicaid",MID($A9,1,FIND(".",$A9,1)-1)="II"),AND($H$6="CHIP",MID($A9,1,FIND(".",$A9,1)-1)="I")),TRUE,FALSE)</f>
        <v>0</v>
      </c>
      <c r="AO9" s="121"/>
      <c r="AP9" s="68"/>
      <c r="AQ9" s="68"/>
      <c r="AR9" s="68"/>
      <c r="AS9" s="68"/>
      <c r="AT9" s="69">
        <v>1</v>
      </c>
      <c r="AU9" s="69">
        <f>IF(AT9=1,1,"")</f>
        <v>1</v>
      </c>
      <c r="BC9" s="116"/>
      <c r="BD9" s="110">
        <v>1</v>
      </c>
    </row>
    <row r="10" spans="1:56" ht="15.75" thickBot="1" x14ac:dyDescent="0.3">
      <c r="A10" s="450"/>
      <c r="B10" s="451"/>
      <c r="C10" s="452" t="s">
        <v>82</v>
      </c>
      <c r="D10" s="442"/>
      <c r="E10" s="443"/>
      <c r="F10" s="444"/>
      <c r="G10" s="444"/>
      <c r="H10" s="445"/>
      <c r="I10" s="74"/>
      <c r="J10" s="74"/>
      <c r="K10" s="74"/>
      <c r="L10" s="87"/>
      <c r="M10" s="87"/>
      <c r="S10" s="116"/>
      <c r="U10" s="126"/>
      <c r="AL10" s="68"/>
      <c r="AM10" s="68"/>
      <c r="AO10" s="121"/>
      <c r="AP10" s="68"/>
      <c r="AQ10" s="68"/>
      <c r="AR10" s="68"/>
      <c r="AS10" s="68"/>
      <c r="BC10" s="116"/>
      <c r="BD10" s="110"/>
    </row>
    <row r="11" spans="1:56" ht="64.5" x14ac:dyDescent="0.25">
      <c r="A11" s="294" t="s">
        <v>1957</v>
      </c>
      <c r="B11" s="295" t="s">
        <v>1958</v>
      </c>
      <c r="C11" s="295" t="s">
        <v>1959</v>
      </c>
      <c r="D11" s="470" t="s">
        <v>1960</v>
      </c>
      <c r="E11" s="297"/>
      <c r="F11" s="297"/>
      <c r="G11" s="297"/>
      <c r="H11" s="214"/>
      <c r="I11" s="92" t="s">
        <v>168</v>
      </c>
      <c r="J11" s="92" t="s">
        <v>178</v>
      </c>
      <c r="K11" s="92" t="s">
        <v>185</v>
      </c>
      <c r="L11" s="71" t="s">
        <v>190</v>
      </c>
      <c r="M11" s="71"/>
      <c r="N11" s="71"/>
      <c r="O11" s="71"/>
      <c r="P11" s="71" t="s">
        <v>380</v>
      </c>
      <c r="Q11" s="71" t="b">
        <f t="shared" ref="Q11:Q17" si="0">IF(OR(AND($C$2="Base contract",$C$3="No, section requirements must be reviewed", $AF11=FALSE,$AG11=FALSE),AND($C$2="Contract amendment",$C$3="No, section requirements must be reviewed",$AF11=FALSE,$AG11=FALSE)),"MUNN")</f>
        <v>0</v>
      </c>
      <c r="R11" s="71"/>
      <c r="S11" s="64">
        <v>42917</v>
      </c>
      <c r="T11" s="71"/>
      <c r="U11" s="97">
        <f>IF(OR($E$10="N/A",AND(BD11=0,'Cover Sheet'!$B$29="Streamlined Review"),AND(E11="Met",F11&lt;&gt;""),AND(E11="Not met",G11&lt;&gt;""),AND(E11="Unsure",G11&lt;&gt;""),AND(E11="N/A",H11&lt;&gt;""),AND(Y11=TRUE)),1,0)</f>
        <v>0</v>
      </c>
      <c r="X11" s="126" t="b">
        <f t="shared" ref="X11:X16" si="1">IF(OR(Y11=TRUE,W11=TRUE,AM11=TRUE),TRUE,FALSE)</f>
        <v>0</v>
      </c>
      <c r="Y11" s="126" t="b">
        <f t="shared" ref="Y11:Y16" si="2">IF(SUM(Z11:AE11)&lt;1,TRUE,FALSE)</f>
        <v>0</v>
      </c>
      <c r="Z11" s="126">
        <f t="shared" ref="Z11:Z16" si="3">IF($Z$2=I11,1,0)</f>
        <v>1</v>
      </c>
      <c r="AA11" s="126">
        <f t="shared" ref="AA11:AA16" si="4">IF($AA$2=J11,1,0)</f>
        <v>0</v>
      </c>
      <c r="AB11" s="126">
        <f t="shared" ref="AB11:AB16" si="5">IF($AB$2=K11,1,0)</f>
        <v>0</v>
      </c>
      <c r="AC11" s="126">
        <f t="shared" ref="AC11:AC16" si="6">IF($AC$2=L11,1,0)</f>
        <v>0</v>
      </c>
      <c r="AD11" s="126">
        <f t="shared" ref="AD11:AD16" si="7">IF($AD$2=M11,1,0)</f>
        <v>0</v>
      </c>
      <c r="AE11" s="126">
        <f t="shared" ref="AE11:AE16" si="8">IF($AE$2=O11,1,0)</f>
        <v>0</v>
      </c>
      <c r="AF11" s="53" t="b">
        <f t="shared" ref="AF11:AF29" si="9">IF($H$1&lt;&gt;0,IF($H$1&lt;&gt;I11,IF($H$1&lt;&gt;J11,IF($H$1&lt;&gt;K11,IF($H$1&lt;&gt;L11,IF($H$1&lt;&gt;M11,IF($H$1&lt;&gt;N11,IF($H$1&lt;&gt;O11,TRUE,FALSE))))))))</f>
        <v>0</v>
      </c>
      <c r="AG11" s="54" t="b">
        <f t="shared" ref="AG11:AG16" si="10">IF(OR(AL11=TRUE,AM11=TRUE),TRUE,FALSE)</f>
        <v>0</v>
      </c>
      <c r="AL11" s="56" t="b">
        <f>IF(AND('Cover Sheet'!$B$19="Non-Risk",$R11=1),TRUE,FALSE)</f>
        <v>0</v>
      </c>
      <c r="AM11" s="56" t="b">
        <f t="shared" ref="AM11:AM17" si="11">IF(OR(AND($H$6="Medicaid",MID($A11,1,FIND(".",$A11,1)-1)="II"),AND($H$6="CHIP",MID($A11,1,FIND(".",$A11,1)-1)="I")),TRUE,FALSE)</f>
        <v>0</v>
      </c>
      <c r="AO11" s="121"/>
      <c r="AP11" s="68"/>
      <c r="AQ11" s="68"/>
      <c r="AR11" s="68"/>
      <c r="AS11" s="68"/>
      <c r="AU11" s="69" t="str">
        <f t="shared" ref="AU11:AU16" si="12">IF(AT11=1,1,"")</f>
        <v/>
      </c>
      <c r="BD11" s="110">
        <v>1</v>
      </c>
    </row>
    <row r="12" spans="1:56" ht="89.25" x14ac:dyDescent="0.25">
      <c r="A12" s="294" t="s">
        <v>1961</v>
      </c>
      <c r="B12" s="295" t="s">
        <v>1962</v>
      </c>
      <c r="C12" s="295" t="s">
        <v>1963</v>
      </c>
      <c r="D12" s="447">
        <v>9</v>
      </c>
      <c r="E12" s="297"/>
      <c r="F12" s="297"/>
      <c r="G12" s="297"/>
      <c r="H12" s="214"/>
      <c r="I12" s="92" t="s">
        <v>168</v>
      </c>
      <c r="J12" s="92" t="s">
        <v>178</v>
      </c>
      <c r="K12" s="92" t="s">
        <v>185</v>
      </c>
      <c r="L12" s="166" t="s">
        <v>190</v>
      </c>
      <c r="M12" s="71"/>
      <c r="N12" s="71"/>
      <c r="O12" s="71"/>
      <c r="P12" s="71" t="s">
        <v>380</v>
      </c>
      <c r="Q12" s="71" t="b">
        <f t="shared" si="0"/>
        <v>0</v>
      </c>
      <c r="R12" s="71"/>
      <c r="S12" s="64"/>
      <c r="T12" s="71"/>
      <c r="U12" s="97">
        <f>IF(OR($E$10="N/A",AND(BD12=0,'Cover Sheet'!$B$29="Streamlined Review"),AND(E12="Met",F12&lt;&gt;""),AND(E12="Not met",G12&lt;&gt;""),AND(E12="Unsure",G12&lt;&gt;""),AND(E12="N/A",H12&lt;&gt;""),AND(Y12=TRUE)),1,0)</f>
        <v>0</v>
      </c>
      <c r="X12" s="126" t="b">
        <f t="shared" si="1"/>
        <v>0</v>
      </c>
      <c r="Y12" s="126" t="b">
        <f t="shared" si="2"/>
        <v>0</v>
      </c>
      <c r="Z12" s="126">
        <f t="shared" si="3"/>
        <v>1</v>
      </c>
      <c r="AA12" s="126">
        <f t="shared" si="4"/>
        <v>0</v>
      </c>
      <c r="AB12" s="126">
        <f t="shared" si="5"/>
        <v>0</v>
      </c>
      <c r="AC12" s="126">
        <f t="shared" si="6"/>
        <v>0</v>
      </c>
      <c r="AD12" s="126">
        <f t="shared" si="7"/>
        <v>0</v>
      </c>
      <c r="AE12" s="126">
        <f t="shared" si="8"/>
        <v>0</v>
      </c>
      <c r="AF12" s="53" t="b">
        <f t="shared" si="9"/>
        <v>0</v>
      </c>
      <c r="AG12" s="54" t="b">
        <f t="shared" si="10"/>
        <v>0</v>
      </c>
      <c r="AL12" s="56" t="b">
        <f>IF(AND('Cover Sheet'!$B$19="Non-Risk",$R12=1),TRUE,FALSE)</f>
        <v>0</v>
      </c>
      <c r="AM12" s="56" t="b">
        <f t="shared" si="11"/>
        <v>0</v>
      </c>
      <c r="AO12" s="121"/>
      <c r="AP12" s="68"/>
      <c r="AQ12" s="68"/>
      <c r="AR12" s="68"/>
      <c r="AS12" s="68"/>
      <c r="AU12" s="69" t="str">
        <f t="shared" si="12"/>
        <v/>
      </c>
      <c r="BD12" s="110">
        <v>0</v>
      </c>
    </row>
    <row r="13" spans="1:56" ht="39" x14ac:dyDescent="0.25">
      <c r="A13" s="294" t="s">
        <v>1964</v>
      </c>
      <c r="B13" s="295" t="s">
        <v>1965</v>
      </c>
      <c r="C13" s="295" t="s">
        <v>1966</v>
      </c>
      <c r="D13" s="447">
        <v>9</v>
      </c>
      <c r="E13" s="297"/>
      <c r="F13" s="297"/>
      <c r="G13" s="297"/>
      <c r="H13" s="214"/>
      <c r="I13" s="92" t="s">
        <v>168</v>
      </c>
      <c r="J13" s="92" t="s">
        <v>178</v>
      </c>
      <c r="K13" s="92" t="s">
        <v>185</v>
      </c>
      <c r="L13" s="166" t="s">
        <v>190</v>
      </c>
      <c r="M13" s="71"/>
      <c r="N13" s="71"/>
      <c r="O13" s="71"/>
      <c r="P13" s="71" t="s">
        <v>380</v>
      </c>
      <c r="Q13" s="71" t="b">
        <f t="shared" si="0"/>
        <v>0</v>
      </c>
      <c r="R13" s="71"/>
      <c r="S13" s="64"/>
      <c r="T13" s="71"/>
      <c r="U13" s="97">
        <f>IF(OR($E$10="N/A",AND(BD13=0,'Cover Sheet'!$B$29="Streamlined Review"),AND(E13="Met",F13&lt;&gt;""),AND(E13="Not met",G13&lt;&gt;""),AND(E13="Unsure",G13&lt;&gt;""),AND(E13="N/A",H13&lt;&gt;""),AND(Y13=TRUE)),1,0)</f>
        <v>0</v>
      </c>
      <c r="X13" s="126" t="b">
        <f t="shared" si="1"/>
        <v>0</v>
      </c>
      <c r="Y13" s="126" t="b">
        <f t="shared" si="2"/>
        <v>0</v>
      </c>
      <c r="Z13" s="126">
        <f t="shared" si="3"/>
        <v>1</v>
      </c>
      <c r="AA13" s="126">
        <f t="shared" si="4"/>
        <v>0</v>
      </c>
      <c r="AB13" s="126">
        <f t="shared" si="5"/>
        <v>0</v>
      </c>
      <c r="AC13" s="126">
        <f t="shared" si="6"/>
        <v>0</v>
      </c>
      <c r="AD13" s="126">
        <f t="shared" si="7"/>
        <v>0</v>
      </c>
      <c r="AE13" s="126">
        <f t="shared" si="8"/>
        <v>0</v>
      </c>
      <c r="AF13" s="53" t="b">
        <f t="shared" si="9"/>
        <v>0</v>
      </c>
      <c r="AG13" s="54" t="b">
        <f t="shared" si="10"/>
        <v>0</v>
      </c>
      <c r="AL13" s="56" t="b">
        <f>IF(AND('Cover Sheet'!$B$19="Non-Risk",$R13=1),TRUE,FALSE)</f>
        <v>0</v>
      </c>
      <c r="AM13" s="56" t="b">
        <f t="shared" si="11"/>
        <v>0</v>
      </c>
      <c r="AO13" s="121"/>
      <c r="AP13" s="68"/>
      <c r="AQ13" s="68"/>
      <c r="AR13" s="68"/>
      <c r="AS13" s="68"/>
      <c r="AU13" s="69" t="str">
        <f t="shared" si="12"/>
        <v/>
      </c>
      <c r="BD13" s="110">
        <v>0</v>
      </c>
    </row>
    <row r="14" spans="1:56" ht="52.5" x14ac:dyDescent="0.25">
      <c r="A14" s="294" t="s">
        <v>1967</v>
      </c>
      <c r="B14" s="295" t="s">
        <v>1968</v>
      </c>
      <c r="C14" s="295" t="s">
        <v>1969</v>
      </c>
      <c r="D14" s="470" t="s">
        <v>1970</v>
      </c>
      <c r="E14" s="297"/>
      <c r="F14" s="297"/>
      <c r="G14" s="297"/>
      <c r="H14" s="214"/>
      <c r="I14" s="167" t="s">
        <v>168</v>
      </c>
      <c r="J14" s="167" t="s">
        <v>178</v>
      </c>
      <c r="K14" s="92" t="s">
        <v>185</v>
      </c>
      <c r="L14" s="71" t="s">
        <v>190</v>
      </c>
      <c r="M14" s="71"/>
      <c r="N14" s="71"/>
      <c r="O14" s="71"/>
      <c r="P14" s="71" t="s">
        <v>380</v>
      </c>
      <c r="Q14" s="71" t="b">
        <f t="shared" si="0"/>
        <v>0</v>
      </c>
      <c r="R14" s="71"/>
      <c r="S14" s="64">
        <v>43282</v>
      </c>
      <c r="T14" s="71"/>
      <c r="U14" s="97">
        <f>IF(OR($E$10="N/A",AND(BD14=0,'Cover Sheet'!$B$29="Streamlined Review"),AND(E14="Met",F14&lt;&gt;""),AND(E14="Not met",G14&lt;&gt;""),AND(E14="Unsure",G14&lt;&gt;""),AND(E14="N/A",H14&lt;&gt;""),AND(Y14=TRUE)),1,0)</f>
        <v>0</v>
      </c>
      <c r="X14" s="126" t="b">
        <f t="shared" si="1"/>
        <v>0</v>
      </c>
      <c r="Y14" s="126" t="b">
        <f t="shared" si="2"/>
        <v>0</v>
      </c>
      <c r="Z14" s="126">
        <f t="shared" si="3"/>
        <v>1</v>
      </c>
      <c r="AA14" s="126">
        <f t="shared" si="4"/>
        <v>0</v>
      </c>
      <c r="AB14" s="126">
        <f t="shared" si="5"/>
        <v>0</v>
      </c>
      <c r="AC14" s="126">
        <f t="shared" si="6"/>
        <v>0</v>
      </c>
      <c r="AD14" s="126">
        <f t="shared" si="7"/>
        <v>0</v>
      </c>
      <c r="AE14" s="126">
        <f t="shared" si="8"/>
        <v>0</v>
      </c>
      <c r="AF14" s="53" t="b">
        <f>IF($H$1&lt;&gt;0,IF($H$1&lt;&gt;I14,IF($H$1&lt;&gt;J14,IF($H$1&lt;&gt;K14,IF($H$1&lt;&gt;L14,IF($H$1&lt;&gt;M14,IF($H$1&lt;&gt;N14,IF($H$1&lt;&gt;O14,TRUE,FALSE))))))))</f>
        <v>0</v>
      </c>
      <c r="AG14" s="54" t="b">
        <f t="shared" si="10"/>
        <v>0</v>
      </c>
      <c r="AL14" s="56" t="b">
        <f>IF(AND('Cover Sheet'!$B$19="Non-Risk",$R14=1),TRUE,FALSE)</f>
        <v>0</v>
      </c>
      <c r="AM14" s="56" t="b">
        <f t="shared" si="11"/>
        <v>0</v>
      </c>
      <c r="AO14" s="121"/>
      <c r="AP14" s="68"/>
      <c r="AQ14" s="68"/>
      <c r="AR14" s="68"/>
      <c r="AS14" s="68"/>
      <c r="AU14" s="69" t="str">
        <f t="shared" si="12"/>
        <v/>
      </c>
      <c r="BD14" s="110">
        <v>1</v>
      </c>
    </row>
    <row r="15" spans="1:56" ht="46.5" customHeight="1" x14ac:dyDescent="0.25">
      <c r="A15" s="294" t="s">
        <v>1971</v>
      </c>
      <c r="B15" s="295" t="s">
        <v>1972</v>
      </c>
      <c r="C15" s="295" t="s">
        <v>1973</v>
      </c>
      <c r="D15" s="446"/>
      <c r="E15" s="297"/>
      <c r="F15" s="297"/>
      <c r="G15" s="297"/>
      <c r="H15" s="214"/>
      <c r="I15" s="92" t="s">
        <v>168</v>
      </c>
      <c r="J15" s="92" t="s">
        <v>178</v>
      </c>
      <c r="K15" s="92" t="s">
        <v>185</v>
      </c>
      <c r="L15" s="71" t="s">
        <v>190</v>
      </c>
      <c r="M15" s="71"/>
      <c r="N15" s="71"/>
      <c r="O15" s="71"/>
      <c r="P15" s="71" t="s">
        <v>380</v>
      </c>
      <c r="Q15" s="71" t="b">
        <f t="shared" si="0"/>
        <v>0</v>
      </c>
      <c r="R15" s="71">
        <v>1</v>
      </c>
      <c r="S15" s="64">
        <v>42917</v>
      </c>
      <c r="T15" s="71"/>
      <c r="U15" s="97">
        <f>IF(OR($E$10="N/A",AND(BD15=0,'Cover Sheet'!$B$29="Streamlined Review"),AND(E15="Met",F15&lt;&gt;""),AND(E15="Not met",G15&lt;&gt;""),AND(E15="Unsure",G15&lt;&gt;""),AND(E15="N/A",H15&lt;&gt;""),AND(Y15=TRUE)),1,0)</f>
        <v>0</v>
      </c>
      <c r="X15" s="126" t="b">
        <f t="shared" si="1"/>
        <v>0</v>
      </c>
      <c r="Y15" s="126" t="b">
        <f t="shared" si="2"/>
        <v>0</v>
      </c>
      <c r="Z15" s="126">
        <f t="shared" si="3"/>
        <v>1</v>
      </c>
      <c r="AA15" s="126">
        <f t="shared" si="4"/>
        <v>0</v>
      </c>
      <c r="AB15" s="126">
        <f t="shared" si="5"/>
        <v>0</v>
      </c>
      <c r="AC15" s="126">
        <f t="shared" si="6"/>
        <v>0</v>
      </c>
      <c r="AD15" s="126">
        <f t="shared" si="7"/>
        <v>0</v>
      </c>
      <c r="AE15" s="126">
        <f t="shared" si="8"/>
        <v>0</v>
      </c>
      <c r="AF15" s="53" t="b">
        <f t="shared" si="9"/>
        <v>0</v>
      </c>
      <c r="AG15" s="54" t="b">
        <f t="shared" si="10"/>
        <v>0</v>
      </c>
      <c r="AL15" s="56" t="b">
        <f>IF(AND('Cover Sheet'!$B$19="Non-Risk",$R15=1),TRUE,FALSE)</f>
        <v>0</v>
      </c>
      <c r="AM15" s="56" t="b">
        <f t="shared" si="11"/>
        <v>0</v>
      </c>
      <c r="AO15" s="121"/>
      <c r="AP15" s="68"/>
      <c r="AQ15" s="68"/>
      <c r="AR15" s="68"/>
      <c r="AS15" s="68"/>
      <c r="AU15" s="69" t="str">
        <f t="shared" si="12"/>
        <v/>
      </c>
      <c r="BD15" s="110">
        <v>0</v>
      </c>
    </row>
    <row r="16" spans="1:56" ht="52.5" customHeight="1" x14ac:dyDescent="0.25">
      <c r="A16" s="294" t="s">
        <v>1974</v>
      </c>
      <c r="B16" s="295" t="s">
        <v>1975</v>
      </c>
      <c r="C16" s="295" t="s">
        <v>1976</v>
      </c>
      <c r="D16" s="446"/>
      <c r="E16" s="297"/>
      <c r="F16" s="297"/>
      <c r="G16" s="297"/>
      <c r="H16" s="214"/>
      <c r="I16" s="92" t="s">
        <v>168</v>
      </c>
      <c r="J16" s="92" t="s">
        <v>178</v>
      </c>
      <c r="K16" s="92" t="s">
        <v>185</v>
      </c>
      <c r="L16" s="71" t="s">
        <v>190</v>
      </c>
      <c r="M16" s="71" t="s">
        <v>195</v>
      </c>
      <c r="N16" s="71"/>
      <c r="O16" s="71"/>
      <c r="P16" s="71" t="s">
        <v>380</v>
      </c>
      <c r="Q16" s="71" t="b">
        <f t="shared" si="0"/>
        <v>0</v>
      </c>
      <c r="R16" s="71"/>
      <c r="S16" s="64">
        <v>42917</v>
      </c>
      <c r="T16" s="71"/>
      <c r="U16" s="97">
        <f>IF(OR($E$10="N/A",AND(BD16=0,'Cover Sheet'!$B$29="Streamlined Review"),AND(E16="Met",F16&lt;&gt;""),AND(E16="Not met",G16&lt;&gt;""),AND(E16="Unsure",G16&lt;&gt;""),AND(E16="N/A",H16&lt;&gt;""),AND(Y16=TRUE)),1,0)</f>
        <v>0</v>
      </c>
      <c r="X16" s="126" t="b">
        <f t="shared" si="1"/>
        <v>0</v>
      </c>
      <c r="Y16" s="126" t="b">
        <f t="shared" si="2"/>
        <v>0</v>
      </c>
      <c r="Z16" s="126">
        <f t="shared" si="3"/>
        <v>1</v>
      </c>
      <c r="AA16" s="126">
        <f t="shared" si="4"/>
        <v>0</v>
      </c>
      <c r="AB16" s="126">
        <f t="shared" si="5"/>
        <v>0</v>
      </c>
      <c r="AC16" s="126">
        <f t="shared" si="6"/>
        <v>0</v>
      </c>
      <c r="AD16" s="126">
        <f t="shared" si="7"/>
        <v>0</v>
      </c>
      <c r="AE16" s="126">
        <f t="shared" si="8"/>
        <v>0</v>
      </c>
      <c r="AF16" s="53" t="b">
        <f t="shared" si="9"/>
        <v>0</v>
      </c>
      <c r="AG16" s="54" t="b">
        <f t="shared" si="10"/>
        <v>0</v>
      </c>
      <c r="AL16" s="56" t="b">
        <f>IF(AND('Cover Sheet'!$B$19="Non-Risk",$R16=1),TRUE,FALSE)</f>
        <v>0</v>
      </c>
      <c r="AM16" s="56" t="b">
        <f t="shared" si="11"/>
        <v>0</v>
      </c>
      <c r="AO16" s="121"/>
      <c r="AP16" s="68"/>
      <c r="AQ16" s="68"/>
      <c r="AR16" s="68"/>
      <c r="AS16" s="68"/>
      <c r="AU16" s="69" t="str">
        <f t="shared" si="12"/>
        <v/>
      </c>
      <c r="BD16" s="110">
        <v>0</v>
      </c>
    </row>
    <row r="17" spans="1:57" ht="52.5" customHeight="1" thickBot="1" x14ac:dyDescent="0.3">
      <c r="A17" s="294" t="s">
        <v>1977</v>
      </c>
      <c r="B17" s="295" t="s">
        <v>1978</v>
      </c>
      <c r="C17" s="295" t="s">
        <v>1979</v>
      </c>
      <c r="D17" s="446"/>
      <c r="E17" s="297"/>
      <c r="F17" s="297"/>
      <c r="G17" s="297"/>
      <c r="H17" s="214"/>
      <c r="I17" s="92" t="s">
        <v>168</v>
      </c>
      <c r="J17" s="92" t="s">
        <v>178</v>
      </c>
      <c r="K17" s="92" t="s">
        <v>185</v>
      </c>
      <c r="L17" s="71" t="s">
        <v>190</v>
      </c>
      <c r="M17" s="71" t="s">
        <v>195</v>
      </c>
      <c r="N17" s="71"/>
      <c r="O17" s="71"/>
      <c r="P17" s="71" t="s">
        <v>380</v>
      </c>
      <c r="Q17" s="71" t="b">
        <f t="shared" si="0"/>
        <v>0</v>
      </c>
      <c r="R17" s="71"/>
      <c r="S17" s="64">
        <v>45482</v>
      </c>
      <c r="T17" s="71"/>
      <c r="U17" s="97">
        <f>IF(OR($E$10="N/A",AND(BD17=0,'Cover Sheet'!$B$29="Streamlined Review"),AND(E17="Met",F17&lt;&gt;""),AND(E17="Not met",G17&lt;&gt;""),AND(E17="Unsure",G17&lt;&gt;""),AND(E17="N/A",H17&lt;&gt;""),AND(Y17=TRUE)),1,0)</f>
        <v>0</v>
      </c>
      <c r="X17" s="126" t="b">
        <f>IF(OR(Y17=TRUE,W17=TRUE,AM17=TRUE,BE17=0),TRUE,FALSE)</f>
        <v>1</v>
      </c>
      <c r="Y17" s="126" t="b">
        <f t="shared" ref="Y17" si="13">IF(SUM(Z17:AE17)&lt;1,TRUE,FALSE)</f>
        <v>0</v>
      </c>
      <c r="Z17" s="126">
        <f t="shared" ref="Z17" si="14">IF($Z$2=I17,1,0)</f>
        <v>1</v>
      </c>
      <c r="AA17" s="126">
        <f t="shared" ref="AA17" si="15">IF($AA$2=J17,1,0)</f>
        <v>0</v>
      </c>
      <c r="AB17" s="126">
        <f t="shared" ref="AB17" si="16">IF($AB$2=K17,1,0)</f>
        <v>0</v>
      </c>
      <c r="AC17" s="126">
        <f t="shared" ref="AC17" si="17">IF($AC$2=L17,1,0)</f>
        <v>0</v>
      </c>
      <c r="AD17" s="126">
        <f t="shared" ref="AD17" si="18">IF($AD$2=M17,1,0)</f>
        <v>0</v>
      </c>
      <c r="AE17" s="126">
        <f t="shared" ref="AE17" si="19">IF($AE$2=O17,1,0)</f>
        <v>0</v>
      </c>
      <c r="AF17" s="53" t="b">
        <f t="shared" ref="AF17" si="20">IF($H$1&lt;&gt;0,IF($H$1&lt;&gt;I17,IF($H$1&lt;&gt;J17,IF($H$1&lt;&gt;K17,IF($H$1&lt;&gt;L17,IF($H$1&lt;&gt;M17,IF($H$1&lt;&gt;N17,IF($H$1&lt;&gt;O17,TRUE,FALSE))))))))</f>
        <v>0</v>
      </c>
      <c r="AG17" s="54" t="b">
        <f t="shared" ref="AG17" si="21">IF(OR(AL17=TRUE,AM17=TRUE),TRUE,FALSE)</f>
        <v>0</v>
      </c>
      <c r="AL17" s="56" t="b">
        <f>IF(AND('Cover Sheet'!$B$19="Non-Risk",$R17=1),TRUE,FALSE)</f>
        <v>0</v>
      </c>
      <c r="AM17" s="56" t="b">
        <f t="shared" si="11"/>
        <v>0</v>
      </c>
      <c r="AO17" s="121"/>
      <c r="AP17" s="68"/>
      <c r="AQ17" s="68"/>
      <c r="AR17" s="68"/>
      <c r="AS17" s="68"/>
      <c r="AU17" s="69" t="str">
        <f t="shared" ref="AU17" si="22">IF(AT17=1,1,"")</f>
        <v/>
      </c>
      <c r="BD17" s="110">
        <v>0</v>
      </c>
      <c r="BE17">
        <f>IF('Cover Sheet'!$B$25&gt;=S17,1,0)</f>
        <v>0</v>
      </c>
    </row>
    <row r="18" spans="1:57" ht="15.75" thickBot="1" x14ac:dyDescent="0.3">
      <c r="A18" s="450"/>
      <c r="B18" s="451"/>
      <c r="C18" s="452" t="s">
        <v>84</v>
      </c>
      <c r="D18" s="442"/>
      <c r="E18" s="443"/>
      <c r="F18" s="444"/>
      <c r="G18" s="444"/>
      <c r="H18" s="445"/>
      <c r="I18" s="74"/>
      <c r="J18" s="74"/>
      <c r="K18" s="74"/>
      <c r="L18" s="87"/>
      <c r="M18" s="87"/>
      <c r="S18" s="116"/>
      <c r="U18" s="126"/>
      <c r="AL18" s="68"/>
      <c r="AM18" s="68"/>
      <c r="AO18" s="121"/>
      <c r="AP18" s="68"/>
      <c r="AQ18" s="68"/>
      <c r="AR18" s="68"/>
      <c r="AS18" s="68"/>
      <c r="BC18" s="116"/>
      <c r="BD18" s="110"/>
    </row>
    <row r="19" spans="1:57" ht="119.1" customHeight="1" thickBot="1" x14ac:dyDescent="0.3">
      <c r="A19" s="294" t="s">
        <v>1980</v>
      </c>
      <c r="B19" s="295" t="s">
        <v>1981</v>
      </c>
      <c r="C19" s="295" t="s">
        <v>1982</v>
      </c>
      <c r="D19" s="446"/>
      <c r="E19" s="297"/>
      <c r="F19" s="297"/>
      <c r="G19" s="297"/>
      <c r="H19" s="214"/>
      <c r="I19" s="92" t="s">
        <v>168</v>
      </c>
      <c r="J19" s="92"/>
      <c r="K19" s="92"/>
      <c r="L19" s="71"/>
      <c r="M19" s="71"/>
      <c r="N19" s="71"/>
      <c r="O19" s="71"/>
      <c r="P19" s="71" t="s">
        <v>380</v>
      </c>
      <c r="Q19" s="71" t="b">
        <f>IF(OR(AND($C$2="Base contract",$C$3="No, section requirements must be reviewed", $AF19=FALSE,$AG19=FALSE),AND($C$2="Contract amendment",$C$3="No, section requirements must be reviewed",$AF19=FALSE,$AG19=FALSE)),"MUNN")</f>
        <v>0</v>
      </c>
      <c r="R19" s="71"/>
      <c r="S19" s="64"/>
      <c r="T19" s="71"/>
      <c r="U19" s="97">
        <f>IF(OR($E$18="N/A",AND(BD19=0,'Cover Sheet'!$B$29="Streamlined Review"),AND(E19="Met",F19&lt;&gt;""),AND(E19="Not met",G19&lt;&gt;""),AND(E19="Unsure",G19&lt;&gt;""),AND(E19="N/A",H19&lt;&gt;""),AND(Y19=TRUE)),1,0)</f>
        <v>0</v>
      </c>
      <c r="X19" s="126" t="b">
        <f>IF(OR(Y19=TRUE,W19=TRUE,AM19=TRUE),TRUE,FALSE)</f>
        <v>0</v>
      </c>
      <c r="Y19" s="126" t="b">
        <f>IF(SUM(Z19:AE19)&lt;1,TRUE,FALSE)</f>
        <v>0</v>
      </c>
      <c r="Z19" s="126">
        <f>IF($Z$2=I19,1,0)</f>
        <v>1</v>
      </c>
      <c r="AA19" s="126">
        <f>IF($AA$2=J19,1,0)</f>
        <v>0</v>
      </c>
      <c r="AB19" s="126">
        <f>IF($AB$2=K19,1,0)</f>
        <v>0</v>
      </c>
      <c r="AC19" s="126">
        <f>IF($AC$2=L19,1,0)</f>
        <v>0</v>
      </c>
      <c r="AD19" s="126">
        <f>IF($AD$2=M19,1,0)</f>
        <v>0</v>
      </c>
      <c r="AE19" s="126">
        <f>IF($AE$2=O19,1,0)</f>
        <v>0</v>
      </c>
      <c r="AF19" s="53" t="b">
        <f t="shared" si="9"/>
        <v>0</v>
      </c>
      <c r="AG19" s="54" t="b">
        <f>IF(OR(AL19=TRUE,AM19=TRUE),TRUE,FALSE)</f>
        <v>0</v>
      </c>
      <c r="AL19" s="56" t="b">
        <f>IF(AND('Cover Sheet'!$B$19="Non-Risk",$R19=1),TRUE,FALSE)</f>
        <v>0</v>
      </c>
      <c r="AM19" s="56" t="b">
        <f>IF(OR(AND($H$6="Medicaid",MID($A19,1,FIND(".",$A19,1)-1)="II"),AND($H$6="CHIP",MID($A19,1,FIND(".",$A19,1)-1)="I")),TRUE,FALSE)</f>
        <v>0</v>
      </c>
      <c r="AO19" s="121"/>
      <c r="AP19" s="68"/>
      <c r="AQ19" s="68"/>
      <c r="AR19" s="68"/>
      <c r="AS19" s="68"/>
      <c r="AT19" s="69">
        <v>1</v>
      </c>
      <c r="AU19" s="69">
        <f>IF(AT19=1,1,"")</f>
        <v>1</v>
      </c>
      <c r="BD19" s="110">
        <v>0</v>
      </c>
    </row>
    <row r="20" spans="1:57" ht="15.75" thickBot="1" x14ac:dyDescent="0.3">
      <c r="A20" s="450"/>
      <c r="B20" s="451"/>
      <c r="C20" s="452" t="s">
        <v>85</v>
      </c>
      <c r="D20" s="442"/>
      <c r="E20" s="443"/>
      <c r="F20" s="444"/>
      <c r="G20" s="444"/>
      <c r="H20" s="445"/>
      <c r="I20" s="74"/>
      <c r="J20" s="74"/>
      <c r="K20" s="74"/>
      <c r="L20" s="87"/>
      <c r="M20" s="87"/>
      <c r="S20" s="116"/>
      <c r="U20" s="126"/>
      <c r="AL20" s="68"/>
      <c r="AM20" s="68"/>
      <c r="AO20" s="121"/>
      <c r="AP20" s="68"/>
      <c r="AQ20" s="68"/>
      <c r="AR20" s="68"/>
      <c r="AS20" s="68"/>
      <c r="BC20" s="116"/>
      <c r="BD20" s="110"/>
    </row>
    <row r="21" spans="1:57" ht="76.5" customHeight="1" x14ac:dyDescent="0.25">
      <c r="A21" s="294" t="s">
        <v>1983</v>
      </c>
      <c r="B21" s="295" t="s">
        <v>1984</v>
      </c>
      <c r="C21" s="295" t="s">
        <v>1985</v>
      </c>
      <c r="D21" s="446"/>
      <c r="E21" s="297"/>
      <c r="F21" s="297"/>
      <c r="G21" s="297"/>
      <c r="H21" s="214"/>
      <c r="I21" s="92" t="s">
        <v>168</v>
      </c>
      <c r="J21" s="92" t="s">
        <v>178</v>
      </c>
      <c r="K21" s="92" t="s">
        <v>185</v>
      </c>
      <c r="L21" s="71" t="s">
        <v>190</v>
      </c>
      <c r="M21" s="71"/>
      <c r="N21" s="71"/>
      <c r="O21" s="71"/>
      <c r="P21" s="71" t="s">
        <v>380</v>
      </c>
      <c r="Q21" s="71" t="b">
        <f t="shared" ref="Q21:Q33" si="23">IF(OR(AND($C$2="Base contract",$C$3="No, section requirements must be reviewed", $AF21=FALSE,$AG21=FALSE),AND($C$2="Contract amendment",$C$3="No, section requirements must be reviewed",$AF21=FALSE,$AG21=FALSE)),"MUNN")</f>
        <v>0</v>
      </c>
      <c r="R21" s="71"/>
      <c r="S21" s="64">
        <v>42917</v>
      </c>
      <c r="T21" s="71"/>
      <c r="U21" s="97">
        <f>IF(OR($E$20="N/A",AND(BD21=0,'Cover Sheet'!$B$29="Streamlined Review"),AND(E21="Met",F21&lt;&gt;""),AND(E21="Not met",G21&lt;&gt;""),AND(E21="Unsure",G21&lt;&gt;""),AND(E21="N/A",H21&lt;&gt;""),AND(Y21=TRUE)),1,0)</f>
        <v>0</v>
      </c>
      <c r="X21" s="126" t="b">
        <f>IF(OR(Y21=TRUE,W21=TRUE,AM21=TRUE),TRUE,FALSE)</f>
        <v>0</v>
      </c>
      <c r="Y21" s="126" t="b">
        <f>IF(SUM(Z21:AE21)&lt;1,TRUE,FALSE)</f>
        <v>0</v>
      </c>
      <c r="Z21" s="126">
        <f>IF($Z$2=I21,1,0)</f>
        <v>1</v>
      </c>
      <c r="AA21" s="126">
        <f>IF($AA$2=J21,1,0)</f>
        <v>0</v>
      </c>
      <c r="AB21" s="126">
        <f>IF($AB$2=K21,1,0)</f>
        <v>0</v>
      </c>
      <c r="AC21" s="126">
        <f>IF($AC$2=L21,1,0)</f>
        <v>0</v>
      </c>
      <c r="AD21" s="126">
        <f>IF($AD$2=M21,1,0)</f>
        <v>0</v>
      </c>
      <c r="AE21" s="126">
        <f>IF($AE$2=O21,1,0)</f>
        <v>0</v>
      </c>
      <c r="AF21" s="53" t="b">
        <f t="shared" si="9"/>
        <v>0</v>
      </c>
      <c r="AG21" s="54" t="b">
        <f t="shared" ref="AG21:AG33" si="24">IF(OR(AL21=TRUE,AM21=TRUE),TRUE,FALSE)</f>
        <v>0</v>
      </c>
      <c r="AL21" s="56" t="b">
        <f>IF(AND('Cover Sheet'!$B$19="Non-Risk",$R21=1),TRUE,FALSE)</f>
        <v>0</v>
      </c>
      <c r="AM21" s="56" t="b">
        <f t="shared" ref="AM21:AM33" si="25">IF(OR(AND($H$6="Medicaid",MID($A21,1,FIND(".",$A21,1)-1)="II"),AND($H$6="CHIP",MID($A21,1,FIND(".",$A21,1)-1)="I")),TRUE,FALSE)</f>
        <v>0</v>
      </c>
      <c r="AO21" s="121"/>
      <c r="AP21" s="68"/>
      <c r="AQ21" s="68"/>
      <c r="AR21" s="68"/>
      <c r="AS21" s="68"/>
      <c r="AU21" s="69" t="str">
        <f t="shared" ref="AU21:AU33" si="26">IF(AT21=1,1,"")</f>
        <v/>
      </c>
      <c r="BD21" s="110">
        <v>0</v>
      </c>
    </row>
    <row r="22" spans="1:57" ht="82.5" customHeight="1" x14ac:dyDescent="0.25">
      <c r="A22" s="294" t="s">
        <v>1986</v>
      </c>
      <c r="B22" s="295" t="s">
        <v>1987</v>
      </c>
      <c r="C22" s="295" t="s">
        <v>1988</v>
      </c>
      <c r="D22" s="446"/>
      <c r="E22" s="297"/>
      <c r="F22" s="297"/>
      <c r="G22" s="297"/>
      <c r="H22" s="214"/>
      <c r="I22" s="92" t="s">
        <v>168</v>
      </c>
      <c r="J22" s="92" t="s">
        <v>178</v>
      </c>
      <c r="K22" s="92" t="s">
        <v>185</v>
      </c>
      <c r="L22" s="71" t="s">
        <v>190</v>
      </c>
      <c r="M22" s="71"/>
      <c r="N22" s="71"/>
      <c r="O22" s="71"/>
      <c r="P22" s="71" t="s">
        <v>380</v>
      </c>
      <c r="Q22" s="71" t="b">
        <f t="shared" si="23"/>
        <v>0</v>
      </c>
      <c r="R22" s="71"/>
      <c r="S22" s="64">
        <v>42917</v>
      </c>
      <c r="T22" s="71"/>
      <c r="U22" s="97">
        <f>IF(OR($E$20="N/A",AND(BD22=0,'Cover Sheet'!$B$29="Streamlined Review"),AND(E22="Met",F22&lt;&gt;""),AND(E22="Not met",G22&lt;&gt;""),AND(E22="Unsure",G22&lt;&gt;""),AND(E22="N/A",H22&lt;&gt;""),AND(Y22=TRUE)),1,0)</f>
        <v>0</v>
      </c>
      <c r="X22" s="126" t="b">
        <f t="shared" ref="X22:X33" si="27">IF(OR(Y22=TRUE,W22=TRUE,AM22=TRUE),TRUE,FALSE)</f>
        <v>0</v>
      </c>
      <c r="Y22" s="126" t="b">
        <f t="shared" ref="Y22:Y33" si="28">IF(SUM(Z22:AE22)&lt;1,TRUE,FALSE)</f>
        <v>0</v>
      </c>
      <c r="Z22" s="126">
        <f t="shared" ref="Z22:Z33" si="29">IF($Z$2=I22,1,0)</f>
        <v>1</v>
      </c>
      <c r="AA22" s="126">
        <f t="shared" ref="AA22:AA33" si="30">IF($AA$2=J22,1,0)</f>
        <v>0</v>
      </c>
      <c r="AB22" s="126">
        <f t="shared" ref="AB22:AB33" si="31">IF($AB$2=K22,1,0)</f>
        <v>0</v>
      </c>
      <c r="AC22" s="126">
        <f t="shared" ref="AC22:AC33" si="32">IF($AC$2=L22,1,0)</f>
        <v>0</v>
      </c>
      <c r="AD22" s="126">
        <f t="shared" ref="AD22:AD33" si="33">IF($AD$2=M22,1,0)</f>
        <v>0</v>
      </c>
      <c r="AE22" s="126">
        <f t="shared" ref="AE22:AE33" si="34">IF($AE$2=O22,1,0)</f>
        <v>0</v>
      </c>
      <c r="AF22" s="53" t="b">
        <f t="shared" si="9"/>
        <v>0</v>
      </c>
      <c r="AG22" s="54" t="b">
        <f t="shared" si="24"/>
        <v>0</v>
      </c>
      <c r="AL22" s="56" t="b">
        <f>IF(AND('Cover Sheet'!$B$19="Non-Risk",$R22=1),TRUE,FALSE)</f>
        <v>0</v>
      </c>
      <c r="AM22" s="56" t="b">
        <f t="shared" si="25"/>
        <v>0</v>
      </c>
      <c r="AO22" s="121"/>
      <c r="AP22" s="68"/>
      <c r="AQ22" s="68"/>
      <c r="AR22" s="68"/>
      <c r="AS22" s="68"/>
      <c r="AU22" s="69" t="str">
        <f t="shared" si="26"/>
        <v/>
      </c>
      <c r="BD22" s="110">
        <v>0</v>
      </c>
    </row>
    <row r="23" spans="1:57" ht="76.5" x14ac:dyDescent="0.25">
      <c r="A23" s="294" t="s">
        <v>1989</v>
      </c>
      <c r="B23" s="295" t="s">
        <v>1990</v>
      </c>
      <c r="C23" s="295" t="s">
        <v>1991</v>
      </c>
      <c r="D23" s="446"/>
      <c r="E23" s="297"/>
      <c r="F23" s="297"/>
      <c r="G23" s="297"/>
      <c r="H23" s="214"/>
      <c r="I23" s="92" t="s">
        <v>168</v>
      </c>
      <c r="J23" s="92" t="s">
        <v>178</v>
      </c>
      <c r="K23" s="92" t="s">
        <v>185</v>
      </c>
      <c r="L23" s="71" t="s">
        <v>190</v>
      </c>
      <c r="M23" s="71"/>
      <c r="N23" s="71"/>
      <c r="O23" s="71"/>
      <c r="P23" s="71" t="s">
        <v>380</v>
      </c>
      <c r="Q23" s="71" t="b">
        <f t="shared" si="23"/>
        <v>0</v>
      </c>
      <c r="R23" s="71"/>
      <c r="S23" s="64">
        <v>42917</v>
      </c>
      <c r="T23" s="71"/>
      <c r="U23" s="97">
        <f>IF(OR($E$20="N/A",AND(BD23=0,'Cover Sheet'!$B$29="Streamlined Review"),AND(E23="Met",F23&lt;&gt;""),AND(E23="Not met",G23&lt;&gt;""),AND(E23="Unsure",G23&lt;&gt;""),AND(E23="N/A",H23&lt;&gt;""),AND(Y23=TRUE)),1,0)</f>
        <v>0</v>
      </c>
      <c r="X23" s="126" t="b">
        <f t="shared" si="27"/>
        <v>0</v>
      </c>
      <c r="Y23" s="126" t="b">
        <f t="shared" si="28"/>
        <v>0</v>
      </c>
      <c r="Z23" s="126">
        <f t="shared" si="29"/>
        <v>1</v>
      </c>
      <c r="AA23" s="126">
        <f t="shared" si="30"/>
        <v>0</v>
      </c>
      <c r="AB23" s="126">
        <f t="shared" si="31"/>
        <v>0</v>
      </c>
      <c r="AC23" s="126">
        <f t="shared" si="32"/>
        <v>0</v>
      </c>
      <c r="AD23" s="126">
        <f t="shared" si="33"/>
        <v>0</v>
      </c>
      <c r="AE23" s="126">
        <f t="shared" si="34"/>
        <v>0</v>
      </c>
      <c r="AF23" s="53" t="b">
        <f t="shared" si="9"/>
        <v>0</v>
      </c>
      <c r="AG23" s="54" t="b">
        <f t="shared" si="24"/>
        <v>0</v>
      </c>
      <c r="AL23" s="56" t="b">
        <f>IF(AND('Cover Sheet'!$B$19="Non-Risk",$R23=1),TRUE,FALSE)</f>
        <v>0</v>
      </c>
      <c r="AM23" s="56" t="b">
        <f t="shared" si="25"/>
        <v>0</v>
      </c>
      <c r="AO23" s="121"/>
      <c r="AP23" s="68"/>
      <c r="AQ23" s="68"/>
      <c r="AR23" s="68"/>
      <c r="AS23" s="68"/>
      <c r="AU23" s="69" t="str">
        <f t="shared" si="26"/>
        <v/>
      </c>
      <c r="BD23" s="110">
        <v>0</v>
      </c>
    </row>
    <row r="24" spans="1:57" ht="76.5" x14ac:dyDescent="0.25">
      <c r="A24" s="294" t="s">
        <v>1992</v>
      </c>
      <c r="B24" s="295" t="s">
        <v>1993</v>
      </c>
      <c r="C24" s="295" t="s">
        <v>1994</v>
      </c>
      <c r="D24" s="446"/>
      <c r="E24" s="297"/>
      <c r="F24" s="297"/>
      <c r="G24" s="297"/>
      <c r="H24" s="214"/>
      <c r="I24" s="92" t="s">
        <v>168</v>
      </c>
      <c r="J24" s="92" t="s">
        <v>178</v>
      </c>
      <c r="K24" s="92" t="s">
        <v>185</v>
      </c>
      <c r="L24" s="71" t="s">
        <v>190</v>
      </c>
      <c r="M24" s="71"/>
      <c r="N24" s="71"/>
      <c r="O24" s="71"/>
      <c r="P24" s="71" t="s">
        <v>380</v>
      </c>
      <c r="Q24" s="71" t="b">
        <f t="shared" si="23"/>
        <v>0</v>
      </c>
      <c r="R24" s="71"/>
      <c r="S24" s="64">
        <v>42917</v>
      </c>
      <c r="T24" s="71"/>
      <c r="U24" s="97">
        <f>IF(OR($E$20="N/A",AND(BD24=0,'Cover Sheet'!$B$29="Streamlined Review"),AND(E24="Met",F24&lt;&gt;""),AND(E24="Not met",G24&lt;&gt;""),AND(E24="Unsure",G24&lt;&gt;""),AND(E24="N/A",H24&lt;&gt;""),AND(Y24=TRUE)),1,0)</f>
        <v>0</v>
      </c>
      <c r="X24" s="126" t="b">
        <f t="shared" si="27"/>
        <v>0</v>
      </c>
      <c r="Y24" s="126" t="b">
        <f t="shared" si="28"/>
        <v>0</v>
      </c>
      <c r="Z24" s="126">
        <f t="shared" si="29"/>
        <v>1</v>
      </c>
      <c r="AA24" s="126">
        <f t="shared" si="30"/>
        <v>0</v>
      </c>
      <c r="AB24" s="126">
        <f t="shared" si="31"/>
        <v>0</v>
      </c>
      <c r="AC24" s="126">
        <f t="shared" si="32"/>
        <v>0</v>
      </c>
      <c r="AD24" s="126">
        <f t="shared" si="33"/>
        <v>0</v>
      </c>
      <c r="AE24" s="126">
        <f t="shared" si="34"/>
        <v>0</v>
      </c>
      <c r="AF24" s="53" t="b">
        <f t="shared" si="9"/>
        <v>0</v>
      </c>
      <c r="AG24" s="54" t="b">
        <f t="shared" si="24"/>
        <v>0</v>
      </c>
      <c r="AL24" s="56" t="b">
        <f>IF(AND('Cover Sheet'!$B$19="Non-Risk",$R24=1),TRUE,FALSE)</f>
        <v>0</v>
      </c>
      <c r="AM24" s="56" t="b">
        <f t="shared" si="25"/>
        <v>0</v>
      </c>
      <c r="AO24" s="121"/>
      <c r="AP24" s="68"/>
      <c r="AQ24" s="68"/>
      <c r="AR24" s="68"/>
      <c r="AS24" s="68"/>
      <c r="AU24" s="69" t="str">
        <f t="shared" si="26"/>
        <v/>
      </c>
      <c r="BD24" s="110">
        <v>0</v>
      </c>
    </row>
    <row r="25" spans="1:57" ht="63.75" x14ac:dyDescent="0.25">
      <c r="A25" s="294" t="s">
        <v>1995</v>
      </c>
      <c r="B25" s="295" t="s">
        <v>1996</v>
      </c>
      <c r="C25" s="295" t="s">
        <v>1997</v>
      </c>
      <c r="D25" s="446"/>
      <c r="E25" s="297"/>
      <c r="F25" s="297"/>
      <c r="G25" s="297"/>
      <c r="H25" s="214"/>
      <c r="I25" s="92" t="s">
        <v>168</v>
      </c>
      <c r="J25" s="92" t="s">
        <v>178</v>
      </c>
      <c r="K25" s="92" t="s">
        <v>185</v>
      </c>
      <c r="L25" s="71" t="s">
        <v>190</v>
      </c>
      <c r="M25" s="71"/>
      <c r="N25" s="71"/>
      <c r="O25" s="71"/>
      <c r="P25" s="71" t="s">
        <v>380</v>
      </c>
      <c r="Q25" s="71" t="b">
        <f t="shared" si="23"/>
        <v>0</v>
      </c>
      <c r="R25" s="71"/>
      <c r="S25" s="64">
        <v>42917</v>
      </c>
      <c r="T25" s="71"/>
      <c r="U25" s="97">
        <f>IF(OR($E$20="N/A",AND(BD25=0,'Cover Sheet'!$B$29="Streamlined Review"),AND(E25="Met",F25&lt;&gt;""),AND(E25="Not met",G25&lt;&gt;""),AND(E25="Unsure",G25&lt;&gt;""),AND(E25="N/A",H25&lt;&gt;""),AND(Y25=TRUE)),1,0)</f>
        <v>0</v>
      </c>
      <c r="X25" s="126" t="b">
        <f t="shared" si="27"/>
        <v>0</v>
      </c>
      <c r="Y25" s="126" t="b">
        <f t="shared" si="28"/>
        <v>0</v>
      </c>
      <c r="Z25" s="126">
        <f t="shared" si="29"/>
        <v>1</v>
      </c>
      <c r="AA25" s="126">
        <f t="shared" si="30"/>
        <v>0</v>
      </c>
      <c r="AB25" s="126">
        <f t="shared" si="31"/>
        <v>0</v>
      </c>
      <c r="AC25" s="126">
        <f t="shared" si="32"/>
        <v>0</v>
      </c>
      <c r="AD25" s="126">
        <f t="shared" si="33"/>
        <v>0</v>
      </c>
      <c r="AE25" s="126">
        <f t="shared" si="34"/>
        <v>0</v>
      </c>
      <c r="AF25" s="53" t="b">
        <f t="shared" si="9"/>
        <v>0</v>
      </c>
      <c r="AG25" s="54" t="b">
        <f t="shared" si="24"/>
        <v>0</v>
      </c>
      <c r="AL25" s="56" t="b">
        <f>IF(AND('Cover Sheet'!$B$19="Non-Risk",$R25=1),TRUE,FALSE)</f>
        <v>0</v>
      </c>
      <c r="AM25" s="56" t="b">
        <f t="shared" si="25"/>
        <v>0</v>
      </c>
      <c r="AO25" s="121"/>
      <c r="AP25" s="68"/>
      <c r="AQ25" s="68"/>
      <c r="AR25" s="68"/>
      <c r="AS25" s="68"/>
      <c r="AU25" s="69" t="str">
        <f t="shared" si="26"/>
        <v/>
      </c>
      <c r="BD25" s="110">
        <v>0</v>
      </c>
    </row>
    <row r="26" spans="1:57" ht="51" x14ac:dyDescent="0.25">
      <c r="A26" s="294" t="s">
        <v>1998</v>
      </c>
      <c r="B26" s="295" t="s">
        <v>1999</v>
      </c>
      <c r="C26" s="295" t="s">
        <v>2000</v>
      </c>
      <c r="D26" s="446"/>
      <c r="E26" s="297"/>
      <c r="F26" s="297"/>
      <c r="G26" s="297"/>
      <c r="H26" s="214"/>
      <c r="I26" s="92" t="s">
        <v>168</v>
      </c>
      <c r="J26" s="92" t="s">
        <v>178</v>
      </c>
      <c r="K26" s="92" t="s">
        <v>185</v>
      </c>
      <c r="L26" s="71" t="s">
        <v>190</v>
      </c>
      <c r="M26" s="71"/>
      <c r="N26" s="71"/>
      <c r="O26" s="71"/>
      <c r="P26" s="71" t="s">
        <v>380</v>
      </c>
      <c r="Q26" s="71" t="b">
        <f t="shared" si="23"/>
        <v>0</v>
      </c>
      <c r="R26" s="71"/>
      <c r="S26" s="64">
        <v>42917</v>
      </c>
      <c r="T26" s="71"/>
      <c r="U26" s="97">
        <f>IF(OR($E$20="N/A",AND(BD26=0,'Cover Sheet'!$B$29="Streamlined Review"),AND(E26="Met",F26&lt;&gt;""),AND(E26="Not met",G26&lt;&gt;""),AND(E26="Unsure",G26&lt;&gt;""),AND(E26="N/A",H26&lt;&gt;""),AND(Y26=TRUE)),1,0)</f>
        <v>0</v>
      </c>
      <c r="X26" s="126" t="b">
        <f t="shared" si="27"/>
        <v>0</v>
      </c>
      <c r="Y26" s="126" t="b">
        <f t="shared" si="28"/>
        <v>0</v>
      </c>
      <c r="Z26" s="126">
        <f t="shared" si="29"/>
        <v>1</v>
      </c>
      <c r="AA26" s="126">
        <f t="shared" si="30"/>
        <v>0</v>
      </c>
      <c r="AB26" s="126">
        <f t="shared" si="31"/>
        <v>0</v>
      </c>
      <c r="AC26" s="126">
        <f t="shared" si="32"/>
        <v>0</v>
      </c>
      <c r="AD26" s="126">
        <f t="shared" si="33"/>
        <v>0</v>
      </c>
      <c r="AE26" s="126">
        <f t="shared" si="34"/>
        <v>0</v>
      </c>
      <c r="AF26" s="53" t="b">
        <f t="shared" si="9"/>
        <v>0</v>
      </c>
      <c r="AG26" s="54" t="b">
        <f t="shared" si="24"/>
        <v>0</v>
      </c>
      <c r="AL26" s="56" t="b">
        <f>IF(AND('Cover Sheet'!$B$19="Non-Risk",$R26=1),TRUE,FALSE)</f>
        <v>0</v>
      </c>
      <c r="AM26" s="56" t="b">
        <f t="shared" si="25"/>
        <v>0</v>
      </c>
      <c r="AO26" s="121"/>
      <c r="AP26" s="68"/>
      <c r="AQ26" s="68"/>
      <c r="AR26" s="68"/>
      <c r="AS26" s="68"/>
      <c r="AU26" s="69" t="str">
        <f t="shared" si="26"/>
        <v/>
      </c>
      <c r="BD26" s="110">
        <v>0</v>
      </c>
    </row>
    <row r="27" spans="1:57" ht="127.5" x14ac:dyDescent="0.25">
      <c r="A27" s="294" t="s">
        <v>2001</v>
      </c>
      <c r="B27" s="295" t="s">
        <v>2002</v>
      </c>
      <c r="C27" s="295" t="s">
        <v>2003</v>
      </c>
      <c r="D27" s="446"/>
      <c r="E27" s="297"/>
      <c r="F27" s="297"/>
      <c r="G27" s="297"/>
      <c r="H27" s="214"/>
      <c r="I27" s="92" t="s">
        <v>168</v>
      </c>
      <c r="J27" s="92" t="s">
        <v>178</v>
      </c>
      <c r="K27" s="92" t="s">
        <v>185</v>
      </c>
      <c r="L27" s="71" t="s">
        <v>190</v>
      </c>
      <c r="M27" s="71"/>
      <c r="N27" s="71"/>
      <c r="O27" s="71"/>
      <c r="P27" s="71" t="s">
        <v>380</v>
      </c>
      <c r="Q27" s="71" t="b">
        <f t="shared" si="23"/>
        <v>0</v>
      </c>
      <c r="R27" s="71"/>
      <c r="S27" s="64">
        <v>42917</v>
      </c>
      <c r="T27" s="71"/>
      <c r="U27" s="97">
        <f>IF(OR($E$20="N/A",AND(BD27=0,'Cover Sheet'!$B$29="Streamlined Review"),AND(E27="Met",F27&lt;&gt;""),AND(E27="Not met",G27&lt;&gt;""),AND(E27="Unsure",G27&lt;&gt;""),AND(E27="N/A",H27&lt;&gt;""),AND(Y27=TRUE)),1,0)</f>
        <v>0</v>
      </c>
      <c r="X27" s="126" t="b">
        <f t="shared" si="27"/>
        <v>0</v>
      </c>
      <c r="Y27" s="126" t="b">
        <f t="shared" si="28"/>
        <v>0</v>
      </c>
      <c r="Z27" s="126">
        <f t="shared" si="29"/>
        <v>1</v>
      </c>
      <c r="AA27" s="126">
        <f t="shared" si="30"/>
        <v>0</v>
      </c>
      <c r="AB27" s="126">
        <f t="shared" si="31"/>
        <v>0</v>
      </c>
      <c r="AC27" s="126">
        <f t="shared" si="32"/>
        <v>0</v>
      </c>
      <c r="AD27" s="126">
        <f t="shared" si="33"/>
        <v>0</v>
      </c>
      <c r="AE27" s="126">
        <f t="shared" si="34"/>
        <v>0</v>
      </c>
      <c r="AF27" s="53" t="b">
        <f t="shared" si="9"/>
        <v>0</v>
      </c>
      <c r="AG27" s="54" t="b">
        <f t="shared" si="24"/>
        <v>0</v>
      </c>
      <c r="AL27" s="56" t="b">
        <f>IF(AND('Cover Sheet'!$B$19="Non-Risk",$R27=1),TRUE,FALSE)</f>
        <v>0</v>
      </c>
      <c r="AM27" s="56" t="b">
        <f t="shared" si="25"/>
        <v>0</v>
      </c>
      <c r="AO27" s="121"/>
      <c r="AP27" s="68"/>
      <c r="AQ27" s="68"/>
      <c r="AR27" s="68"/>
      <c r="AS27" s="68"/>
      <c r="AU27" s="69" t="str">
        <f t="shared" si="26"/>
        <v/>
      </c>
      <c r="BD27" s="110">
        <v>0</v>
      </c>
    </row>
    <row r="28" spans="1:57" ht="71.099999999999994" customHeight="1" x14ac:dyDescent="0.25">
      <c r="A28" s="294" t="s">
        <v>2004</v>
      </c>
      <c r="B28" s="295" t="s">
        <v>2005</v>
      </c>
      <c r="C28" s="295" t="s">
        <v>2006</v>
      </c>
      <c r="D28" s="446"/>
      <c r="E28" s="297"/>
      <c r="F28" s="297"/>
      <c r="G28" s="297"/>
      <c r="H28" s="214"/>
      <c r="I28" s="92" t="s">
        <v>168</v>
      </c>
      <c r="J28" s="92" t="s">
        <v>178</v>
      </c>
      <c r="K28" s="92" t="s">
        <v>185</v>
      </c>
      <c r="L28" s="71" t="s">
        <v>190</v>
      </c>
      <c r="M28" s="71"/>
      <c r="N28" s="71"/>
      <c r="O28" s="71"/>
      <c r="P28" s="71" t="s">
        <v>380</v>
      </c>
      <c r="Q28" s="71" t="b">
        <f t="shared" si="23"/>
        <v>0</v>
      </c>
      <c r="R28" s="71"/>
      <c r="S28" s="64"/>
      <c r="T28" s="71"/>
      <c r="U28" s="97">
        <f>IF(OR($E$20="N/A",AND(BD28=0,'Cover Sheet'!$B$29="Streamlined Review"),AND(E28="Met",F28&lt;&gt;""),AND(E28="Not met",G28&lt;&gt;""),AND(E28="Unsure",G28&lt;&gt;""),AND(E28="N/A",H28&lt;&gt;""),AND(Y28=TRUE),X28=TRUE),1,0)</f>
        <v>0</v>
      </c>
      <c r="X28" s="126" t="b">
        <f>IF(OR(Y28=TRUE,W28=TRUE,AM28=TRUE,BE28=0),TRUE,FALSE)</f>
        <v>0</v>
      </c>
      <c r="Y28" s="126" t="b">
        <f t="shared" ref="Y28" si="35">IF(SUM(Z28:AE28)&lt;1,TRUE,FALSE)</f>
        <v>0</v>
      </c>
      <c r="Z28" s="126">
        <f t="shared" ref="Z28" si="36">IF($Z$2=I28,1,0)</f>
        <v>1</v>
      </c>
      <c r="AA28" s="126">
        <f t="shared" ref="AA28" si="37">IF($AA$2=J28,1,0)</f>
        <v>0</v>
      </c>
      <c r="AB28" s="126">
        <f t="shared" ref="AB28" si="38">IF($AB$2=K28,1,0)</f>
        <v>0</v>
      </c>
      <c r="AC28" s="126">
        <f t="shared" ref="AC28" si="39">IF($AC$2=L28,1,0)</f>
        <v>0</v>
      </c>
      <c r="AD28" s="126">
        <f t="shared" ref="AD28" si="40">IF($AD$2=M28,1,0)</f>
        <v>0</v>
      </c>
      <c r="AE28" s="126">
        <f t="shared" ref="AE28" si="41">IF($AE$2=O28,1,0)</f>
        <v>0</v>
      </c>
      <c r="AF28" s="53" t="b">
        <f t="shared" ref="AF28" si="42">IF($H$1&lt;&gt;0,IF($H$1&lt;&gt;I28,IF($H$1&lt;&gt;J28,IF($H$1&lt;&gt;K28,IF($H$1&lt;&gt;L28,IF($H$1&lt;&gt;M28,IF($H$1&lt;&gt;N28,IF($H$1&lt;&gt;O28,TRUE,FALSE))))))))</f>
        <v>0</v>
      </c>
      <c r="AG28" s="54" t="b">
        <f t="shared" ref="AG28" si="43">IF(OR(AL28=TRUE,AM28=TRUE),TRUE,FALSE)</f>
        <v>0</v>
      </c>
      <c r="AL28" s="56" t="b">
        <f>IF(AND('Cover Sheet'!$B$19="Non-Risk",$R28=1),TRUE,FALSE)</f>
        <v>0</v>
      </c>
      <c r="AM28" s="56" t="b">
        <f t="shared" si="25"/>
        <v>0</v>
      </c>
      <c r="AO28" s="121"/>
      <c r="AP28" s="68"/>
      <c r="AQ28" s="68"/>
      <c r="AR28" s="68"/>
      <c r="AS28" s="68"/>
      <c r="AU28" s="69" t="str">
        <f t="shared" ref="AU28" si="44">IF(AT28=1,1,"")</f>
        <v/>
      </c>
      <c r="BD28" s="110">
        <v>1</v>
      </c>
      <c r="BE28">
        <f>IF(BE29=1,0,1)</f>
        <v>1</v>
      </c>
    </row>
    <row r="29" spans="1:57" ht="71.099999999999994" customHeight="1" x14ac:dyDescent="0.25">
      <c r="A29" s="294" t="s">
        <v>2004</v>
      </c>
      <c r="B29" s="295" t="s">
        <v>2005</v>
      </c>
      <c r="C29" s="295" t="s">
        <v>2007</v>
      </c>
      <c r="D29" s="446"/>
      <c r="E29" s="297"/>
      <c r="F29" s="297"/>
      <c r="G29" s="297"/>
      <c r="H29" s="214"/>
      <c r="I29" s="92" t="s">
        <v>168</v>
      </c>
      <c r="J29" s="92" t="s">
        <v>178</v>
      </c>
      <c r="K29" s="92" t="s">
        <v>185</v>
      </c>
      <c r="L29" s="71" t="s">
        <v>190</v>
      </c>
      <c r="M29" s="71"/>
      <c r="N29" s="71"/>
      <c r="O29" s="71"/>
      <c r="P29" s="71" t="s">
        <v>380</v>
      </c>
      <c r="Q29" s="71" t="b">
        <f t="shared" si="23"/>
        <v>0</v>
      </c>
      <c r="R29" s="71"/>
      <c r="S29" s="64">
        <v>45847</v>
      </c>
      <c r="T29" s="71"/>
      <c r="U29" s="97">
        <f>IF(OR($E$20="N/A",AND(BD29=0,'Cover Sheet'!$B$29="Streamlined Review"),AND(E29="Met",F29&lt;&gt;""),AND(E29="Not met",G29&lt;&gt;""),AND(E29="Unsure",G29&lt;&gt;""),AND(E29="N/A",H29&lt;&gt;""),AND(Y29=TRUE),X29=TRUE),1,0)</f>
        <v>1</v>
      </c>
      <c r="X29" s="126" t="b">
        <f>IF(OR(Y29=TRUE,W29=TRUE,AM29=TRUE,BE29=0),TRUE,FALSE)</f>
        <v>1</v>
      </c>
      <c r="Y29" s="126" t="b">
        <f t="shared" si="28"/>
        <v>0</v>
      </c>
      <c r="Z29" s="126">
        <f t="shared" si="29"/>
        <v>1</v>
      </c>
      <c r="AA29" s="126">
        <f t="shared" si="30"/>
        <v>0</v>
      </c>
      <c r="AB29" s="126">
        <f t="shared" si="31"/>
        <v>0</v>
      </c>
      <c r="AC29" s="126">
        <f t="shared" si="32"/>
        <v>0</v>
      </c>
      <c r="AD29" s="126">
        <f t="shared" si="33"/>
        <v>0</v>
      </c>
      <c r="AE29" s="126">
        <f t="shared" si="34"/>
        <v>0</v>
      </c>
      <c r="AF29" s="53" t="b">
        <f t="shared" si="9"/>
        <v>0</v>
      </c>
      <c r="AG29" s="54" t="b">
        <f t="shared" si="24"/>
        <v>0</v>
      </c>
      <c r="AL29" s="56" t="b">
        <f>IF(AND('Cover Sheet'!$B$19="Non-Risk",$R29=1),TRUE,FALSE)</f>
        <v>0</v>
      </c>
      <c r="AM29" s="56" t="b">
        <f t="shared" si="25"/>
        <v>0</v>
      </c>
      <c r="AO29" s="121"/>
      <c r="AP29" s="68"/>
      <c r="AQ29" s="68"/>
      <c r="AR29" s="68"/>
      <c r="AS29" s="68"/>
      <c r="AU29" s="69" t="str">
        <f t="shared" si="26"/>
        <v/>
      </c>
      <c r="BD29" s="110">
        <v>1</v>
      </c>
      <c r="BE29">
        <f>IF('Cover Sheet'!$B$25&gt;=S29,1,0)</f>
        <v>0</v>
      </c>
    </row>
    <row r="30" spans="1:57" ht="79.5" customHeight="1" x14ac:dyDescent="0.25">
      <c r="A30" s="294" t="s">
        <v>2008</v>
      </c>
      <c r="B30" s="295" t="s">
        <v>2009</v>
      </c>
      <c r="C30" s="295" t="s">
        <v>2010</v>
      </c>
      <c r="D30" s="446"/>
      <c r="E30" s="297"/>
      <c r="F30" s="297"/>
      <c r="G30" s="297"/>
      <c r="H30" s="214"/>
      <c r="I30" s="92" t="s">
        <v>168</v>
      </c>
      <c r="J30" s="92" t="s">
        <v>178</v>
      </c>
      <c r="K30" s="92" t="s">
        <v>185</v>
      </c>
      <c r="L30" s="71" t="s">
        <v>190</v>
      </c>
      <c r="M30" s="71"/>
      <c r="N30" s="71"/>
      <c r="O30" s="71"/>
      <c r="P30" s="71" t="s">
        <v>380</v>
      </c>
      <c r="Q30" s="71" t="b">
        <f t="shared" si="23"/>
        <v>0</v>
      </c>
      <c r="R30" s="71"/>
      <c r="S30" s="64">
        <v>42917</v>
      </c>
      <c r="T30" s="71"/>
      <c r="U30" s="97">
        <f>IF(OR($E$20="N/A",AND(BD30=0,'Cover Sheet'!$B$29="Streamlined Review"),AND(E30="Met",F30&lt;&gt;""),AND(E30="Not met",G30&lt;&gt;""),AND(E30="Unsure",G30&lt;&gt;""),AND(E30="N/A",H30&lt;&gt;""),AND(Y30=TRUE)),1,0)</f>
        <v>0</v>
      </c>
      <c r="X30" s="126" t="b">
        <f t="shared" si="27"/>
        <v>0</v>
      </c>
      <c r="Y30" s="126" t="b">
        <f t="shared" si="28"/>
        <v>0</v>
      </c>
      <c r="Z30" s="126">
        <f t="shared" si="29"/>
        <v>1</v>
      </c>
      <c r="AA30" s="126">
        <f t="shared" si="30"/>
        <v>0</v>
      </c>
      <c r="AB30" s="126">
        <f t="shared" si="31"/>
        <v>0</v>
      </c>
      <c r="AC30" s="126">
        <f t="shared" si="32"/>
        <v>0</v>
      </c>
      <c r="AD30" s="126">
        <f t="shared" si="33"/>
        <v>0</v>
      </c>
      <c r="AE30" s="126">
        <f t="shared" si="34"/>
        <v>0</v>
      </c>
      <c r="AF30" s="53" t="b">
        <f t="shared" ref="AF30:AF38" si="45">IF($H$1&lt;&gt;0,IF($H$1&lt;&gt;I30,IF($H$1&lt;&gt;J30,IF($H$1&lt;&gt;K30,IF($H$1&lt;&gt;L30,IF($H$1&lt;&gt;M30,IF($H$1&lt;&gt;N30,IF($H$1&lt;&gt;O30,TRUE,FALSE))))))))</f>
        <v>0</v>
      </c>
      <c r="AG30" s="54" t="b">
        <f t="shared" si="24"/>
        <v>0</v>
      </c>
      <c r="AL30" s="56" t="b">
        <f>IF(AND('Cover Sheet'!$B$19="Non-Risk",$R30=1),TRUE,FALSE)</f>
        <v>0</v>
      </c>
      <c r="AM30" s="56" t="b">
        <f t="shared" si="25"/>
        <v>0</v>
      </c>
      <c r="AO30" s="121"/>
      <c r="AP30" s="68"/>
      <c r="AQ30" s="68"/>
      <c r="AR30" s="68"/>
      <c r="AS30" s="68"/>
      <c r="AU30" s="69" t="str">
        <f t="shared" si="26"/>
        <v/>
      </c>
      <c r="BD30" s="110">
        <v>1</v>
      </c>
    </row>
    <row r="31" spans="1:57" ht="127.5" x14ac:dyDescent="0.25">
      <c r="A31" s="294" t="s">
        <v>2011</v>
      </c>
      <c r="B31" s="295" t="s">
        <v>2012</v>
      </c>
      <c r="C31" s="295" t="s">
        <v>2013</v>
      </c>
      <c r="D31" s="446"/>
      <c r="E31" s="297"/>
      <c r="F31" s="297"/>
      <c r="G31" s="297"/>
      <c r="H31" s="214"/>
      <c r="I31" s="92" t="s">
        <v>168</v>
      </c>
      <c r="J31" s="92" t="s">
        <v>178</v>
      </c>
      <c r="K31" s="92" t="s">
        <v>185</v>
      </c>
      <c r="L31" s="71" t="s">
        <v>190</v>
      </c>
      <c r="M31" s="71"/>
      <c r="N31" s="71"/>
      <c r="O31" s="71"/>
      <c r="P31" s="71" t="s">
        <v>380</v>
      </c>
      <c r="Q31" s="71" t="b">
        <f t="shared" si="23"/>
        <v>0</v>
      </c>
      <c r="R31" s="71"/>
      <c r="S31" s="64">
        <v>42917</v>
      </c>
      <c r="T31" s="71"/>
      <c r="U31" s="97">
        <f>IF(OR($E$20="N/A",AND(BD31=0,'Cover Sheet'!$B$29="Streamlined Review"),AND(E31="Met",F31&lt;&gt;""),AND(E31="Not met",G31&lt;&gt;""),AND(E31="Unsure",G31&lt;&gt;""),AND(E31="N/A",H31&lt;&gt;""),AND(Y31=TRUE)),1,0)</f>
        <v>0</v>
      </c>
      <c r="X31" s="126" t="b">
        <f t="shared" si="27"/>
        <v>0</v>
      </c>
      <c r="Y31" s="126" t="b">
        <f t="shared" si="28"/>
        <v>0</v>
      </c>
      <c r="Z31" s="126">
        <f t="shared" si="29"/>
        <v>1</v>
      </c>
      <c r="AA31" s="126">
        <f t="shared" si="30"/>
        <v>0</v>
      </c>
      <c r="AB31" s="126">
        <f t="shared" si="31"/>
        <v>0</v>
      </c>
      <c r="AC31" s="126">
        <f t="shared" si="32"/>
        <v>0</v>
      </c>
      <c r="AD31" s="126">
        <f t="shared" si="33"/>
        <v>0</v>
      </c>
      <c r="AE31" s="126">
        <f t="shared" si="34"/>
        <v>0</v>
      </c>
      <c r="AF31" s="53" t="b">
        <f t="shared" si="45"/>
        <v>0</v>
      </c>
      <c r="AG31" s="54" t="b">
        <f t="shared" si="24"/>
        <v>0</v>
      </c>
      <c r="AL31" s="56" t="b">
        <f>IF(AND('Cover Sheet'!$B$19="Non-Risk",$R31=1),TRUE,FALSE)</f>
        <v>0</v>
      </c>
      <c r="AM31" s="56" t="b">
        <f t="shared" si="25"/>
        <v>0</v>
      </c>
      <c r="AO31" s="121"/>
      <c r="AP31" s="68"/>
      <c r="AQ31" s="68"/>
      <c r="AR31" s="68"/>
      <c r="AS31" s="68"/>
      <c r="AU31" s="69" t="str">
        <f t="shared" si="26"/>
        <v/>
      </c>
      <c r="BD31" s="110">
        <v>1</v>
      </c>
    </row>
    <row r="32" spans="1:57" ht="76.5" x14ac:dyDescent="0.25">
      <c r="A32" s="294" t="s">
        <v>2014</v>
      </c>
      <c r="B32" s="295" t="s">
        <v>2015</v>
      </c>
      <c r="C32" s="295" t="s">
        <v>2016</v>
      </c>
      <c r="D32" s="446"/>
      <c r="E32" s="297"/>
      <c r="F32" s="297"/>
      <c r="G32" s="297"/>
      <c r="H32" s="214"/>
      <c r="I32" s="92" t="s">
        <v>168</v>
      </c>
      <c r="J32" s="92" t="s">
        <v>178</v>
      </c>
      <c r="K32" s="92" t="s">
        <v>185</v>
      </c>
      <c r="L32" s="71" t="s">
        <v>190</v>
      </c>
      <c r="M32" s="71"/>
      <c r="N32" s="71"/>
      <c r="O32" s="71"/>
      <c r="P32" s="71" t="s">
        <v>380</v>
      </c>
      <c r="Q32" s="71" t="b">
        <f t="shared" si="23"/>
        <v>0</v>
      </c>
      <c r="R32" s="71"/>
      <c r="S32" s="64">
        <v>42917</v>
      </c>
      <c r="T32" s="71"/>
      <c r="U32" s="97">
        <f>IF(OR($E$20="N/A",AND(BD32=0,'Cover Sheet'!$B$29="Streamlined Review"),AND(E32="Met",F32&lt;&gt;""),AND(E32="Not met",G32&lt;&gt;""),AND(E32="Unsure",G32&lt;&gt;""),AND(E32="N/A",H32&lt;&gt;""),AND(Y32=TRUE)),1,0)</f>
        <v>0</v>
      </c>
      <c r="X32" s="126" t="b">
        <f t="shared" si="27"/>
        <v>0</v>
      </c>
      <c r="Y32" s="126" t="b">
        <f t="shared" si="28"/>
        <v>0</v>
      </c>
      <c r="Z32" s="126">
        <f t="shared" si="29"/>
        <v>1</v>
      </c>
      <c r="AA32" s="126">
        <f t="shared" si="30"/>
        <v>0</v>
      </c>
      <c r="AB32" s="126">
        <f t="shared" si="31"/>
        <v>0</v>
      </c>
      <c r="AC32" s="126">
        <f t="shared" si="32"/>
        <v>0</v>
      </c>
      <c r="AD32" s="126">
        <f t="shared" si="33"/>
        <v>0</v>
      </c>
      <c r="AE32" s="126">
        <f t="shared" si="34"/>
        <v>0</v>
      </c>
      <c r="AF32" s="53" t="b">
        <f t="shared" si="45"/>
        <v>0</v>
      </c>
      <c r="AG32" s="54" t="b">
        <f t="shared" si="24"/>
        <v>0</v>
      </c>
      <c r="AL32" s="56" t="b">
        <f>IF(AND('Cover Sheet'!$B$19="Non-Risk",$R32=1),TRUE,FALSE)</f>
        <v>0</v>
      </c>
      <c r="AM32" s="56" t="b">
        <f t="shared" si="25"/>
        <v>0</v>
      </c>
      <c r="AO32" s="121"/>
      <c r="AP32" s="68"/>
      <c r="AQ32" s="68"/>
      <c r="AR32" s="68"/>
      <c r="AS32" s="68"/>
      <c r="AU32" s="69" t="str">
        <f t="shared" si="26"/>
        <v/>
      </c>
      <c r="BD32" s="110">
        <v>0</v>
      </c>
    </row>
    <row r="33" spans="1:57" ht="90" thickBot="1" x14ac:dyDescent="0.3">
      <c r="A33" s="294" t="s">
        <v>2017</v>
      </c>
      <c r="B33" s="295" t="s">
        <v>2018</v>
      </c>
      <c r="C33" s="295" t="s">
        <v>2019</v>
      </c>
      <c r="D33" s="447">
        <v>13</v>
      </c>
      <c r="E33" s="297"/>
      <c r="F33" s="297"/>
      <c r="G33" s="297"/>
      <c r="H33" s="214"/>
      <c r="I33" s="92" t="s">
        <v>168</v>
      </c>
      <c r="J33" s="92" t="s">
        <v>178</v>
      </c>
      <c r="K33" s="92" t="s">
        <v>185</v>
      </c>
      <c r="L33" s="71" t="s">
        <v>190</v>
      </c>
      <c r="M33" s="71"/>
      <c r="N33" s="71"/>
      <c r="O33" s="71"/>
      <c r="P33" s="71" t="s">
        <v>380</v>
      </c>
      <c r="Q33" s="71" t="b">
        <f t="shared" si="23"/>
        <v>0</v>
      </c>
      <c r="R33" s="71"/>
      <c r="S33" s="64">
        <v>42917</v>
      </c>
      <c r="T33" s="71"/>
      <c r="U33" s="97">
        <f>IF(OR($E$20="N/A",AND(BD33=0,'Cover Sheet'!$B$29="Streamlined Review"),AND(E33="Met",F33&lt;&gt;""),AND(E33="Not met",G33&lt;&gt;""),AND(E33="Unsure",G33&lt;&gt;""),AND(E33="N/A",H33&lt;&gt;""),AND(Y33=TRUE)),1,0)</f>
        <v>0</v>
      </c>
      <c r="X33" s="126" t="b">
        <f t="shared" si="27"/>
        <v>0</v>
      </c>
      <c r="Y33" s="126" t="b">
        <f t="shared" si="28"/>
        <v>0</v>
      </c>
      <c r="Z33" s="126">
        <f t="shared" si="29"/>
        <v>1</v>
      </c>
      <c r="AA33" s="126">
        <f t="shared" si="30"/>
        <v>0</v>
      </c>
      <c r="AB33" s="126">
        <f t="shared" si="31"/>
        <v>0</v>
      </c>
      <c r="AC33" s="126">
        <f t="shared" si="32"/>
        <v>0</v>
      </c>
      <c r="AD33" s="126">
        <f t="shared" si="33"/>
        <v>0</v>
      </c>
      <c r="AE33" s="126">
        <f t="shared" si="34"/>
        <v>0</v>
      </c>
      <c r="AF33" s="53" t="b">
        <f t="shared" si="45"/>
        <v>0</v>
      </c>
      <c r="AG33" s="54" t="b">
        <f t="shared" si="24"/>
        <v>0</v>
      </c>
      <c r="AL33" s="56" t="b">
        <f>IF(AND('Cover Sheet'!$B$19="Non-Risk",$R33=1),TRUE,FALSE)</f>
        <v>0</v>
      </c>
      <c r="AM33" s="56" t="b">
        <f t="shared" si="25"/>
        <v>0</v>
      </c>
      <c r="AO33" s="121"/>
      <c r="AP33" s="68"/>
      <c r="AQ33" s="68"/>
      <c r="AR33" s="68"/>
      <c r="AS33" s="68"/>
      <c r="AU33" s="69" t="str">
        <f t="shared" si="26"/>
        <v/>
      </c>
      <c r="BD33" s="110">
        <v>0</v>
      </c>
    </row>
    <row r="34" spans="1:57" ht="15.75" thickBot="1" x14ac:dyDescent="0.3">
      <c r="A34" s="450"/>
      <c r="B34" s="451"/>
      <c r="C34" s="452" t="s">
        <v>86</v>
      </c>
      <c r="D34" s="442"/>
      <c r="E34" s="443"/>
      <c r="F34" s="333"/>
      <c r="G34" s="444"/>
      <c r="H34" s="445"/>
      <c r="I34" s="74"/>
      <c r="J34" s="74"/>
      <c r="K34" s="74"/>
      <c r="L34" s="87"/>
      <c r="M34" s="87"/>
      <c r="S34" s="116"/>
      <c r="U34" s="126"/>
      <c r="AL34" s="68"/>
      <c r="AM34" s="68"/>
      <c r="AO34" s="121"/>
      <c r="AP34" s="68"/>
      <c r="AQ34" s="68"/>
      <c r="AR34" s="68"/>
      <c r="AS34" s="68"/>
      <c r="BC34" s="116"/>
      <c r="BD34" s="110"/>
    </row>
    <row r="35" spans="1:57" ht="89.25" x14ac:dyDescent="0.25">
      <c r="A35" s="254" t="s">
        <v>2020</v>
      </c>
      <c r="B35" s="255" t="s">
        <v>2021</v>
      </c>
      <c r="C35" s="255" t="s">
        <v>2022</v>
      </c>
      <c r="D35" s="505">
        <v>14</v>
      </c>
      <c r="E35" s="297"/>
      <c r="F35" s="313"/>
      <c r="G35" s="313"/>
      <c r="H35" s="314"/>
      <c r="I35" s="92" t="s">
        <v>168</v>
      </c>
      <c r="J35" s="92" t="s">
        <v>178</v>
      </c>
      <c r="K35" s="92" t="s">
        <v>185</v>
      </c>
      <c r="L35" s="71" t="s">
        <v>190</v>
      </c>
      <c r="M35" s="71"/>
      <c r="N35" s="71"/>
      <c r="O35" s="71"/>
      <c r="P35" s="71" t="s">
        <v>380</v>
      </c>
      <c r="Q35" s="71" t="b">
        <f>IF(OR(AND($C$2="Base contract",$C$3="No, section requirements must be reviewed", $AF35=FALSE,$AG35=FALSE),AND($C$2="Contract amendment",$C$3="No, section requirements must be reviewed",$AF35=FALSE,$AG35=FALSE)),"MUNN")</f>
        <v>0</v>
      </c>
      <c r="R35" s="71"/>
      <c r="S35" s="64">
        <v>42917</v>
      </c>
      <c r="T35" s="71"/>
      <c r="U35" s="97">
        <f>IF(OR($E$34="N/A",AND(BD35=0,'Cover Sheet'!$B$29="Streamlined Review"),AND(E35="Met",F35&lt;&gt;""),AND(E35="Not met",G35&lt;&gt;""),AND(E35="Unsure",G35&lt;&gt;""),AND(E35="N/A",H35&lt;&gt;""),AND(Y35=TRUE)),1,0)</f>
        <v>0</v>
      </c>
      <c r="X35" s="126" t="b">
        <f>IF(OR(Y35=TRUE,W35=TRUE,AM35=TRUE),TRUE,FALSE)</f>
        <v>0</v>
      </c>
      <c r="Y35" s="126" t="b">
        <f>IF(SUM(Z35:AE35)&lt;1,TRUE,FALSE)</f>
        <v>0</v>
      </c>
      <c r="Z35" s="126">
        <f>IF($Z$2=I35,1,0)</f>
        <v>1</v>
      </c>
      <c r="AA35" s="126">
        <f>IF($AA$2=J35,1,0)</f>
        <v>0</v>
      </c>
      <c r="AB35" s="126">
        <f>IF($AB$2=K35,1,0)</f>
        <v>0</v>
      </c>
      <c r="AC35" s="126">
        <f>IF($AC$2=L35,1,0)</f>
        <v>0</v>
      </c>
      <c r="AD35" s="126">
        <f>IF($AD$2=M35,1,0)</f>
        <v>0</v>
      </c>
      <c r="AE35" s="126">
        <f>IF($AE$2=O35,1,0)</f>
        <v>0</v>
      </c>
      <c r="AF35" s="53" t="b">
        <f t="shared" si="45"/>
        <v>0</v>
      </c>
      <c r="AG35" s="54" t="b">
        <f>IF(OR(AL35=TRUE,AM35=TRUE),TRUE,FALSE)</f>
        <v>0</v>
      </c>
      <c r="AL35" s="56" t="b">
        <f>IF(AND('Cover Sheet'!$B$19="Non-Risk",$R35=1),TRUE,FALSE)</f>
        <v>0</v>
      </c>
      <c r="AM35" s="56" t="b">
        <f>IF(OR(AND($H$6="Medicaid",MID($A35,1,FIND(".",$A35,1)-1)="II"),AND($H$6="CHIP",MID($A35,1,FIND(".",$A35,1)-1)="I")),TRUE,FALSE)</f>
        <v>0</v>
      </c>
      <c r="AO35" s="121"/>
      <c r="AP35" s="68"/>
      <c r="AQ35" s="68"/>
      <c r="AR35" s="68"/>
      <c r="AS35" s="68"/>
      <c r="AU35" s="69" t="str">
        <f>IF(AT35=1,1,"")</f>
        <v/>
      </c>
      <c r="BD35" s="110">
        <v>1</v>
      </c>
    </row>
    <row r="36" spans="1:57" ht="51" x14ac:dyDescent="0.25">
      <c r="A36" s="294" t="s">
        <v>2023</v>
      </c>
      <c r="B36" s="295" t="s">
        <v>2024</v>
      </c>
      <c r="C36" s="295" t="s">
        <v>2025</v>
      </c>
      <c r="D36" s="446"/>
      <c r="E36" s="297"/>
      <c r="F36" s="313"/>
      <c r="G36" s="297"/>
      <c r="H36" s="214"/>
      <c r="I36" s="92" t="s">
        <v>168</v>
      </c>
      <c r="J36" s="92" t="s">
        <v>178</v>
      </c>
      <c r="K36" s="92" t="s">
        <v>185</v>
      </c>
      <c r="L36" s="71" t="s">
        <v>190</v>
      </c>
      <c r="M36" s="71"/>
      <c r="N36" s="71"/>
      <c r="O36" s="71"/>
      <c r="P36" s="71" t="s">
        <v>380</v>
      </c>
      <c r="Q36" s="71" t="b">
        <f>IF(OR(AND($C$2="Base contract",$C$3="No, section requirements must be reviewed", $AF36=FALSE,$AG36=FALSE),AND($C$2="Contract amendment",$C$3="No, section requirements must be reviewed",$AF36=FALSE,$AG36=FALSE)),"MUNN")</f>
        <v>0</v>
      </c>
      <c r="R36" s="71"/>
      <c r="S36" s="64">
        <v>42917</v>
      </c>
      <c r="T36" s="71"/>
      <c r="U36" s="97">
        <f>IF(OR($E$34="N/A",AND(BD36=0,'Cover Sheet'!$B$29="Streamlined Review"),AND(E36="Met",F36&lt;&gt;""),AND(E36="Not met",G36&lt;&gt;""),AND(E36="Unsure",G36&lt;&gt;""),AND(E36="N/A",H36&lt;&gt;""),AND(Y36=TRUE)),1,0)</f>
        <v>0</v>
      </c>
      <c r="X36" s="126" t="b">
        <f>IF(OR(Y36=TRUE,W36=TRUE,AM36=TRUE),TRUE,FALSE)</f>
        <v>0</v>
      </c>
      <c r="Y36" s="126" t="b">
        <f>IF(SUM(Z36:AE36)&lt;1,TRUE,FALSE)</f>
        <v>0</v>
      </c>
      <c r="Z36" s="126">
        <f>IF($Z$2=I36,1,0)</f>
        <v>1</v>
      </c>
      <c r="AA36" s="126">
        <f>IF($AA$2=J36,1,0)</f>
        <v>0</v>
      </c>
      <c r="AB36" s="126">
        <f>IF($AB$2=K36,1,0)</f>
        <v>0</v>
      </c>
      <c r="AC36" s="126">
        <f>IF($AC$2=L36,1,0)</f>
        <v>0</v>
      </c>
      <c r="AD36" s="126">
        <f>IF($AD$2=M36,1,0)</f>
        <v>0</v>
      </c>
      <c r="AE36" s="126">
        <f>IF($AE$2=O36,1,0)</f>
        <v>0</v>
      </c>
      <c r="AF36" s="53" t="b">
        <f t="shared" si="45"/>
        <v>0</v>
      </c>
      <c r="AG36" s="54" t="b">
        <f>IF(OR(AL36=TRUE,AM36=TRUE),TRUE,FALSE)</f>
        <v>0</v>
      </c>
      <c r="AL36" s="56" t="b">
        <f>IF(AND('Cover Sheet'!$B$19="Non-Risk",$R36=1),TRUE,FALSE)</f>
        <v>0</v>
      </c>
      <c r="AM36" s="56" t="b">
        <f>IF(OR(AND($H$6="Medicaid",MID($A36,1,FIND(".",$A36,1)-1)="II"),AND($H$6="CHIP",MID($A36,1,FIND(".",$A36,1)-1)="I")),TRUE,FALSE)</f>
        <v>0</v>
      </c>
      <c r="AO36" s="121"/>
      <c r="AP36" s="68"/>
      <c r="AQ36" s="68"/>
      <c r="AR36" s="68"/>
      <c r="AS36" s="68"/>
      <c r="AU36" s="69" t="str">
        <f>IF(AT36=1,1,"")</f>
        <v/>
      </c>
      <c r="BD36" s="110">
        <v>0</v>
      </c>
    </row>
    <row r="37" spans="1:57" ht="55.5" customHeight="1" x14ac:dyDescent="0.25">
      <c r="A37" s="294" t="s">
        <v>2026</v>
      </c>
      <c r="B37" s="295" t="s">
        <v>2027</v>
      </c>
      <c r="C37" s="295" t="s">
        <v>2028</v>
      </c>
      <c r="D37" s="446"/>
      <c r="E37" s="297"/>
      <c r="F37" s="313"/>
      <c r="G37" s="297"/>
      <c r="H37" s="214"/>
      <c r="I37" s="92" t="s">
        <v>168</v>
      </c>
      <c r="J37" s="92" t="s">
        <v>178</v>
      </c>
      <c r="K37" s="92" t="s">
        <v>185</v>
      </c>
      <c r="L37" s="71" t="s">
        <v>190</v>
      </c>
      <c r="M37" s="71"/>
      <c r="N37" s="71"/>
      <c r="O37" s="71"/>
      <c r="P37" s="71" t="s">
        <v>380</v>
      </c>
      <c r="Q37" s="71" t="b">
        <f>IF(OR(AND($C$2="Base contract",$C$3="No, section requirements must be reviewed", $AF37=FALSE,$AG37=FALSE),AND($C$2="Contract amendment",$C$3="No, section requirements must be reviewed",$AF37=FALSE,$AG37=FALSE)),"MUNN")</f>
        <v>0</v>
      </c>
      <c r="R37" s="71"/>
      <c r="S37" s="64"/>
      <c r="T37" s="71"/>
      <c r="U37" s="97">
        <f>IF(OR($E$34="N/A",AND(BD37=0,'Cover Sheet'!$B$29="Streamlined Review"),AND(E37="Met",F37&lt;&gt;""),AND(E37="Not met",G37&lt;&gt;""),AND(E37="Unsure",G37&lt;&gt;""),AND(E37="N/A",H37&lt;&gt;""),AND(Y37=TRUE),X37=TRUE),1,0)</f>
        <v>0</v>
      </c>
      <c r="X37" s="126" t="b">
        <f>IF(OR(Y37=TRUE,W37=TRUE,AM37=TRUE,BE37=0),TRUE,FALSE)</f>
        <v>0</v>
      </c>
      <c r="Y37" s="126" t="b">
        <f>IF(SUM(Z37:AE37)&lt;1,TRUE,FALSE)</f>
        <v>0</v>
      </c>
      <c r="Z37" s="126">
        <f>IF($Z$2=I37,1,0)</f>
        <v>1</v>
      </c>
      <c r="AA37" s="126">
        <f>IF($AA$2=J37,1,0)</f>
        <v>0</v>
      </c>
      <c r="AB37" s="126">
        <f>IF($AB$2=K37,1,0)</f>
        <v>0</v>
      </c>
      <c r="AC37" s="126">
        <f>IF($AC$2=L37,1,0)</f>
        <v>0</v>
      </c>
      <c r="AD37" s="126">
        <f>IF($AD$2=M37,1,0)</f>
        <v>0</v>
      </c>
      <c r="AE37" s="126">
        <f>IF($AE$2=O37,1,0)</f>
        <v>0</v>
      </c>
      <c r="AF37" s="53" t="b">
        <f t="shared" ref="AF37" si="46">IF($H$1&lt;&gt;0,IF($H$1&lt;&gt;I37,IF($H$1&lt;&gt;J37,IF($H$1&lt;&gt;K37,IF($H$1&lt;&gt;L37,IF($H$1&lt;&gt;M37,IF($H$1&lt;&gt;N37,IF($H$1&lt;&gt;O37,TRUE,FALSE))))))))</f>
        <v>0</v>
      </c>
      <c r="AG37" s="54" t="b">
        <f>IF(OR(AL37=TRUE,AM37=TRUE),TRUE,FALSE)</f>
        <v>0</v>
      </c>
      <c r="AL37" s="56" t="b">
        <f>IF(AND('Cover Sheet'!$B$19="Non-Risk",$R37=1),TRUE,FALSE)</f>
        <v>0</v>
      </c>
      <c r="AM37" s="56" t="b">
        <f>IF(OR(AND($H$6="Medicaid",MID($A37,1,FIND(".",$A37,1)-1)="II"),AND($H$6="CHIP",MID($A37,1,FIND(".",$A37,1)-1)="I")),TRUE,FALSE)</f>
        <v>0</v>
      </c>
      <c r="AO37" s="121"/>
      <c r="AP37" s="68"/>
      <c r="AQ37" s="68"/>
      <c r="AR37" s="68"/>
      <c r="AS37" s="68"/>
      <c r="AU37" s="69" t="str">
        <f>IF(AT37=1,1,"")</f>
        <v/>
      </c>
      <c r="BD37" s="110">
        <v>0</v>
      </c>
      <c r="BE37">
        <f>IF(BE38=1,0,1)</f>
        <v>1</v>
      </c>
    </row>
    <row r="38" spans="1:57" ht="55.5" customHeight="1" thickBot="1" x14ac:dyDescent="0.3">
      <c r="A38" s="294" t="s">
        <v>2026</v>
      </c>
      <c r="B38" s="295" t="s">
        <v>2027</v>
      </c>
      <c r="C38" s="295" t="s">
        <v>2029</v>
      </c>
      <c r="D38" s="446"/>
      <c r="E38" s="297"/>
      <c r="F38" s="313"/>
      <c r="G38" s="297"/>
      <c r="H38" s="214"/>
      <c r="I38" s="92" t="s">
        <v>168</v>
      </c>
      <c r="J38" s="92" t="s">
        <v>178</v>
      </c>
      <c r="K38" s="92" t="s">
        <v>185</v>
      </c>
      <c r="L38" s="71" t="s">
        <v>190</v>
      </c>
      <c r="M38" s="71"/>
      <c r="N38" s="71"/>
      <c r="O38" s="71"/>
      <c r="P38" s="71" t="s">
        <v>380</v>
      </c>
      <c r="Q38" s="71" t="b">
        <f>IF(OR(AND($C$2="Base contract",$C$3="No, section requirements must be reviewed", $AF38=FALSE,$AG38=FALSE),AND($C$2="Contract amendment",$C$3="No, section requirements must be reviewed",$AF38=FALSE,$AG38=FALSE)),"MUNN")</f>
        <v>0</v>
      </c>
      <c r="R38" s="71"/>
      <c r="S38" s="64">
        <v>45847</v>
      </c>
      <c r="T38" s="71"/>
      <c r="U38" s="97">
        <f>IF(OR($E$34="N/A",AND(BD38=0,'Cover Sheet'!$B$29="Streamlined Review"),AND(E38="Met",F38&lt;&gt;""),AND(E38="Not met",G38&lt;&gt;""),AND(E38="Unsure",G38&lt;&gt;""),AND(E38="N/A",H38&lt;&gt;""),AND(Y38=TRUE),X38=TRUE),1,0)</f>
        <v>1</v>
      </c>
      <c r="X38" s="126" t="b">
        <f>IF(OR(Y38=TRUE,W38=TRUE,AM38=TRUE,BE38=0),TRUE,FALSE)</f>
        <v>1</v>
      </c>
      <c r="Y38" s="126" t="b">
        <f>IF(SUM(Z38:AE38)&lt;1,TRUE,FALSE)</f>
        <v>0</v>
      </c>
      <c r="Z38" s="126">
        <f>IF($Z$2=I38,1,0)</f>
        <v>1</v>
      </c>
      <c r="AA38" s="126">
        <f>IF($AA$2=J38,1,0)</f>
        <v>0</v>
      </c>
      <c r="AB38" s="126">
        <f>IF($AB$2=K38,1,0)</f>
        <v>0</v>
      </c>
      <c r="AC38" s="126">
        <f>IF($AC$2=L38,1,0)</f>
        <v>0</v>
      </c>
      <c r="AD38" s="126">
        <f>IF($AD$2=M38,1,0)</f>
        <v>0</v>
      </c>
      <c r="AE38" s="126">
        <f>IF($AE$2=O38,1,0)</f>
        <v>0</v>
      </c>
      <c r="AF38" s="53" t="b">
        <f t="shared" si="45"/>
        <v>0</v>
      </c>
      <c r="AG38" s="54" t="b">
        <f>IF(OR(AL38=TRUE,AM38=TRUE),TRUE,FALSE)</f>
        <v>0</v>
      </c>
      <c r="AL38" s="56" t="b">
        <f>IF(AND('Cover Sheet'!$B$19="Non-Risk",$R38=1),TRUE,FALSE)</f>
        <v>0</v>
      </c>
      <c r="AM38" s="56" t="b">
        <f>IF(OR(AND($H$6="Medicaid",MID($A38,1,FIND(".",$A38,1)-1)="II"),AND($H$6="CHIP",MID($A38,1,FIND(".",$A38,1)-1)="I")),TRUE,FALSE)</f>
        <v>0</v>
      </c>
      <c r="AO38" s="121"/>
      <c r="AP38" s="68"/>
      <c r="AQ38" s="68"/>
      <c r="AR38" s="68"/>
      <c r="AS38" s="68"/>
      <c r="AU38" s="69" t="str">
        <f>IF(AT38=1,1,"")</f>
        <v/>
      </c>
      <c r="BD38" s="110">
        <v>0</v>
      </c>
      <c r="BE38">
        <f>IF('Cover Sheet'!$B$25&gt;=S38,1,0)</f>
        <v>0</v>
      </c>
    </row>
    <row r="39" spans="1:57" ht="15.75" thickBot="1" x14ac:dyDescent="0.3">
      <c r="A39" s="457"/>
      <c r="B39" s="458"/>
      <c r="C39" s="459" t="s">
        <v>87</v>
      </c>
      <c r="D39" s="478"/>
      <c r="E39" s="443"/>
      <c r="F39" s="479"/>
      <c r="G39" s="479"/>
      <c r="H39" s="480"/>
      <c r="I39" s="74"/>
      <c r="J39" s="74"/>
      <c r="K39" s="74"/>
      <c r="L39" s="87"/>
      <c r="M39" s="87"/>
      <c r="S39" s="116"/>
      <c r="U39" s="126"/>
      <c r="AL39" s="68"/>
      <c r="AM39" s="68"/>
      <c r="AO39" s="121"/>
      <c r="AP39" s="68"/>
      <c r="AQ39" s="68"/>
      <c r="AR39" s="68"/>
      <c r="AS39" s="68"/>
      <c r="BC39" s="116"/>
      <c r="BD39" s="110"/>
    </row>
    <row r="40" spans="1:57" ht="201.75" customHeight="1" thickBot="1" x14ac:dyDescent="0.3">
      <c r="A40" s="460" t="s">
        <v>2030</v>
      </c>
      <c r="B40" s="503" t="s">
        <v>2031</v>
      </c>
      <c r="C40" s="461" t="s">
        <v>2032</v>
      </c>
      <c r="D40" s="487">
        <v>15</v>
      </c>
      <c r="E40" s="318"/>
      <c r="F40" s="318"/>
      <c r="G40" s="318"/>
      <c r="H40" s="319"/>
      <c r="I40" s="92" t="s">
        <v>168</v>
      </c>
      <c r="J40" s="92" t="s">
        <v>178</v>
      </c>
      <c r="K40" s="92" t="s">
        <v>185</v>
      </c>
      <c r="L40" s="71" t="s">
        <v>190</v>
      </c>
      <c r="M40" s="71" t="s">
        <v>195</v>
      </c>
      <c r="N40" s="71"/>
      <c r="O40" s="71" t="s">
        <v>200</v>
      </c>
      <c r="P40" s="71" t="s">
        <v>397</v>
      </c>
      <c r="Q40" s="71" t="e">
        <f>IF(OR(AND($C$2="Base contract",$C$3="No, section requirements must be reviewed", $AF40=FALSE,$AG40=FALSE),AND($C$2="Contract amendment",$C$3="No, section requirements must be reviewed",$AF40=FALSE,$AG40=FALSE)),"MUNN")</f>
        <v>#REF!</v>
      </c>
      <c r="R40" s="71"/>
      <c r="S40" s="64">
        <v>44196</v>
      </c>
      <c r="T40" s="71" t="s">
        <v>2033</v>
      </c>
      <c r="U40" s="97">
        <f>IF(OR($E$39="N/A",AND(BD40=0,'Cover Sheet'!$B$29="Streamlined Review"),AND(E40="Met",F40&lt;&gt;""),AND(E40="Not met",G40&lt;&gt;""),AND(E40="Unsure",G40&lt;&gt;""),AND(E40="N/A",H40&lt;&gt;""),AND(Y40=TRUE)),1,0)</f>
        <v>0</v>
      </c>
      <c r="V40" s="53" t="str">
        <f>IF(AND($V$2="Non-risk",T40="RP"),"DATE",T40)</f>
        <v>DATE</v>
      </c>
      <c r="X40" s="126" t="b">
        <f>IF(OR(Y40=TRUE,W40=TRUE,AM40=TRUE),TRUE,FALSE)</f>
        <v>0</v>
      </c>
      <c r="Y40" s="126" t="b">
        <f>IF(SUM(Z40:AE40)&lt;1,TRUE,FALSE)</f>
        <v>0</v>
      </c>
      <c r="Z40" s="126">
        <f>IF($Z$2=I40,1,0)</f>
        <v>1</v>
      </c>
      <c r="AA40" s="126">
        <f>IF($AA$2=J40,1,0)</f>
        <v>0</v>
      </c>
      <c r="AB40" s="126">
        <f>IF($AB$2=K40,1,0)</f>
        <v>0</v>
      </c>
      <c r="AC40" s="126">
        <f>IF($AC$2=L40,1,0)</f>
        <v>0</v>
      </c>
      <c r="AD40" s="126">
        <f>IF($AD$2=M40,1,0)</f>
        <v>0</v>
      </c>
      <c r="AE40" s="126">
        <f>IF($AE$2=O40,1,0)</f>
        <v>0</v>
      </c>
      <c r="AF40" s="53" t="b">
        <f>IF($H$1&lt;&gt;0,IF($H$1&lt;&gt;I40,IF($H$1&lt;&gt;J40,IF($H$1&lt;&gt;K40,IF($H$1&lt;&gt;L40,IF($H$1&lt;&gt;M40,IF($H$1&lt;&gt;N40,IF($H$1&lt;&gt;O40,TRUE,FALSE))))))))</f>
        <v>0</v>
      </c>
      <c r="AG40" s="54" t="e">
        <f>IF(AND(AH40=TRUE,AI40=""),FALSE,IF(AND(AI40=TRUE,AH40=""),TRUE,IF(AND(AH40=TRUE,AI40=TRUE),TRUE)))</f>
        <v>#REF!</v>
      </c>
      <c r="AH40" s="54" t="e">
        <f>IF(OR($AG$2=TRUE,AND('Cover Sheet'!$B$19="Risk")),TRUE,"")</f>
        <v>#REF!</v>
      </c>
      <c r="AI40" s="54" t="e">
        <f>IF(OR(AJ40=TRUE,AK40=TRUE,AL40=TRUE,AM40=TRUE),TRUE,"")</f>
        <v>#REF!</v>
      </c>
      <c r="AJ40" s="56" t="e">
        <f>IF(V40="DATE",IF($AG$2=FALSE,IF(S40&gt;$AH$2,TRUE,"ReqEffectiveEarlierThanContractDate"),"Dates Missing"),"Not DATE")</f>
        <v>#REF!</v>
      </c>
      <c r="AK40" s="56" t="str">
        <f>IF(V40="RP",IF($AG$2=FALSE,IF(S40&gt;$AI$2,TRUE,"ReqEffectiveEarlierThanRatePeriodStartDate"),"Dates Missing"),"Not RP")</f>
        <v>Not RP</v>
      </c>
      <c r="AL40" s="56" t="b">
        <f>IF(AND('Cover Sheet'!$B$19="Non-Risk",$R40=1),TRUE,FALSE)</f>
        <v>0</v>
      </c>
      <c r="AM40" s="56" t="b">
        <f>IF(OR(AND($H$6="Medicaid",MID($A40,1,FIND(".",$A40,1)-1)="II"),AND($H$6="CHIP",MID($A40,1,FIND(".",$A40,1)-1)="I")),TRUE,FALSE)</f>
        <v>0</v>
      </c>
      <c r="AO40" s="121"/>
      <c r="AP40" s="68"/>
      <c r="AQ40" s="68"/>
      <c r="AR40" s="68"/>
      <c r="AS40" s="68"/>
      <c r="AU40" s="69" t="str">
        <f>IF(AT40=1,1,"")</f>
        <v/>
      </c>
      <c r="BC40" s="64" t="s">
        <v>2033</v>
      </c>
      <c r="BD40" s="110">
        <v>1</v>
      </c>
    </row>
    <row r="41" spans="1:57" x14ac:dyDescent="0.25">
      <c r="A41" s="302" t="s">
        <v>442</v>
      </c>
      <c r="B41" s="303"/>
      <c r="C41" s="547"/>
      <c r="D41" s="304"/>
      <c r="E41" s="269"/>
      <c r="F41" s="270"/>
      <c r="G41" s="271"/>
      <c r="H41" s="271"/>
      <c r="AO41" s="121"/>
      <c r="AP41" s="68"/>
      <c r="AQ41" s="68"/>
    </row>
    <row r="42" spans="1:57" ht="32.25" customHeight="1" x14ac:dyDescent="0.25">
      <c r="A42" s="417">
        <v>1</v>
      </c>
      <c r="B42" s="571" t="s">
        <v>2034</v>
      </c>
      <c r="C42" s="571"/>
      <c r="D42" s="571"/>
      <c r="E42" s="571"/>
      <c r="F42" s="571"/>
      <c r="G42" s="571"/>
      <c r="H42" s="571"/>
      <c r="AO42" s="121"/>
      <c r="AP42" s="68"/>
      <c r="AQ42" s="68"/>
      <c r="AR42" s="68"/>
      <c r="AS42" s="68"/>
    </row>
    <row r="43" spans="1:57" ht="27.75" customHeight="1" x14ac:dyDescent="0.25">
      <c r="A43" s="417">
        <v>2</v>
      </c>
      <c r="B43" s="571" t="s">
        <v>2035</v>
      </c>
      <c r="C43" s="571"/>
      <c r="D43" s="571"/>
      <c r="E43" s="571"/>
      <c r="F43" s="571"/>
      <c r="G43" s="571"/>
      <c r="H43" s="571"/>
      <c r="AO43" s="121"/>
      <c r="AP43" s="68"/>
      <c r="AQ43" s="68"/>
      <c r="AR43" s="68"/>
      <c r="AS43" s="68"/>
    </row>
    <row r="44" spans="1:57" ht="16.5" customHeight="1" x14ac:dyDescent="0.25">
      <c r="A44" s="417">
        <v>3</v>
      </c>
      <c r="B44" s="571" t="s">
        <v>2036</v>
      </c>
      <c r="C44" s="571"/>
      <c r="D44" s="571"/>
      <c r="E44" s="571"/>
      <c r="F44" s="571"/>
      <c r="G44" s="571"/>
      <c r="H44" s="571"/>
      <c r="AO44" s="121"/>
      <c r="AP44" s="68"/>
      <c r="AQ44" s="68"/>
      <c r="AR44" s="68"/>
      <c r="AS44" s="68"/>
    </row>
    <row r="45" spans="1:57" ht="252.75" customHeight="1" x14ac:dyDescent="0.25">
      <c r="A45" s="417">
        <v>4</v>
      </c>
      <c r="B45" s="571" t="s">
        <v>2037</v>
      </c>
      <c r="C45" s="571"/>
      <c r="D45" s="571"/>
      <c r="E45" s="571"/>
      <c r="F45" s="571"/>
      <c r="G45" s="571"/>
      <c r="H45" s="571"/>
      <c r="AO45" s="121"/>
      <c r="AP45" s="68"/>
      <c r="AQ45" s="68"/>
      <c r="AR45" s="68"/>
      <c r="AS45" s="68"/>
    </row>
    <row r="46" spans="1:57" ht="15.75" customHeight="1" x14ac:dyDescent="0.25">
      <c r="A46" s="417">
        <v>5</v>
      </c>
      <c r="B46" s="571" t="s">
        <v>2038</v>
      </c>
      <c r="C46" s="571"/>
      <c r="D46" s="571"/>
      <c r="E46" s="571"/>
      <c r="F46" s="571"/>
      <c r="G46" s="571"/>
      <c r="H46" s="571"/>
      <c r="AO46" s="121"/>
      <c r="AP46" s="68"/>
      <c r="AQ46" s="68"/>
      <c r="AR46" s="68"/>
      <c r="AS46" s="68"/>
    </row>
    <row r="47" spans="1:57" ht="28.5" customHeight="1" x14ac:dyDescent="0.25">
      <c r="A47" s="417">
        <v>6</v>
      </c>
      <c r="B47" s="571" t="s">
        <v>2039</v>
      </c>
      <c r="C47" s="571"/>
      <c r="D47" s="571"/>
      <c r="E47" s="571"/>
      <c r="F47" s="571"/>
      <c r="G47" s="571"/>
      <c r="H47" s="571"/>
      <c r="AO47" s="121"/>
      <c r="AP47" s="68"/>
      <c r="AQ47" s="68"/>
      <c r="AR47" s="68"/>
      <c r="AS47" s="68"/>
    </row>
    <row r="48" spans="1:57" ht="53.1" customHeight="1" x14ac:dyDescent="0.25">
      <c r="A48" s="417">
        <v>7</v>
      </c>
      <c r="B48" s="571" t="s">
        <v>2040</v>
      </c>
      <c r="C48" s="571"/>
      <c r="D48" s="571"/>
      <c r="E48" s="571"/>
      <c r="F48" s="571"/>
      <c r="G48" s="571"/>
      <c r="H48" s="571"/>
      <c r="AO48" s="121"/>
      <c r="AP48" s="68"/>
      <c r="AQ48" s="68"/>
      <c r="AR48" s="68"/>
      <c r="AS48" s="68"/>
    </row>
    <row r="49" spans="1:45" ht="54" customHeight="1" x14ac:dyDescent="0.25">
      <c r="A49" s="417">
        <v>8</v>
      </c>
      <c r="B49" s="571" t="s">
        <v>2041</v>
      </c>
      <c r="C49" s="571"/>
      <c r="D49" s="571"/>
      <c r="E49" s="571"/>
      <c r="F49" s="571"/>
      <c r="G49" s="571"/>
      <c r="H49" s="571"/>
      <c r="AO49" s="121"/>
      <c r="AP49" s="68"/>
      <c r="AQ49" s="68"/>
      <c r="AR49" s="68"/>
      <c r="AS49" s="68"/>
    </row>
    <row r="50" spans="1:45" x14ac:dyDescent="0.25">
      <c r="A50" s="417">
        <v>9</v>
      </c>
      <c r="B50" s="571" t="s">
        <v>2042</v>
      </c>
      <c r="C50" s="571"/>
      <c r="D50" s="571"/>
      <c r="E50" s="571"/>
      <c r="F50" s="571"/>
      <c r="G50" s="571"/>
      <c r="H50" s="571"/>
      <c r="I50" s="598"/>
      <c r="J50" s="599"/>
      <c r="K50" s="599"/>
      <c r="L50" s="599"/>
      <c r="M50" s="599"/>
      <c r="N50" s="599"/>
      <c r="O50" s="599"/>
      <c r="P50" s="599"/>
      <c r="Q50" s="599"/>
      <c r="R50" s="599"/>
      <c r="AO50" s="121"/>
      <c r="AP50" s="68"/>
      <c r="AQ50" s="68"/>
      <c r="AR50" s="68"/>
      <c r="AS50" s="68"/>
    </row>
    <row r="51" spans="1:45" x14ac:dyDescent="0.25">
      <c r="A51" s="417">
        <v>10</v>
      </c>
      <c r="B51" s="571" t="s">
        <v>2043</v>
      </c>
      <c r="C51" s="571"/>
      <c r="D51" s="571"/>
      <c r="E51" s="571"/>
      <c r="F51" s="571"/>
      <c r="G51" s="571"/>
      <c r="H51" s="571"/>
      <c r="AO51" s="121"/>
      <c r="AP51" s="68"/>
      <c r="AQ51" s="68"/>
      <c r="AR51" s="68"/>
      <c r="AS51" s="68"/>
    </row>
    <row r="52" spans="1:45" x14ac:dyDescent="0.25">
      <c r="A52" s="417">
        <v>11</v>
      </c>
      <c r="B52" s="571" t="s">
        <v>2044</v>
      </c>
      <c r="C52" s="571"/>
      <c r="D52" s="571"/>
      <c r="E52" s="571"/>
      <c r="F52" s="571"/>
      <c r="G52" s="571"/>
      <c r="H52" s="571"/>
      <c r="AO52" s="121"/>
      <c r="AP52" s="68"/>
      <c r="AQ52" s="68"/>
      <c r="AR52" s="68"/>
      <c r="AS52" s="68"/>
    </row>
    <row r="53" spans="1:45" ht="117.95" customHeight="1" x14ac:dyDescent="0.25">
      <c r="A53" s="417">
        <v>12</v>
      </c>
      <c r="B53" s="571" t="s">
        <v>2045</v>
      </c>
      <c r="C53" s="571"/>
      <c r="D53" s="571"/>
      <c r="E53" s="571"/>
      <c r="F53" s="571"/>
      <c r="G53" s="571"/>
      <c r="H53" s="571"/>
      <c r="AO53" s="121"/>
      <c r="AP53" s="68"/>
      <c r="AQ53" s="68"/>
      <c r="AR53" s="68"/>
      <c r="AS53" s="68"/>
    </row>
    <row r="54" spans="1:45" ht="15.75" customHeight="1" x14ac:dyDescent="0.25">
      <c r="A54" s="417">
        <v>13</v>
      </c>
      <c r="B54" s="571" t="s">
        <v>2046</v>
      </c>
      <c r="C54" s="571"/>
      <c r="D54" s="571"/>
      <c r="E54" s="571"/>
      <c r="F54" s="571"/>
      <c r="G54" s="571"/>
      <c r="H54" s="571"/>
      <c r="AO54" s="121"/>
      <c r="AP54" s="68"/>
      <c r="AQ54" s="68"/>
      <c r="AR54" s="68"/>
      <c r="AS54" s="68"/>
    </row>
    <row r="55" spans="1:45" x14ac:dyDescent="0.25">
      <c r="A55" s="417">
        <v>14</v>
      </c>
      <c r="B55" s="571" t="s">
        <v>2047</v>
      </c>
      <c r="C55" s="571"/>
      <c r="D55" s="571"/>
      <c r="E55" s="571"/>
      <c r="F55" s="571"/>
      <c r="G55" s="571"/>
      <c r="H55" s="571"/>
      <c r="AO55" s="121"/>
      <c r="AP55" s="68"/>
      <c r="AQ55" s="68"/>
      <c r="AR55" s="68"/>
      <c r="AS55" s="68"/>
    </row>
    <row r="56" spans="1:45" ht="27.75" customHeight="1" x14ac:dyDescent="0.25">
      <c r="A56" s="417">
        <v>15</v>
      </c>
      <c r="B56" s="571" t="s">
        <v>2048</v>
      </c>
      <c r="C56" s="571"/>
      <c r="D56" s="571"/>
      <c r="E56" s="571"/>
      <c r="F56" s="571"/>
      <c r="G56" s="571"/>
      <c r="H56" s="571"/>
      <c r="AO56" s="121"/>
      <c r="AP56" s="68"/>
      <c r="AQ56" s="68"/>
      <c r="AR56" s="68"/>
      <c r="AS56" s="68"/>
    </row>
    <row r="57" spans="1:45" x14ac:dyDescent="0.25">
      <c r="A57" s="352"/>
      <c r="B57" s="273"/>
      <c r="C57" s="353"/>
      <c r="D57" s="354"/>
      <c r="E57" s="352"/>
      <c r="F57" s="335"/>
      <c r="G57" s="182"/>
      <c r="H57" s="182"/>
      <c r="AO57" s="121"/>
      <c r="AP57" s="68"/>
      <c r="AQ57" s="68"/>
      <c r="AR57" s="68"/>
      <c r="AS57" s="68"/>
    </row>
    <row r="58" spans="1:45" x14ac:dyDescent="0.25">
      <c r="A58" s="279"/>
      <c r="B58" s="273"/>
      <c r="C58" s="274"/>
      <c r="D58" s="275"/>
      <c r="E58" s="272"/>
      <c r="F58" s="335"/>
      <c r="G58" s="279"/>
      <c r="H58" s="279"/>
      <c r="AO58" s="121"/>
      <c r="AP58" s="68"/>
      <c r="AQ58" s="68"/>
      <c r="AR58" s="68"/>
      <c r="AS58" s="68"/>
    </row>
    <row r="59" spans="1:45" x14ac:dyDescent="0.25">
      <c r="A59" s="279"/>
      <c r="B59" s="273"/>
      <c r="C59" s="274"/>
      <c r="D59" s="275"/>
      <c r="E59" s="272"/>
      <c r="F59" s="335"/>
      <c r="G59" s="279"/>
      <c r="H59" s="279"/>
      <c r="AO59" s="121"/>
      <c r="AP59" s="68"/>
      <c r="AQ59" s="68"/>
      <c r="AR59" s="68"/>
      <c r="AS59" s="68"/>
    </row>
    <row r="60" spans="1:45" x14ac:dyDescent="0.25">
      <c r="A60" s="279"/>
      <c r="B60" s="273"/>
      <c r="C60" s="274"/>
      <c r="D60" s="275"/>
      <c r="E60" s="272"/>
      <c r="F60" s="335"/>
      <c r="G60" s="279"/>
      <c r="H60" s="279"/>
      <c r="AO60" s="121"/>
      <c r="AP60" s="68"/>
      <c r="AQ60" s="68"/>
      <c r="AR60" s="68"/>
      <c r="AS60" s="68"/>
    </row>
    <row r="61" spans="1:45" x14ac:dyDescent="0.25">
      <c r="A61" s="279"/>
      <c r="B61" s="273"/>
      <c r="C61" s="274"/>
      <c r="D61" s="275"/>
      <c r="E61" s="272"/>
      <c r="F61" s="335"/>
      <c r="G61" s="279"/>
      <c r="H61" s="279"/>
      <c r="AO61" s="121"/>
      <c r="AP61" s="68"/>
      <c r="AQ61" s="68"/>
      <c r="AR61" s="68"/>
      <c r="AS61" s="68"/>
    </row>
    <row r="62" spans="1:45" x14ac:dyDescent="0.25">
      <c r="A62" s="279"/>
      <c r="B62" s="273"/>
      <c r="C62" s="274"/>
      <c r="D62" s="275"/>
      <c r="E62" s="272"/>
      <c r="F62" s="335"/>
      <c r="G62" s="279"/>
      <c r="H62" s="279"/>
      <c r="AO62" s="121"/>
      <c r="AP62" s="68"/>
      <c r="AQ62" s="68"/>
      <c r="AR62" s="68"/>
      <c r="AS62" s="68"/>
    </row>
    <row r="63" spans="1:45" x14ac:dyDescent="0.25">
      <c r="A63" s="279"/>
      <c r="B63" s="273"/>
      <c r="C63" s="274"/>
      <c r="D63" s="275"/>
      <c r="E63" s="272"/>
      <c r="F63" s="335"/>
      <c r="G63" s="279"/>
      <c r="H63" s="279"/>
      <c r="AO63" s="121"/>
      <c r="AP63" s="68"/>
      <c r="AQ63" s="68"/>
      <c r="AR63" s="68"/>
      <c r="AS63" s="68"/>
    </row>
    <row r="64" spans="1:45" x14ac:dyDescent="0.25">
      <c r="A64" s="279"/>
      <c r="B64" s="273"/>
      <c r="C64" s="274"/>
      <c r="D64" s="275"/>
      <c r="E64" s="272"/>
      <c r="F64" s="335"/>
      <c r="G64" s="279"/>
      <c r="H64" s="279"/>
      <c r="AO64" s="121"/>
      <c r="AP64" s="68"/>
      <c r="AQ64" s="68"/>
      <c r="AR64" s="68"/>
      <c r="AS64" s="68"/>
    </row>
    <row r="65" spans="1:45" x14ac:dyDescent="0.25">
      <c r="A65" s="279"/>
      <c r="B65" s="273"/>
      <c r="C65" s="274"/>
      <c r="D65" s="275"/>
      <c r="E65" s="272"/>
      <c r="F65" s="335"/>
      <c r="G65" s="279"/>
      <c r="H65" s="279"/>
      <c r="AO65" s="121"/>
      <c r="AP65" s="68"/>
      <c r="AQ65" s="68"/>
      <c r="AR65" s="68"/>
      <c r="AS65" s="68"/>
    </row>
    <row r="66" spans="1:45" x14ac:dyDescent="0.25">
      <c r="A66" s="279"/>
      <c r="B66" s="273"/>
      <c r="C66" s="274"/>
      <c r="D66" s="275"/>
      <c r="E66" s="272"/>
      <c r="F66" s="335"/>
      <c r="G66" s="279"/>
      <c r="H66" s="279"/>
      <c r="AO66" s="121"/>
      <c r="AP66" s="68"/>
      <c r="AQ66" s="68"/>
      <c r="AR66" s="68"/>
      <c r="AS66" s="68"/>
    </row>
    <row r="67" spans="1:45" x14ac:dyDescent="0.25">
      <c r="A67" s="279"/>
      <c r="B67" s="273"/>
      <c r="C67" s="274"/>
      <c r="D67" s="275"/>
      <c r="E67" s="272"/>
      <c r="F67" s="335"/>
      <c r="G67" s="279"/>
      <c r="H67" s="279"/>
      <c r="AO67" s="121"/>
      <c r="AP67" s="68"/>
      <c r="AQ67" s="68"/>
      <c r="AR67" s="68"/>
      <c r="AS67" s="68"/>
    </row>
    <row r="68" spans="1:45" x14ac:dyDescent="0.25">
      <c r="A68" s="279"/>
      <c r="B68" s="273"/>
      <c r="C68" s="274"/>
      <c r="D68" s="275"/>
      <c r="E68" s="272"/>
      <c r="F68" s="335"/>
      <c r="G68" s="279"/>
      <c r="H68" s="279"/>
      <c r="AO68" s="121"/>
      <c r="AP68" s="68"/>
      <c r="AQ68" s="68"/>
      <c r="AR68" s="68"/>
      <c r="AS68" s="68"/>
    </row>
    <row r="69" spans="1:45" x14ac:dyDescent="0.25">
      <c r="F69" s="6"/>
      <c r="AO69" s="121"/>
      <c r="AP69" s="68"/>
      <c r="AQ69" s="68"/>
      <c r="AR69" s="68"/>
      <c r="AS69" s="68"/>
    </row>
    <row r="70" spans="1:45" x14ac:dyDescent="0.25">
      <c r="F70" s="6"/>
      <c r="AO70" s="121"/>
      <c r="AP70" s="68"/>
      <c r="AQ70" s="68"/>
      <c r="AR70" s="68"/>
      <c r="AS70" s="68"/>
    </row>
    <row r="71" spans="1:45" x14ac:dyDescent="0.25">
      <c r="F71" s="6"/>
      <c r="AO71" s="121"/>
      <c r="AP71" s="68"/>
      <c r="AQ71" s="68"/>
      <c r="AR71" s="68"/>
      <c r="AS71" s="68"/>
    </row>
    <row r="72" spans="1:45" x14ac:dyDescent="0.25">
      <c r="F72" s="6"/>
      <c r="AO72" s="121"/>
      <c r="AP72" s="68"/>
      <c r="AQ72" s="68"/>
      <c r="AR72" s="68"/>
      <c r="AS72" s="68"/>
    </row>
    <row r="73" spans="1:45" x14ac:dyDescent="0.25">
      <c r="F73" s="6"/>
      <c r="AO73" s="121"/>
      <c r="AP73" s="68"/>
      <c r="AQ73" s="68"/>
      <c r="AR73" s="68"/>
      <c r="AS73" s="68"/>
    </row>
    <row r="74" spans="1:45" x14ac:dyDescent="0.25">
      <c r="F74" s="6"/>
      <c r="AO74" s="121"/>
      <c r="AP74" s="68"/>
      <c r="AQ74" s="68"/>
      <c r="AR74" s="68"/>
      <c r="AS74" s="68"/>
    </row>
    <row r="75" spans="1:45" x14ac:dyDescent="0.25">
      <c r="F75" s="6"/>
      <c r="AO75" s="121"/>
      <c r="AP75" s="68"/>
      <c r="AQ75" s="68"/>
      <c r="AR75" s="68"/>
      <c r="AS75" s="68"/>
    </row>
    <row r="76" spans="1:45" x14ac:dyDescent="0.25">
      <c r="F76" s="6"/>
      <c r="AO76" s="121"/>
      <c r="AP76" s="68"/>
      <c r="AQ76" s="68"/>
      <c r="AR76" s="68"/>
      <c r="AS76" s="68"/>
    </row>
    <row r="77" spans="1:45" x14ac:dyDescent="0.25">
      <c r="F77" s="6"/>
      <c r="AO77" s="121"/>
      <c r="AP77" s="68"/>
      <c r="AQ77" s="68"/>
      <c r="AR77" s="68"/>
      <c r="AS77" s="68"/>
    </row>
    <row r="78" spans="1:45" x14ac:dyDescent="0.25">
      <c r="F78" s="6"/>
      <c r="AO78" s="121"/>
      <c r="AP78" s="68"/>
      <c r="AQ78" s="68"/>
      <c r="AR78" s="68"/>
      <c r="AS78" s="68"/>
    </row>
    <row r="79" spans="1:45" x14ac:dyDescent="0.25">
      <c r="F79" s="6"/>
      <c r="AO79" s="121"/>
      <c r="AP79" s="68"/>
      <c r="AQ79" s="68"/>
      <c r="AR79" s="68"/>
      <c r="AS79" s="68"/>
    </row>
    <row r="80" spans="1:45" x14ac:dyDescent="0.25">
      <c r="F80" s="6"/>
      <c r="AO80" s="121"/>
      <c r="AP80" s="68"/>
      <c r="AQ80" s="68"/>
      <c r="AR80" s="68"/>
      <c r="AS80" s="68"/>
    </row>
    <row r="81" spans="6:45" x14ac:dyDescent="0.25">
      <c r="F81" s="6"/>
      <c r="AO81" s="121"/>
      <c r="AP81" s="68"/>
      <c r="AQ81" s="68"/>
      <c r="AR81" s="68"/>
      <c r="AS81" s="68"/>
    </row>
    <row r="82" spans="6:45" x14ac:dyDescent="0.25">
      <c r="F82" s="6"/>
      <c r="AO82" s="121"/>
      <c r="AP82" s="68"/>
      <c r="AQ82" s="68"/>
      <c r="AR82" s="68"/>
      <c r="AS82" s="68"/>
    </row>
    <row r="83" spans="6:45" x14ac:dyDescent="0.25">
      <c r="F83" s="6"/>
      <c r="AO83" s="121"/>
      <c r="AP83" s="68"/>
      <c r="AQ83" s="68"/>
      <c r="AR83" s="68"/>
      <c r="AS83" s="68"/>
    </row>
    <row r="84" spans="6:45" x14ac:dyDescent="0.25">
      <c r="F84" s="6"/>
      <c r="AO84" s="121"/>
      <c r="AP84" s="68"/>
      <c r="AQ84" s="68"/>
      <c r="AR84" s="68"/>
      <c r="AS84" s="68"/>
    </row>
    <row r="85" spans="6:45" x14ac:dyDescent="0.25">
      <c r="F85" s="6"/>
      <c r="AO85" s="121"/>
      <c r="AP85" s="68"/>
      <c r="AQ85" s="68"/>
      <c r="AR85" s="68"/>
      <c r="AS85" s="68"/>
    </row>
    <row r="86" spans="6:45" x14ac:dyDescent="0.25">
      <c r="AO86" s="121"/>
      <c r="AP86" s="68"/>
      <c r="AQ86" s="68"/>
      <c r="AR86" s="68"/>
      <c r="AS86" s="68"/>
    </row>
    <row r="87" spans="6:45" x14ac:dyDescent="0.25">
      <c r="AO87" s="121"/>
      <c r="AP87" s="68"/>
      <c r="AQ87" s="68"/>
      <c r="AR87" s="68"/>
      <c r="AS87" s="68"/>
    </row>
    <row r="88" spans="6:45" x14ac:dyDescent="0.25">
      <c r="AO88" s="121"/>
      <c r="AP88" s="68"/>
      <c r="AQ88" s="68"/>
      <c r="AR88" s="68"/>
      <c r="AS88" s="68"/>
    </row>
    <row r="89" spans="6:45" x14ac:dyDescent="0.25">
      <c r="AO89" s="121"/>
      <c r="AP89" s="68"/>
      <c r="AQ89" s="68"/>
      <c r="AR89" s="68"/>
      <c r="AS89" s="68"/>
    </row>
    <row r="90" spans="6:45" x14ac:dyDescent="0.25">
      <c r="AO90" s="121"/>
      <c r="AP90" s="68"/>
      <c r="AQ90" s="68"/>
      <c r="AR90" s="68"/>
      <c r="AS90" s="68"/>
    </row>
    <row r="91" spans="6:45" x14ac:dyDescent="0.25">
      <c r="AO91" s="121"/>
      <c r="AP91" s="68"/>
      <c r="AQ91" s="68"/>
      <c r="AR91" s="68"/>
      <c r="AS91" s="68"/>
    </row>
    <row r="92" spans="6:45" x14ac:dyDescent="0.25">
      <c r="AO92" s="121"/>
      <c r="AP92" s="68"/>
      <c r="AQ92" s="68"/>
      <c r="AR92" s="68"/>
      <c r="AS92" s="68"/>
    </row>
    <row r="93" spans="6:45" x14ac:dyDescent="0.25">
      <c r="AO93" s="121"/>
      <c r="AP93" s="68"/>
      <c r="AQ93" s="68"/>
      <c r="AR93" s="68"/>
      <c r="AS93" s="68"/>
    </row>
    <row r="94" spans="6:45" x14ac:dyDescent="0.25">
      <c r="AO94" s="121"/>
      <c r="AP94" s="68"/>
      <c r="AQ94" s="68"/>
      <c r="AR94" s="68"/>
      <c r="AS94" s="68"/>
    </row>
    <row r="95" spans="6:45" x14ac:dyDescent="0.25">
      <c r="AO95" s="121"/>
      <c r="AP95" s="68"/>
      <c r="AQ95" s="68"/>
      <c r="AR95" s="68"/>
      <c r="AS95" s="68"/>
    </row>
    <row r="96" spans="6:45" x14ac:dyDescent="0.25">
      <c r="AO96" s="121"/>
      <c r="AP96" s="68"/>
      <c r="AQ96" s="68"/>
      <c r="AR96" s="68"/>
      <c r="AS96" s="68"/>
    </row>
    <row r="97" spans="41:45" x14ac:dyDescent="0.25">
      <c r="AO97" s="121"/>
      <c r="AP97" s="68"/>
      <c r="AQ97" s="68"/>
      <c r="AR97" s="68"/>
      <c r="AS97" s="68"/>
    </row>
    <row r="98" spans="41:45" x14ac:dyDescent="0.25">
      <c r="AO98" s="121"/>
      <c r="AP98" s="68"/>
      <c r="AQ98" s="68"/>
      <c r="AR98" s="68"/>
      <c r="AS98" s="68"/>
    </row>
    <row r="99" spans="41:45" x14ac:dyDescent="0.25">
      <c r="AO99" s="121"/>
      <c r="AP99" s="68"/>
      <c r="AQ99" s="68"/>
      <c r="AR99" s="68"/>
      <c r="AS99" s="68"/>
    </row>
    <row r="100" spans="41:45" x14ac:dyDescent="0.25">
      <c r="AO100" s="121"/>
      <c r="AP100" s="68"/>
      <c r="AQ100" s="68"/>
      <c r="AR100" s="68"/>
      <c r="AS100" s="68"/>
    </row>
    <row r="101" spans="41:45" x14ac:dyDescent="0.25">
      <c r="AO101" s="121"/>
      <c r="AP101" s="68"/>
      <c r="AQ101" s="68"/>
      <c r="AR101" s="68"/>
      <c r="AS101" s="68"/>
    </row>
    <row r="102" spans="41:45" x14ac:dyDescent="0.25">
      <c r="AO102" s="121"/>
      <c r="AP102" s="68"/>
      <c r="AQ102" s="68"/>
      <c r="AR102" s="68"/>
      <c r="AS102" s="68"/>
    </row>
    <row r="103" spans="41:45" x14ac:dyDescent="0.25">
      <c r="AO103" s="121"/>
      <c r="AP103" s="68"/>
      <c r="AQ103" s="68"/>
      <c r="AR103" s="68"/>
      <c r="AS103" s="68"/>
    </row>
    <row r="104" spans="41:45" x14ac:dyDescent="0.25">
      <c r="AO104" s="121"/>
      <c r="AP104" s="68"/>
      <c r="AQ104" s="68"/>
      <c r="AR104" s="68"/>
      <c r="AS104" s="68"/>
    </row>
    <row r="105" spans="41:45" x14ac:dyDescent="0.25">
      <c r="AO105" s="121"/>
      <c r="AP105" s="68"/>
      <c r="AQ105" s="68"/>
      <c r="AR105" s="68"/>
      <c r="AS105" s="68"/>
    </row>
    <row r="106" spans="41:45" x14ac:dyDescent="0.25">
      <c r="AO106" s="121"/>
      <c r="AP106" s="68"/>
      <c r="AQ106" s="68"/>
      <c r="AR106" s="68"/>
      <c r="AS106" s="68"/>
    </row>
    <row r="107" spans="41:45" x14ac:dyDescent="0.25">
      <c r="AO107" s="121"/>
      <c r="AP107" s="68"/>
      <c r="AQ107" s="68"/>
      <c r="AR107" s="68"/>
      <c r="AS107" s="68"/>
    </row>
    <row r="108" spans="41:45" x14ac:dyDescent="0.25">
      <c r="AO108" s="121"/>
      <c r="AP108" s="68"/>
      <c r="AQ108" s="68"/>
      <c r="AR108" s="68"/>
      <c r="AS108" s="68"/>
    </row>
    <row r="109" spans="41:45" x14ac:dyDescent="0.25">
      <c r="AO109" s="121"/>
      <c r="AP109" s="68"/>
      <c r="AQ109" s="68"/>
      <c r="AR109" s="68"/>
      <c r="AS109" s="68"/>
    </row>
    <row r="110" spans="41:45" x14ac:dyDescent="0.25">
      <c r="AO110" s="121"/>
      <c r="AP110" s="68"/>
      <c r="AQ110" s="68"/>
      <c r="AR110" s="68"/>
      <c r="AS110" s="68"/>
    </row>
    <row r="111" spans="41:45" x14ac:dyDescent="0.25">
      <c r="AO111" s="121"/>
      <c r="AP111" s="68"/>
      <c r="AQ111" s="68"/>
      <c r="AR111" s="68"/>
      <c r="AS111" s="68"/>
    </row>
    <row r="112" spans="41:45" x14ac:dyDescent="0.25">
      <c r="AO112" s="121"/>
      <c r="AP112" s="68"/>
      <c r="AQ112" s="68"/>
      <c r="AR112" s="68"/>
      <c r="AS112" s="68"/>
    </row>
    <row r="113" spans="41:45" x14ac:dyDescent="0.25">
      <c r="AO113" s="121"/>
      <c r="AP113" s="68"/>
      <c r="AQ113" s="68"/>
      <c r="AR113" s="68"/>
      <c r="AS113" s="68"/>
    </row>
    <row r="114" spans="41:45" x14ac:dyDescent="0.25">
      <c r="AO114" s="121"/>
      <c r="AP114" s="68"/>
      <c r="AQ114" s="68"/>
      <c r="AR114" s="68"/>
      <c r="AS114" s="68"/>
    </row>
    <row r="115" spans="41:45" x14ac:dyDescent="0.25">
      <c r="AO115" s="121"/>
      <c r="AP115" s="68"/>
      <c r="AQ115" s="68"/>
      <c r="AR115" s="68"/>
      <c r="AS115" s="68"/>
    </row>
    <row r="116" spans="41:45" x14ac:dyDescent="0.25">
      <c r="AO116" s="121"/>
      <c r="AP116" s="68"/>
      <c r="AQ116" s="68"/>
      <c r="AR116" s="68"/>
      <c r="AS116" s="68"/>
    </row>
    <row r="117" spans="41:45" x14ac:dyDescent="0.25">
      <c r="AO117" s="121"/>
      <c r="AP117" s="68"/>
      <c r="AQ117" s="68"/>
      <c r="AR117" s="68"/>
      <c r="AS117" s="68"/>
    </row>
    <row r="118" spans="41:45" x14ac:dyDescent="0.25">
      <c r="AO118" s="121"/>
      <c r="AP118" s="68"/>
      <c r="AQ118" s="68"/>
      <c r="AR118" s="68"/>
      <c r="AS118" s="68"/>
    </row>
    <row r="119" spans="41:45" x14ac:dyDescent="0.25">
      <c r="AO119" s="121"/>
      <c r="AP119" s="68"/>
      <c r="AQ119" s="68"/>
      <c r="AR119" s="68"/>
      <c r="AS119" s="68"/>
    </row>
    <row r="120" spans="41:45" x14ac:dyDescent="0.25">
      <c r="AO120" s="121"/>
      <c r="AP120" s="68"/>
      <c r="AQ120" s="68"/>
      <c r="AR120" s="68"/>
      <c r="AS120" s="68"/>
    </row>
    <row r="121" spans="41:45" x14ac:dyDescent="0.25">
      <c r="AO121" s="121"/>
      <c r="AP121" s="68"/>
      <c r="AQ121" s="68"/>
      <c r="AR121" s="68"/>
      <c r="AS121" s="68"/>
    </row>
    <row r="122" spans="41:45" x14ac:dyDescent="0.25">
      <c r="AO122" s="121"/>
      <c r="AP122" s="68"/>
      <c r="AQ122" s="68"/>
      <c r="AR122" s="68"/>
      <c r="AS122" s="68"/>
    </row>
    <row r="123" spans="41:45" x14ac:dyDescent="0.25">
      <c r="AO123" s="121"/>
      <c r="AP123" s="68"/>
      <c r="AQ123" s="68"/>
      <c r="AR123" s="68"/>
      <c r="AS123" s="68"/>
    </row>
    <row r="124" spans="41:45" x14ac:dyDescent="0.25">
      <c r="AO124" s="121"/>
      <c r="AP124" s="68"/>
      <c r="AQ124" s="68"/>
      <c r="AR124" s="68"/>
      <c r="AS124" s="68"/>
    </row>
    <row r="125" spans="41:45" x14ac:dyDescent="0.25">
      <c r="AO125" s="121"/>
      <c r="AP125" s="68"/>
      <c r="AQ125" s="68"/>
      <c r="AR125" s="68"/>
      <c r="AS125" s="68"/>
    </row>
    <row r="126" spans="41:45" x14ac:dyDescent="0.25">
      <c r="AO126" s="121"/>
      <c r="AP126" s="68"/>
      <c r="AQ126" s="68"/>
      <c r="AR126" s="68"/>
      <c r="AS126" s="68"/>
    </row>
    <row r="127" spans="41:45" x14ac:dyDescent="0.25">
      <c r="AO127" s="121"/>
      <c r="AP127" s="68"/>
      <c r="AQ127" s="68"/>
      <c r="AR127" s="68"/>
      <c r="AS127" s="68"/>
    </row>
    <row r="128" spans="41:45" x14ac:dyDescent="0.25">
      <c r="AO128" s="121"/>
      <c r="AP128" s="68"/>
      <c r="AQ128" s="68"/>
      <c r="AR128" s="68"/>
      <c r="AS128" s="68"/>
    </row>
    <row r="129" spans="41:45" x14ac:dyDescent="0.25">
      <c r="AO129" s="121"/>
      <c r="AP129" s="68"/>
      <c r="AQ129" s="68"/>
      <c r="AR129" s="68"/>
      <c r="AS129" s="68"/>
    </row>
    <row r="130" spans="41:45" x14ac:dyDescent="0.25">
      <c r="AO130" s="121"/>
      <c r="AP130" s="68"/>
      <c r="AQ130" s="68"/>
      <c r="AR130" s="68"/>
      <c r="AS130" s="68"/>
    </row>
    <row r="131" spans="41:45" x14ac:dyDescent="0.25">
      <c r="AO131" s="121"/>
      <c r="AP131" s="68"/>
      <c r="AQ131" s="68"/>
      <c r="AR131" s="68"/>
      <c r="AS131" s="68"/>
    </row>
    <row r="132" spans="41:45" x14ac:dyDescent="0.25">
      <c r="AO132" s="121"/>
      <c r="AP132" s="68"/>
      <c r="AQ132" s="68"/>
      <c r="AR132" s="68"/>
      <c r="AS132" s="68"/>
    </row>
    <row r="133" spans="41:45" x14ac:dyDescent="0.25">
      <c r="AO133" s="121"/>
      <c r="AP133" s="68"/>
      <c r="AQ133" s="68"/>
      <c r="AR133" s="68"/>
      <c r="AS133" s="68"/>
    </row>
    <row r="134" spans="41:45" x14ac:dyDescent="0.25">
      <c r="AO134" s="121"/>
      <c r="AP134" s="68"/>
      <c r="AQ134" s="68"/>
      <c r="AR134" s="68"/>
      <c r="AS134" s="68"/>
    </row>
    <row r="135" spans="41:45" x14ac:dyDescent="0.25">
      <c r="AO135" s="121"/>
      <c r="AP135" s="68"/>
      <c r="AQ135" s="68"/>
      <c r="AR135" s="68"/>
      <c r="AS135" s="68"/>
    </row>
    <row r="136" spans="41:45" x14ac:dyDescent="0.25">
      <c r="AO136" s="121"/>
      <c r="AP136" s="68"/>
      <c r="AQ136" s="68"/>
      <c r="AR136" s="68"/>
      <c r="AS136" s="68"/>
    </row>
    <row r="137" spans="41:45" x14ac:dyDescent="0.25">
      <c r="AO137" s="121"/>
      <c r="AP137" s="68"/>
      <c r="AQ137" s="68"/>
      <c r="AR137" s="68"/>
      <c r="AS137" s="68"/>
    </row>
    <row r="138" spans="41:45" x14ac:dyDescent="0.25">
      <c r="AO138" s="121"/>
      <c r="AP138" s="68"/>
      <c r="AQ138" s="68"/>
      <c r="AR138" s="68"/>
      <c r="AS138" s="68"/>
    </row>
    <row r="139" spans="41:45" x14ac:dyDescent="0.25">
      <c r="AO139" s="121"/>
      <c r="AP139" s="68"/>
      <c r="AQ139" s="68"/>
      <c r="AR139" s="68"/>
      <c r="AS139" s="68"/>
    </row>
    <row r="140" spans="41:45" x14ac:dyDescent="0.25">
      <c r="AO140" s="121"/>
      <c r="AP140" s="68"/>
      <c r="AQ140" s="68"/>
      <c r="AR140" s="68"/>
      <c r="AS140" s="68"/>
    </row>
    <row r="141" spans="41:45" x14ac:dyDescent="0.25">
      <c r="AO141" s="121"/>
      <c r="AP141" s="68"/>
      <c r="AQ141" s="68"/>
      <c r="AR141" s="68"/>
      <c r="AS141" s="68"/>
    </row>
    <row r="142" spans="41:45" x14ac:dyDescent="0.25">
      <c r="AO142" s="121"/>
      <c r="AP142" s="68"/>
      <c r="AQ142" s="68"/>
      <c r="AR142" s="68"/>
      <c r="AS142" s="68"/>
    </row>
    <row r="143" spans="41:45" x14ac:dyDescent="0.25">
      <c r="AO143" s="121"/>
      <c r="AP143" s="68"/>
      <c r="AQ143" s="68"/>
      <c r="AR143" s="68"/>
      <c r="AS143" s="68"/>
    </row>
    <row r="144" spans="41:45" x14ac:dyDescent="0.25">
      <c r="AO144" s="121"/>
      <c r="AP144" s="68"/>
      <c r="AQ144" s="68"/>
      <c r="AR144" s="68"/>
      <c r="AS144" s="68"/>
    </row>
    <row r="145" spans="41:45" x14ac:dyDescent="0.25">
      <c r="AO145" s="121"/>
      <c r="AP145" s="68"/>
      <c r="AQ145" s="68"/>
      <c r="AR145" s="68"/>
      <c r="AS145" s="68"/>
    </row>
    <row r="146" spans="41:45" x14ac:dyDescent="0.25">
      <c r="AO146" s="121"/>
      <c r="AP146" s="68"/>
      <c r="AQ146" s="68"/>
      <c r="AR146" s="68"/>
      <c r="AS146" s="68"/>
    </row>
    <row r="147" spans="41:45" x14ac:dyDescent="0.25">
      <c r="AO147" s="121"/>
      <c r="AP147" s="68"/>
      <c r="AQ147" s="68"/>
      <c r="AR147" s="68"/>
      <c r="AS147" s="68"/>
    </row>
    <row r="148" spans="41:45" x14ac:dyDescent="0.25">
      <c r="AO148" s="121"/>
      <c r="AP148" s="68"/>
      <c r="AQ148" s="68"/>
      <c r="AR148" s="68"/>
      <c r="AS148" s="68"/>
    </row>
    <row r="149" spans="41:45" x14ac:dyDescent="0.25">
      <c r="AO149" s="121"/>
      <c r="AP149" s="68"/>
      <c r="AQ149" s="68"/>
      <c r="AR149" s="68"/>
      <c r="AS149" s="68"/>
    </row>
    <row r="150" spans="41:45" x14ac:dyDescent="0.25">
      <c r="AO150" s="121"/>
      <c r="AP150" s="68"/>
      <c r="AQ150" s="68"/>
      <c r="AR150" s="68"/>
      <c r="AS150" s="68"/>
    </row>
    <row r="151" spans="41:45" x14ac:dyDescent="0.25">
      <c r="AO151" s="121"/>
      <c r="AP151" s="68"/>
      <c r="AQ151" s="68"/>
      <c r="AR151" s="68"/>
      <c r="AS151" s="68"/>
    </row>
    <row r="152" spans="41:45" x14ac:dyDescent="0.25">
      <c r="AO152" s="121"/>
      <c r="AP152" s="68"/>
      <c r="AQ152" s="68"/>
      <c r="AR152" s="68"/>
      <c r="AS152" s="68"/>
    </row>
    <row r="153" spans="41:45" x14ac:dyDescent="0.25">
      <c r="AO153" s="121"/>
      <c r="AP153" s="68"/>
      <c r="AQ153" s="68"/>
      <c r="AR153" s="68"/>
      <c r="AS153" s="68"/>
    </row>
    <row r="154" spans="41:45" x14ac:dyDescent="0.25">
      <c r="AO154" s="121"/>
      <c r="AP154" s="68"/>
      <c r="AQ154" s="68"/>
      <c r="AR154" s="68"/>
      <c r="AS154" s="68"/>
    </row>
    <row r="155" spans="41:45" x14ac:dyDescent="0.25">
      <c r="AO155" s="121"/>
      <c r="AP155" s="68"/>
      <c r="AQ155" s="68"/>
      <c r="AR155" s="68"/>
      <c r="AS155" s="68"/>
    </row>
    <row r="156" spans="41:45" x14ac:dyDescent="0.25">
      <c r="AO156" s="121"/>
      <c r="AP156" s="68"/>
      <c r="AQ156" s="68"/>
      <c r="AR156" s="68"/>
      <c r="AS156" s="68"/>
    </row>
    <row r="157" spans="41:45" x14ac:dyDescent="0.25">
      <c r="AO157" s="121"/>
      <c r="AP157" s="68"/>
      <c r="AQ157" s="68"/>
      <c r="AR157" s="68"/>
      <c r="AS157" s="68"/>
    </row>
    <row r="158" spans="41:45" x14ac:dyDescent="0.25">
      <c r="AO158" s="121"/>
      <c r="AP158" s="68"/>
      <c r="AQ158" s="68"/>
      <c r="AR158" s="68"/>
      <c r="AS158" s="68"/>
    </row>
    <row r="159" spans="41:45" x14ac:dyDescent="0.25">
      <c r="AO159" s="121"/>
      <c r="AP159" s="68"/>
      <c r="AQ159" s="68"/>
      <c r="AR159" s="68"/>
      <c r="AS159" s="68"/>
    </row>
    <row r="160" spans="41:45" x14ac:dyDescent="0.25">
      <c r="AO160" s="121"/>
      <c r="AP160" s="68"/>
      <c r="AQ160" s="68"/>
      <c r="AR160" s="68"/>
      <c r="AS160" s="68"/>
    </row>
    <row r="161" spans="41:45" x14ac:dyDescent="0.25">
      <c r="AO161" s="121"/>
      <c r="AP161" s="68"/>
      <c r="AQ161" s="68"/>
      <c r="AR161" s="68"/>
      <c r="AS161" s="68"/>
    </row>
    <row r="162" spans="41:45" x14ac:dyDescent="0.25">
      <c r="AO162" s="121"/>
      <c r="AP162" s="68"/>
      <c r="AQ162" s="68"/>
      <c r="AR162" s="68"/>
      <c r="AS162" s="68"/>
    </row>
    <row r="163" spans="41:45" x14ac:dyDescent="0.25">
      <c r="AO163" s="121"/>
      <c r="AP163" s="68"/>
      <c r="AQ163" s="68"/>
      <c r="AR163" s="68"/>
      <c r="AS163" s="68"/>
    </row>
    <row r="164" spans="41:45" x14ac:dyDescent="0.25">
      <c r="AO164" s="121"/>
      <c r="AP164" s="68"/>
      <c r="AQ164" s="68"/>
      <c r="AR164" s="68"/>
      <c r="AS164" s="68"/>
    </row>
    <row r="165" spans="41:45" x14ac:dyDescent="0.25">
      <c r="AO165" s="121"/>
      <c r="AP165" s="68"/>
      <c r="AQ165" s="68"/>
      <c r="AR165" s="68"/>
      <c r="AS165" s="68"/>
    </row>
    <row r="166" spans="41:45" x14ac:dyDescent="0.25">
      <c r="AO166" s="121"/>
      <c r="AP166" s="68"/>
      <c r="AQ166" s="68"/>
      <c r="AR166" s="68"/>
      <c r="AS166" s="68"/>
    </row>
    <row r="167" spans="41:45" x14ac:dyDescent="0.25">
      <c r="AO167" s="121"/>
      <c r="AP167" s="68"/>
      <c r="AQ167" s="68"/>
      <c r="AR167" s="68"/>
      <c r="AS167" s="68"/>
    </row>
    <row r="168" spans="41:45" x14ac:dyDescent="0.25">
      <c r="AO168" s="121"/>
      <c r="AP168" s="68"/>
      <c r="AQ168" s="68"/>
      <c r="AR168" s="68"/>
      <c r="AS168" s="68"/>
    </row>
    <row r="169" spans="41:45" x14ac:dyDescent="0.25">
      <c r="AO169" s="121"/>
      <c r="AP169" s="68"/>
      <c r="AQ169" s="68"/>
      <c r="AR169" s="68"/>
      <c r="AS169" s="68"/>
    </row>
    <row r="170" spans="41:45" x14ac:dyDescent="0.25">
      <c r="AO170" s="121"/>
      <c r="AP170" s="68"/>
      <c r="AQ170" s="68"/>
      <c r="AR170" s="68"/>
      <c r="AS170" s="68"/>
    </row>
    <row r="171" spans="41:45" x14ac:dyDescent="0.25">
      <c r="AO171" s="121"/>
      <c r="AP171" s="68"/>
      <c r="AQ171" s="68"/>
      <c r="AR171" s="68"/>
      <c r="AS171" s="68"/>
    </row>
    <row r="172" spans="41:45" x14ac:dyDescent="0.25">
      <c r="AO172" s="121"/>
      <c r="AP172" s="68"/>
      <c r="AQ172" s="68"/>
      <c r="AR172" s="68"/>
      <c r="AS172" s="68"/>
    </row>
    <row r="173" spans="41:45" x14ac:dyDescent="0.25">
      <c r="AO173" s="121"/>
      <c r="AP173" s="68"/>
      <c r="AQ173" s="68"/>
      <c r="AR173" s="68"/>
      <c r="AS173" s="68"/>
    </row>
    <row r="174" spans="41:45" x14ac:dyDescent="0.25">
      <c r="AO174" s="121"/>
      <c r="AP174" s="68"/>
      <c r="AQ174" s="68"/>
      <c r="AR174" s="68"/>
      <c r="AS174" s="68"/>
    </row>
    <row r="175" spans="41:45" x14ac:dyDescent="0.25">
      <c r="AO175" s="121"/>
      <c r="AP175" s="68"/>
      <c r="AQ175" s="68"/>
      <c r="AR175" s="68"/>
      <c r="AS175" s="68"/>
    </row>
    <row r="176" spans="41:45" x14ac:dyDescent="0.25">
      <c r="AO176" s="121"/>
      <c r="AP176" s="68"/>
      <c r="AQ176" s="68"/>
      <c r="AR176" s="68"/>
      <c r="AS176" s="68"/>
    </row>
    <row r="177" spans="41:45" x14ac:dyDescent="0.25">
      <c r="AO177" s="121"/>
      <c r="AP177" s="68"/>
      <c r="AQ177" s="68"/>
      <c r="AR177" s="68"/>
      <c r="AS177" s="68"/>
    </row>
    <row r="178" spans="41:45" x14ac:dyDescent="0.25">
      <c r="AO178" s="121"/>
      <c r="AP178" s="68"/>
      <c r="AQ178" s="68"/>
      <c r="AR178" s="68"/>
      <c r="AS178" s="68"/>
    </row>
    <row r="179" spans="41:45" x14ac:dyDescent="0.25">
      <c r="AO179" s="121"/>
      <c r="AP179" s="68"/>
      <c r="AQ179" s="68"/>
      <c r="AR179" s="68"/>
      <c r="AS179" s="68"/>
    </row>
    <row r="180" spans="41:45" x14ac:dyDescent="0.25">
      <c r="AO180" s="121"/>
      <c r="AP180" s="68"/>
      <c r="AQ180" s="68"/>
      <c r="AR180" s="68"/>
      <c r="AS180" s="68"/>
    </row>
    <row r="181" spans="41:45" x14ac:dyDescent="0.25">
      <c r="AO181" s="121"/>
      <c r="AP181" s="68"/>
      <c r="AQ181" s="68"/>
      <c r="AR181" s="68"/>
      <c r="AS181" s="68"/>
    </row>
    <row r="182" spans="41:45" x14ac:dyDescent="0.25">
      <c r="AO182" s="121"/>
      <c r="AP182" s="68"/>
      <c r="AQ182" s="68"/>
      <c r="AR182" s="68"/>
      <c r="AS182" s="68"/>
    </row>
    <row r="183" spans="41:45" x14ac:dyDescent="0.25">
      <c r="AO183" s="121"/>
      <c r="AP183" s="68"/>
      <c r="AQ183" s="68"/>
      <c r="AR183" s="68"/>
      <c r="AS183" s="68"/>
    </row>
    <row r="184" spans="41:45" x14ac:dyDescent="0.25">
      <c r="AO184" s="121"/>
      <c r="AP184" s="68"/>
      <c r="AQ184" s="68"/>
      <c r="AR184" s="68"/>
      <c r="AS184" s="68"/>
    </row>
    <row r="185" spans="41:45" x14ac:dyDescent="0.25">
      <c r="AO185" s="121"/>
      <c r="AP185" s="68"/>
      <c r="AQ185" s="68"/>
      <c r="AR185" s="68"/>
      <c r="AS185" s="68"/>
    </row>
    <row r="186" spans="41:45" x14ac:dyDescent="0.25">
      <c r="AO186" s="121"/>
      <c r="AP186" s="68"/>
      <c r="AQ186" s="68"/>
      <c r="AR186" s="68"/>
      <c r="AS186" s="68"/>
    </row>
    <row r="187" spans="41:45" x14ac:dyDescent="0.25">
      <c r="AO187" s="121"/>
      <c r="AP187" s="68"/>
      <c r="AQ187" s="68"/>
      <c r="AR187" s="68"/>
      <c r="AS187" s="68"/>
    </row>
    <row r="188" spans="41:45" x14ac:dyDescent="0.25">
      <c r="AO188" s="121"/>
      <c r="AP188" s="68"/>
      <c r="AQ188" s="68"/>
      <c r="AR188" s="68"/>
      <c r="AS188" s="68"/>
    </row>
    <row r="189" spans="41:45" x14ac:dyDescent="0.25">
      <c r="AO189" s="121"/>
      <c r="AP189" s="68"/>
      <c r="AQ189" s="68"/>
      <c r="AR189" s="68"/>
      <c r="AS189" s="68"/>
    </row>
    <row r="190" spans="41:45" x14ac:dyDescent="0.25">
      <c r="AO190" s="121"/>
      <c r="AP190" s="68"/>
      <c r="AQ190" s="68"/>
      <c r="AR190" s="68"/>
      <c r="AS190" s="68"/>
    </row>
    <row r="191" spans="41:45" x14ac:dyDescent="0.25">
      <c r="AO191" s="121"/>
      <c r="AP191" s="68"/>
      <c r="AQ191" s="68"/>
      <c r="AR191" s="68"/>
      <c r="AS191" s="68"/>
    </row>
    <row r="192" spans="41:45" x14ac:dyDescent="0.25">
      <c r="AO192" s="121"/>
      <c r="AP192" s="68"/>
      <c r="AQ192" s="68"/>
      <c r="AR192" s="68"/>
      <c r="AS192" s="68"/>
    </row>
    <row r="193" spans="41:45" x14ac:dyDescent="0.25">
      <c r="AO193" s="121"/>
      <c r="AP193" s="68"/>
      <c r="AQ193" s="68"/>
      <c r="AR193" s="68"/>
      <c r="AS193" s="68"/>
    </row>
    <row r="194" spans="41:45" x14ac:dyDescent="0.25">
      <c r="AO194" s="121"/>
      <c r="AP194" s="68"/>
      <c r="AQ194" s="68"/>
      <c r="AR194" s="68"/>
      <c r="AS194" s="68"/>
    </row>
    <row r="195" spans="41:45" x14ac:dyDescent="0.25">
      <c r="AO195" s="121"/>
      <c r="AP195" s="68"/>
      <c r="AQ195" s="68"/>
      <c r="AR195" s="68"/>
      <c r="AS195" s="68"/>
    </row>
    <row r="196" spans="41:45" x14ac:dyDescent="0.25">
      <c r="AO196" s="121"/>
      <c r="AP196" s="68"/>
      <c r="AQ196" s="68"/>
      <c r="AR196" s="68"/>
      <c r="AS196" s="68"/>
    </row>
    <row r="197" spans="41:45" x14ac:dyDescent="0.25">
      <c r="AO197" s="121"/>
      <c r="AP197" s="68"/>
      <c r="AQ197" s="68"/>
      <c r="AR197" s="68"/>
      <c r="AS197" s="68"/>
    </row>
    <row r="198" spans="41:45" x14ac:dyDescent="0.25">
      <c r="AO198" s="121"/>
      <c r="AP198" s="68"/>
      <c r="AQ198" s="68"/>
      <c r="AR198" s="68"/>
      <c r="AS198" s="68"/>
    </row>
    <row r="199" spans="41:45" x14ac:dyDescent="0.25">
      <c r="AO199" s="121"/>
      <c r="AP199" s="68"/>
      <c r="AQ199" s="68"/>
      <c r="AR199" s="68"/>
      <c r="AS199" s="68"/>
    </row>
    <row r="200" spans="41:45" x14ac:dyDescent="0.25">
      <c r="AO200" s="121"/>
      <c r="AP200" s="68"/>
      <c r="AQ200" s="68"/>
      <c r="AR200" s="68"/>
      <c r="AS200" s="68"/>
    </row>
    <row r="201" spans="41:45" x14ac:dyDescent="0.25">
      <c r="AO201" s="121"/>
      <c r="AP201" s="68"/>
      <c r="AQ201" s="68"/>
      <c r="AR201" s="68"/>
      <c r="AS201" s="68"/>
    </row>
    <row r="202" spans="41:45" x14ac:dyDescent="0.25">
      <c r="AO202" s="121"/>
      <c r="AP202" s="68"/>
      <c r="AQ202" s="68"/>
      <c r="AR202" s="68"/>
      <c r="AS202" s="68"/>
    </row>
    <row r="203" spans="41:45" x14ac:dyDescent="0.25">
      <c r="AO203" s="121"/>
      <c r="AP203" s="68"/>
      <c r="AQ203" s="68"/>
      <c r="AR203" s="68"/>
      <c r="AS203" s="68"/>
    </row>
    <row r="204" spans="41:45" x14ac:dyDescent="0.25">
      <c r="AO204" s="121"/>
      <c r="AP204" s="68"/>
      <c r="AQ204" s="68"/>
      <c r="AR204" s="68"/>
      <c r="AS204" s="68"/>
    </row>
    <row r="205" spans="41:45" x14ac:dyDescent="0.25">
      <c r="AO205" s="121"/>
      <c r="AP205" s="68"/>
      <c r="AQ205" s="68"/>
      <c r="AR205" s="68"/>
      <c r="AS205" s="68"/>
    </row>
    <row r="206" spans="41:45" x14ac:dyDescent="0.25">
      <c r="AO206" s="121"/>
      <c r="AP206" s="68"/>
      <c r="AQ206" s="68"/>
      <c r="AR206" s="68"/>
      <c r="AS206" s="68"/>
    </row>
    <row r="207" spans="41:45" x14ac:dyDescent="0.25">
      <c r="AO207" s="121"/>
      <c r="AP207" s="68"/>
      <c r="AQ207" s="68"/>
      <c r="AR207" s="68"/>
      <c r="AS207" s="68"/>
    </row>
    <row r="208" spans="41:45" x14ac:dyDescent="0.25">
      <c r="AO208" s="121"/>
      <c r="AP208" s="68"/>
      <c r="AQ208" s="68"/>
      <c r="AR208" s="68"/>
      <c r="AS208" s="68"/>
    </row>
    <row r="209" spans="41:45" x14ac:dyDescent="0.25">
      <c r="AO209" s="121"/>
      <c r="AP209" s="68"/>
      <c r="AQ209" s="68"/>
      <c r="AR209" s="68"/>
      <c r="AS209" s="68"/>
    </row>
    <row r="210" spans="41:45" x14ac:dyDescent="0.25">
      <c r="AO210" s="121"/>
      <c r="AP210" s="68"/>
      <c r="AQ210" s="68"/>
      <c r="AR210" s="68"/>
      <c r="AS210" s="68"/>
    </row>
    <row r="211" spans="41:45" x14ac:dyDescent="0.25">
      <c r="AO211" s="121"/>
      <c r="AP211" s="68"/>
      <c r="AQ211" s="68"/>
      <c r="AR211" s="68"/>
      <c r="AS211" s="68"/>
    </row>
    <row r="212" spans="41:45" x14ac:dyDescent="0.25">
      <c r="AO212" s="121"/>
      <c r="AP212" s="68"/>
      <c r="AQ212" s="68"/>
      <c r="AR212" s="68"/>
      <c r="AS212" s="68"/>
    </row>
    <row r="213" spans="41:45" x14ac:dyDescent="0.25">
      <c r="AO213" s="121"/>
      <c r="AP213" s="68"/>
      <c r="AQ213" s="68"/>
      <c r="AR213" s="68"/>
      <c r="AS213" s="68"/>
    </row>
    <row r="214" spans="41:45" x14ac:dyDescent="0.25">
      <c r="AO214" s="121"/>
      <c r="AP214" s="68"/>
      <c r="AQ214" s="68"/>
      <c r="AR214" s="68"/>
      <c r="AS214" s="68"/>
    </row>
    <row r="215" spans="41:45" x14ac:dyDescent="0.25">
      <c r="AO215" s="121"/>
      <c r="AP215" s="68"/>
      <c r="AQ215" s="68"/>
      <c r="AR215" s="68"/>
      <c r="AS215" s="68"/>
    </row>
    <row r="216" spans="41:45" x14ac:dyDescent="0.25">
      <c r="AO216" s="121"/>
      <c r="AP216" s="68"/>
      <c r="AQ216" s="68"/>
      <c r="AR216" s="68"/>
      <c r="AS216" s="68"/>
    </row>
    <row r="217" spans="41:45" x14ac:dyDescent="0.25">
      <c r="AO217" s="121"/>
      <c r="AP217" s="68"/>
      <c r="AQ217" s="68"/>
      <c r="AR217" s="68"/>
      <c r="AS217" s="68"/>
    </row>
    <row r="218" spans="41:45" x14ac:dyDescent="0.25">
      <c r="AO218" s="121"/>
      <c r="AP218" s="68"/>
      <c r="AQ218" s="68"/>
      <c r="AR218" s="68"/>
      <c r="AS218" s="68"/>
    </row>
    <row r="219" spans="41:45" x14ac:dyDescent="0.25">
      <c r="AO219" s="121"/>
      <c r="AP219" s="68"/>
      <c r="AQ219" s="68"/>
      <c r="AR219" s="68"/>
      <c r="AS219" s="68"/>
    </row>
    <row r="220" spans="41:45" x14ac:dyDescent="0.25">
      <c r="AO220" s="121"/>
      <c r="AP220" s="68"/>
      <c r="AQ220" s="68"/>
      <c r="AR220" s="68"/>
      <c r="AS220" s="68"/>
    </row>
    <row r="221" spans="41:45" x14ac:dyDescent="0.25">
      <c r="AO221" s="121"/>
      <c r="AP221" s="68"/>
      <c r="AQ221" s="68"/>
      <c r="AR221" s="68"/>
      <c r="AS221" s="68"/>
    </row>
    <row r="222" spans="41:45" x14ac:dyDescent="0.25">
      <c r="AO222" s="121"/>
      <c r="AP222" s="68"/>
      <c r="AQ222" s="68"/>
      <c r="AR222" s="68"/>
      <c r="AS222" s="68"/>
    </row>
    <row r="223" spans="41:45" x14ac:dyDescent="0.25">
      <c r="AO223" s="121"/>
      <c r="AP223" s="68"/>
      <c r="AQ223" s="68"/>
      <c r="AR223" s="68"/>
      <c r="AS223" s="68"/>
    </row>
    <row r="224" spans="41:45" x14ac:dyDescent="0.25">
      <c r="AO224" s="121"/>
      <c r="AP224" s="68"/>
      <c r="AQ224" s="68"/>
      <c r="AR224" s="68"/>
      <c r="AS224" s="68"/>
    </row>
    <row r="225" spans="41:45" x14ac:dyDescent="0.25">
      <c r="AO225" s="121"/>
      <c r="AP225" s="68"/>
      <c r="AQ225" s="68"/>
      <c r="AR225" s="68"/>
      <c r="AS225" s="68"/>
    </row>
    <row r="226" spans="41:45" x14ac:dyDescent="0.25">
      <c r="AO226" s="121"/>
      <c r="AP226" s="68"/>
      <c r="AQ226" s="68"/>
      <c r="AR226" s="68"/>
      <c r="AS226" s="68"/>
    </row>
    <row r="227" spans="41:45" x14ac:dyDescent="0.25">
      <c r="AO227" s="121"/>
      <c r="AP227" s="68"/>
      <c r="AQ227" s="68"/>
      <c r="AR227" s="68"/>
      <c r="AS227" s="68"/>
    </row>
    <row r="228" spans="41:45" x14ac:dyDescent="0.25">
      <c r="AO228" s="121"/>
      <c r="AP228" s="68"/>
      <c r="AQ228" s="68"/>
      <c r="AR228" s="68"/>
      <c r="AS228" s="68"/>
    </row>
    <row r="229" spans="41:45" x14ac:dyDescent="0.25">
      <c r="AO229" s="121"/>
      <c r="AP229" s="68"/>
      <c r="AQ229" s="68"/>
      <c r="AR229" s="68"/>
      <c r="AS229" s="68"/>
    </row>
    <row r="230" spans="41:45" x14ac:dyDescent="0.25">
      <c r="AO230" s="121"/>
      <c r="AP230" s="68"/>
      <c r="AQ230" s="68"/>
      <c r="AR230" s="68"/>
      <c r="AS230" s="68"/>
    </row>
    <row r="231" spans="41:45" x14ac:dyDescent="0.25">
      <c r="AO231" s="121"/>
      <c r="AP231" s="68"/>
      <c r="AQ231" s="68"/>
      <c r="AR231" s="68"/>
      <c r="AS231" s="68"/>
    </row>
    <row r="232" spans="41:45" x14ac:dyDescent="0.25">
      <c r="AO232" s="121"/>
      <c r="AP232" s="68"/>
      <c r="AQ232" s="68"/>
      <c r="AR232" s="68"/>
      <c r="AS232" s="68"/>
    </row>
    <row r="233" spans="41:45" x14ac:dyDescent="0.25">
      <c r="AO233" s="121"/>
      <c r="AP233" s="68"/>
      <c r="AQ233" s="68"/>
      <c r="AR233" s="68"/>
      <c r="AS233" s="68"/>
    </row>
    <row r="234" spans="41:45" x14ac:dyDescent="0.25">
      <c r="AO234" s="121"/>
      <c r="AP234" s="68"/>
      <c r="AQ234" s="68"/>
      <c r="AR234" s="68"/>
      <c r="AS234" s="68"/>
    </row>
    <row r="235" spans="41:45" x14ac:dyDescent="0.25">
      <c r="AO235" s="121"/>
      <c r="AP235" s="68"/>
      <c r="AQ235" s="68"/>
      <c r="AR235" s="68"/>
      <c r="AS235" s="68"/>
    </row>
    <row r="236" spans="41:45" x14ac:dyDescent="0.25">
      <c r="AO236" s="121"/>
      <c r="AP236" s="68"/>
      <c r="AQ236" s="68"/>
      <c r="AR236" s="68"/>
      <c r="AS236" s="68"/>
    </row>
    <row r="237" spans="41:45" x14ac:dyDescent="0.25">
      <c r="AO237" s="121"/>
      <c r="AP237" s="68"/>
      <c r="AQ237" s="68"/>
      <c r="AR237" s="68"/>
      <c r="AS237" s="68"/>
    </row>
    <row r="238" spans="41:45" x14ac:dyDescent="0.25">
      <c r="AO238" s="121"/>
      <c r="AP238" s="68"/>
      <c r="AQ238" s="68"/>
      <c r="AR238" s="68"/>
      <c r="AS238" s="68"/>
    </row>
    <row r="239" spans="41:45" x14ac:dyDescent="0.25">
      <c r="AO239" s="121"/>
      <c r="AP239" s="68"/>
      <c r="AQ239" s="68"/>
      <c r="AR239" s="68"/>
      <c r="AS239" s="68"/>
    </row>
    <row r="240" spans="41:45" x14ac:dyDescent="0.25">
      <c r="AO240" s="121"/>
      <c r="AP240" s="68"/>
      <c r="AQ240" s="68"/>
      <c r="AR240" s="68"/>
      <c r="AS240" s="68"/>
    </row>
    <row r="241" spans="41:45" x14ac:dyDescent="0.25">
      <c r="AO241" s="121"/>
      <c r="AP241" s="68"/>
      <c r="AQ241" s="68"/>
      <c r="AR241" s="68"/>
      <c r="AS241" s="68"/>
    </row>
    <row r="242" spans="41:45" x14ac:dyDescent="0.25">
      <c r="AO242" s="121"/>
      <c r="AP242" s="68"/>
      <c r="AQ242" s="68"/>
      <c r="AR242" s="68"/>
      <c r="AS242" s="68"/>
    </row>
    <row r="243" spans="41:45" x14ac:dyDescent="0.25">
      <c r="AO243" s="121"/>
      <c r="AP243" s="68"/>
      <c r="AQ243" s="68"/>
      <c r="AR243" s="68"/>
      <c r="AS243" s="68"/>
    </row>
    <row r="244" spans="41:45" x14ac:dyDescent="0.25">
      <c r="AO244" s="121"/>
      <c r="AP244" s="68"/>
      <c r="AQ244" s="68"/>
      <c r="AR244" s="68"/>
      <c r="AS244" s="68"/>
    </row>
    <row r="245" spans="41:45" x14ac:dyDescent="0.25">
      <c r="AO245" s="121"/>
      <c r="AP245" s="68"/>
      <c r="AQ245" s="68"/>
      <c r="AR245" s="68"/>
      <c r="AS245" s="68"/>
    </row>
    <row r="246" spans="41:45" x14ac:dyDescent="0.25">
      <c r="AO246" s="121"/>
      <c r="AP246" s="68"/>
      <c r="AQ246" s="68"/>
      <c r="AR246" s="68"/>
      <c r="AS246" s="68"/>
    </row>
    <row r="247" spans="41:45" x14ac:dyDescent="0.25">
      <c r="AO247" s="121"/>
      <c r="AP247" s="68"/>
      <c r="AQ247" s="68"/>
      <c r="AR247" s="68"/>
      <c r="AS247" s="68"/>
    </row>
    <row r="248" spans="41:45" x14ac:dyDescent="0.25">
      <c r="AO248" s="121"/>
      <c r="AP248" s="68"/>
      <c r="AQ248" s="68"/>
      <c r="AR248" s="68"/>
      <c r="AS248" s="68"/>
    </row>
    <row r="249" spans="41:45" x14ac:dyDescent="0.25">
      <c r="AO249" s="121"/>
      <c r="AP249" s="68"/>
      <c r="AQ249" s="68"/>
      <c r="AR249" s="68"/>
      <c r="AS249" s="68"/>
    </row>
    <row r="250" spans="41:45" x14ac:dyDescent="0.25">
      <c r="AO250" s="121"/>
      <c r="AP250" s="68"/>
      <c r="AQ250" s="68"/>
      <c r="AR250" s="68"/>
      <c r="AS250" s="68"/>
    </row>
    <row r="251" spans="41:45" x14ac:dyDescent="0.25">
      <c r="AO251" s="121"/>
      <c r="AP251" s="68"/>
      <c r="AQ251" s="68"/>
      <c r="AR251" s="68"/>
      <c r="AS251" s="68"/>
    </row>
    <row r="252" spans="41:45" x14ac:dyDescent="0.25">
      <c r="AO252" s="121"/>
      <c r="AP252" s="68"/>
      <c r="AQ252" s="68"/>
      <c r="AR252" s="68"/>
      <c r="AS252" s="68"/>
    </row>
    <row r="253" spans="41:45" x14ac:dyDescent="0.25">
      <c r="AO253" s="121"/>
      <c r="AP253" s="68"/>
      <c r="AQ253" s="68"/>
      <c r="AR253" s="68"/>
      <c r="AS253" s="68"/>
    </row>
    <row r="254" spans="41:45" x14ac:dyDescent="0.25">
      <c r="AO254" s="121"/>
      <c r="AP254" s="68"/>
      <c r="AQ254" s="68"/>
      <c r="AR254" s="68"/>
      <c r="AS254" s="68"/>
    </row>
    <row r="255" spans="41:45" x14ac:dyDescent="0.25">
      <c r="AO255" s="121"/>
      <c r="AP255" s="68"/>
      <c r="AQ255" s="68"/>
      <c r="AR255" s="68"/>
      <c r="AS255" s="68"/>
    </row>
    <row r="256" spans="41:45" x14ac:dyDescent="0.25">
      <c r="AO256" s="121"/>
      <c r="AP256" s="68"/>
      <c r="AQ256" s="68"/>
      <c r="AR256" s="68"/>
      <c r="AS256" s="68"/>
    </row>
    <row r="257" spans="41:45" x14ac:dyDescent="0.25">
      <c r="AO257" s="121"/>
      <c r="AP257" s="68"/>
      <c r="AQ257" s="68"/>
      <c r="AR257" s="68"/>
      <c r="AS257" s="68"/>
    </row>
    <row r="258" spans="41:45" x14ac:dyDescent="0.25">
      <c r="AO258" s="121"/>
      <c r="AP258" s="68"/>
      <c r="AQ258" s="68"/>
      <c r="AR258" s="68"/>
      <c r="AS258" s="68"/>
    </row>
    <row r="259" spans="41:45" x14ac:dyDescent="0.25">
      <c r="AO259" s="121"/>
      <c r="AP259" s="68"/>
      <c r="AQ259" s="68"/>
      <c r="AR259" s="68"/>
      <c r="AS259" s="68"/>
    </row>
    <row r="260" spans="41:45" x14ac:dyDescent="0.25">
      <c r="AO260" s="121"/>
      <c r="AP260" s="68"/>
      <c r="AQ260" s="68"/>
      <c r="AR260" s="68"/>
      <c r="AS260" s="68"/>
    </row>
    <row r="261" spans="41:45" x14ac:dyDescent="0.25">
      <c r="AO261" s="121"/>
      <c r="AP261" s="68"/>
      <c r="AQ261" s="68"/>
      <c r="AR261" s="68"/>
      <c r="AS261" s="68"/>
    </row>
    <row r="262" spans="41:45" x14ac:dyDescent="0.25">
      <c r="AO262" s="121"/>
      <c r="AP262" s="68"/>
      <c r="AQ262" s="68"/>
      <c r="AR262" s="68"/>
      <c r="AS262" s="68"/>
    </row>
    <row r="263" spans="41:45" x14ac:dyDescent="0.25">
      <c r="AO263" s="121"/>
      <c r="AP263" s="68"/>
      <c r="AQ263" s="68"/>
      <c r="AR263" s="68"/>
      <c r="AS263" s="68"/>
    </row>
    <row r="264" spans="41:45" x14ac:dyDescent="0.25">
      <c r="AO264" s="121"/>
      <c r="AP264" s="68"/>
      <c r="AQ264" s="68"/>
      <c r="AR264" s="68"/>
      <c r="AS264" s="68"/>
    </row>
    <row r="265" spans="41:45" x14ac:dyDescent="0.25">
      <c r="AO265" s="121"/>
      <c r="AP265" s="68"/>
      <c r="AQ265" s="68"/>
      <c r="AR265" s="68"/>
      <c r="AS265" s="68"/>
    </row>
    <row r="266" spans="41:45" x14ac:dyDescent="0.25">
      <c r="AO266" s="121"/>
      <c r="AP266" s="68"/>
      <c r="AQ266" s="68"/>
      <c r="AR266" s="68"/>
      <c r="AS266" s="68"/>
    </row>
    <row r="267" spans="41:45" x14ac:dyDescent="0.25">
      <c r="AO267" s="121"/>
      <c r="AP267" s="68"/>
      <c r="AQ267" s="68"/>
      <c r="AR267" s="68"/>
      <c r="AS267" s="68"/>
    </row>
  </sheetData>
  <sheetProtection algorithmName="SHA-512" hashValue="48vzQH5+uS3p+efg1ZlHXAG5sqX2MPzVydHQKYqJJgEMxwBt/+TEurgNIFqoSI8d1hL38GRdOKBV2P6wGInEHg==" saltValue="fo9OrhFIgRzYSdHn/DuF9w==" spinCount="100000" sheet="1" formatColumns="0" formatRows="0"/>
  <mergeCells count="20">
    <mergeCell ref="I50:R50"/>
    <mergeCell ref="A1:F1"/>
    <mergeCell ref="A2:B2"/>
    <mergeCell ref="B42:H42"/>
    <mergeCell ref="B43:H43"/>
    <mergeCell ref="B44:H44"/>
    <mergeCell ref="B56:H56"/>
    <mergeCell ref="B55:H55"/>
    <mergeCell ref="B48:H48"/>
    <mergeCell ref="B49:H49"/>
    <mergeCell ref="B50:H50"/>
    <mergeCell ref="B51:H51"/>
    <mergeCell ref="B52:H52"/>
    <mergeCell ref="B54:H54"/>
    <mergeCell ref="B53:H53"/>
    <mergeCell ref="Z1:AE1"/>
    <mergeCell ref="B45:H45"/>
    <mergeCell ref="AJ6:AL6"/>
    <mergeCell ref="B47:H47"/>
    <mergeCell ref="B46:H46"/>
  </mergeCells>
  <conditionalFormatting sqref="A8:D8 A9:G9 F8:H8 A10:D10 F10:H10 A19:H19 A18:D18 F18:H18 A20:D20 F20:H20 A34:D34 F34:H34 A40:H40 A39:D39 F39:H39 A21:H33 A35:H38 A11:H17">
    <cfRule type="expression" dxfId="47" priority="3869">
      <formula>$C$3="Yes, section requirements are not applicable"</formula>
    </cfRule>
  </conditionalFormatting>
  <conditionalFormatting sqref="H9">
    <cfRule type="expression" dxfId="46" priority="2">
      <formula>$C$3="Yes, section requirements are not applicable"</formula>
    </cfRule>
  </conditionalFormatting>
  <conditionalFormatting sqref="E8">
    <cfRule type="expression" dxfId="45" priority="24">
      <formula>$AK8=1</formula>
    </cfRule>
    <cfRule type="expression" dxfId="44" priority="25">
      <formula>$C$3="Yes, section requirements are not included in the contract amendment"</formula>
    </cfRule>
    <cfRule type="expression" dxfId="43" priority="26">
      <formula>OR($V8=TRUE,$U8=TRUE)</formula>
    </cfRule>
  </conditionalFormatting>
  <conditionalFormatting sqref="A9:H9">
    <cfRule type="expression" dxfId="42" priority="23">
      <formula>$E$8="N/A"</formula>
    </cfRule>
  </conditionalFormatting>
  <conditionalFormatting sqref="E10">
    <cfRule type="expression" dxfId="41" priority="20">
      <formula>$AK10=1</formula>
    </cfRule>
    <cfRule type="expression" dxfId="40" priority="21">
      <formula>$C$3="Yes, section requirements are not included in the contract amendment"</formula>
    </cfRule>
    <cfRule type="expression" dxfId="39" priority="22">
      <formula>OR($V10=TRUE,$U10=TRUE)</formula>
    </cfRule>
  </conditionalFormatting>
  <conditionalFormatting sqref="E18">
    <cfRule type="expression" dxfId="38" priority="17">
      <formula>$AK18=1</formula>
    </cfRule>
    <cfRule type="expression" dxfId="37" priority="18">
      <formula>$C$3="Yes, section requirements are not included in the contract amendment"</formula>
    </cfRule>
    <cfRule type="expression" dxfId="36" priority="19">
      <formula>OR($V18=TRUE,$U18=TRUE)</formula>
    </cfRule>
  </conditionalFormatting>
  <conditionalFormatting sqref="E20">
    <cfRule type="expression" dxfId="35" priority="14">
      <formula>$AK20=1</formula>
    </cfRule>
    <cfRule type="expression" dxfId="34" priority="15">
      <formula>$C$3="Yes, section requirements are not included in the contract amendment"</formula>
    </cfRule>
    <cfRule type="expression" dxfId="33" priority="16">
      <formula>OR($V20=TRUE,$U20=TRUE)</formula>
    </cfRule>
  </conditionalFormatting>
  <conditionalFormatting sqref="E34">
    <cfRule type="expression" dxfId="32" priority="11">
      <formula>$AK34=1</formula>
    </cfRule>
    <cfRule type="expression" dxfId="31" priority="12">
      <formula>$C$3="Yes, section requirements are not included in the contract amendment"</formula>
    </cfRule>
    <cfRule type="expression" dxfId="30" priority="13">
      <formula>OR($V34=TRUE,$U34=TRUE)</formula>
    </cfRule>
  </conditionalFormatting>
  <conditionalFormatting sqref="E39">
    <cfRule type="expression" dxfId="29" priority="8">
      <formula>$AK39=1</formula>
    </cfRule>
    <cfRule type="expression" dxfId="28" priority="9">
      <formula>$C$3="Yes, section requirements are not included in the contract amendment"</formula>
    </cfRule>
    <cfRule type="expression" dxfId="27" priority="10">
      <formula>OR($V39=TRUE,$U39=TRUE)</formula>
    </cfRule>
  </conditionalFormatting>
  <conditionalFormatting sqref="A11:H17">
    <cfRule type="expression" dxfId="26" priority="7">
      <formula>$E$10="N/A"</formula>
    </cfRule>
  </conditionalFormatting>
  <conditionalFormatting sqref="A19:H19">
    <cfRule type="expression" dxfId="25" priority="6">
      <formula>$E$18="N/A"</formula>
    </cfRule>
  </conditionalFormatting>
  <conditionalFormatting sqref="A21:H33">
    <cfRule type="expression" dxfId="24" priority="5">
      <formula>$E$20="N/A"</formula>
    </cfRule>
  </conditionalFormatting>
  <conditionalFormatting sqref="A35:H38">
    <cfRule type="expression" dxfId="23" priority="4">
      <formula>$E$34="N/A"</formula>
    </cfRule>
  </conditionalFormatting>
  <conditionalFormatting sqref="A40:H40">
    <cfRule type="expression" dxfId="22" priority="3">
      <formula>$E$39="N/A"</formula>
    </cfRule>
  </conditionalFormatting>
  <conditionalFormatting sqref="A9:H40">
    <cfRule type="expression" dxfId="21" priority="1">
      <formula>$X9=TRUE</formula>
    </cfRule>
  </conditionalFormatting>
  <dataValidations count="3">
    <dataValidation type="list" allowBlank="1" showInputMessage="1" showErrorMessage="1" sqref="C3" xr:uid="{CABB2783-658E-43B4-B169-1010363A27FF}">
      <formula1>$K$2:$K$3</formula1>
    </dataValidation>
    <dataValidation type="list" allowBlank="1" showInputMessage="1" showErrorMessage="1" sqref="E19 E40 E11:E17 E21:E33 E9 E35:E38" xr:uid="{50CCC672-75ED-4E4A-8539-F32CF003BA25}">
      <formula1>$J$1:$J$4</formula1>
    </dataValidation>
    <dataValidation type="list" allowBlank="1" showInputMessage="1" showErrorMessage="1" sqref="E8 E39 E34 E20 E18 E10" xr:uid="{07DB9FE9-0FE4-48BB-A6F8-CD08B003EBAB}">
      <formula1>$AU$1</formula1>
    </dataValidation>
  </dataValidations>
  <hyperlinks>
    <hyperlink ref="D9" location="'I. Program Integrity'!A42" display="1, 2, 3, 4, 5, 6, 7, 12" xr:uid="{C3DB129C-D781-4482-84AA-D52305650BB2}"/>
    <hyperlink ref="D11" location="'I. Program Integrity'!A49" display="8,9" xr:uid="{5113F68A-8246-419E-A82E-95CD1A1350CE}"/>
    <hyperlink ref="D12" location="'I. Program Integrity'!A50" display="'I. Program Integrity'!A50" xr:uid="{75DEC124-CB16-49F8-874C-D524D2D37EA6}"/>
    <hyperlink ref="D14" location="'I. Program Integrity'!A51" display="10, 11" xr:uid="{80CD7A69-E875-47CE-81AA-D107D654F79A}"/>
    <hyperlink ref="D33" location="'I. Program Integrity'!A54" display="'I. Program Integrity'!A54" xr:uid="{EBFDA22B-E45D-49BB-8FE9-1F1AFD3A4C53}"/>
    <hyperlink ref="D35" location="'I. Program Integrity'!A55" display="'I. Program Integrity'!A55" xr:uid="{82CCD555-FD49-437C-86BA-992A981CE7C2}"/>
    <hyperlink ref="D40" location="'I. Program Integrity'!A56" display="'I. Program Integrity'!A56" xr:uid="{40D8D81F-7307-4B04-B060-4FE7146B94F1}"/>
    <hyperlink ref="A42" location="'I. Program Integrity'!D9" display="'I. Program Integrity'!D9" xr:uid="{E3340902-C5FF-4F12-97D9-3181EB4F9B39}"/>
    <hyperlink ref="A43" location="'I. Program Integrity'!D9" display="'I. Program Integrity'!D9" xr:uid="{E0E8D506-30AC-4144-AC34-DA3877A100DF}"/>
    <hyperlink ref="A44" location="'I. Program Integrity'!D9" display="'I. Program Integrity'!D9" xr:uid="{3B493597-80D1-4578-B8E6-6C1119159B2A}"/>
    <hyperlink ref="A45" location="'I. Program Integrity'!D9" display="'I. Program Integrity'!D9" xr:uid="{06B4D257-7BF2-4C4D-9A10-8A6AF4F645B8}"/>
    <hyperlink ref="A46" location="'I. Program Integrity'!D9" display="'I. Program Integrity'!D9" xr:uid="{29AFEB1D-D398-4895-835F-70448AE5ECF7}"/>
    <hyperlink ref="A47" location="'I. Program Integrity'!D9" display="'I. Program Integrity'!D9" xr:uid="{1FD63CDD-57F9-4EF7-A04C-E256AFC0B71F}"/>
    <hyperlink ref="A48" location="'I. Program Integrity'!D9" display="'I. Program Integrity'!D9" xr:uid="{C9CD0814-45AD-4341-9C52-1530CB26745E}"/>
    <hyperlink ref="A49" location="'I. Program Integrity'!D11" display="'I. Program Integrity'!D11" xr:uid="{2CC00756-EEB9-4BC6-B1C6-6D1B4B184A2D}"/>
    <hyperlink ref="A50" location="'I. Program Integrity'!D11" display="'I. Program Integrity'!D11" xr:uid="{4D50748C-05C5-4778-858A-E46CC6FEFE1F}"/>
    <hyperlink ref="A51" location="'I. Program Integrity'!D14" display="'I. Program Integrity'!D14" xr:uid="{543C4D04-28FD-4D57-81D1-70561AA00884}"/>
    <hyperlink ref="A53" location="'I. Program Integrity'!D9" display="'I. Program Integrity'!D9" xr:uid="{148C6A7A-7121-4BA3-97F9-62DBEDD1D538}"/>
    <hyperlink ref="A54" location="'I. Program Integrity'!D33" display="'I. Program Integrity'!D33" xr:uid="{C161D246-000D-4069-99BD-41C3315A72CB}"/>
    <hyperlink ref="A55" location="'I. Program Integrity'!D35" display="'I. Program Integrity'!D35" xr:uid="{C56D1550-74E9-48E0-A7C7-677E0C3BDFAC}"/>
    <hyperlink ref="A56" location="'I. Program Integrity'!D40" display="'I. Program Integrity'!D40" xr:uid="{957AA6EC-9DA6-45EC-8AB6-1CF4B7289A9B}"/>
    <hyperlink ref="A52" location="'I. Program Integrity'!D14" display="'I. Program Integrity'!D14" xr:uid="{EA0C208C-0CDA-4CBA-B4B5-F22931D2F8DA}"/>
    <hyperlink ref="D13" location="'I. Program Integrity'!A50" display="'I. Program Integrity'!A50" xr:uid="{649A66F5-AC80-4688-AD38-3D11530EDE86}"/>
  </hyperlinks>
  <pageMargins left="0.25" right="0.25" top="0.75" bottom="0.75" header="0.3" footer="0.3"/>
  <pageSetup scale="78" fitToHeight="0" orientation="landscape" horizontalDpi="4294967293" verticalDpi="4294967293" r:id="rId1"/>
  <extLst>
    <ext xmlns:x14="http://schemas.microsoft.com/office/spreadsheetml/2009/9/main" uri="{78C0D931-6437-407d-A8EE-F0AAD7539E65}">
      <x14:conditionalFormattings>
        <x14:conditionalFormatting xmlns:xm="http://schemas.microsoft.com/office/excel/2006/main">
          <x14:cfRule type="expression" priority="27" id="{77DB0E45-9B2A-46F2-AD5E-AB24D8FD0368}">
            <xm:f>AND('Cover Sheet'!$B$29="Streamlined Review")</xm:f>
            <x14:dxf>
              <fill>
                <patternFill patternType="lightUp"/>
              </fill>
            </x14:dxf>
          </x14:cfRule>
          <xm:sqref>A19:H19 A21:H27 A32:H33 A15:H17 A36:H38 A12:H13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pageSetUpPr fitToPage="1"/>
  </sheetPr>
  <dimension ref="A1:XEY1048574"/>
  <sheetViews>
    <sheetView zoomScale="70" zoomScaleNormal="70" workbookViewId="0">
      <pane ySplit="7" topLeftCell="A9" activePane="bottomLeft" state="frozen"/>
      <selection pane="bottomLeft" sqref="A1:F1"/>
    </sheetView>
  </sheetViews>
  <sheetFormatPr defaultColWidth="9.28515625" defaultRowHeight="15" x14ac:dyDescent="0.25"/>
  <cols>
    <col min="1" max="1" width="10.5703125" customWidth="1"/>
    <col min="2" max="2" width="18.5703125" style="7" customWidth="1"/>
    <col min="3" max="3" width="77.7109375" style="152" customWidth="1"/>
    <col min="4" max="4" width="7.5703125" style="8" customWidth="1"/>
    <col min="5" max="5" width="8.5703125" style="5" customWidth="1"/>
    <col min="6" max="6" width="8.5703125" customWidth="1"/>
    <col min="7" max="7" width="22.28515625" customWidth="1"/>
    <col min="8" max="8" width="9.28515625" customWidth="1"/>
    <col min="9" max="9" width="10.7109375" style="141" hidden="1" customWidth="1"/>
    <col min="10" max="10" width="9.5703125" style="139" hidden="1" customWidth="1"/>
    <col min="11" max="12" width="6.28515625" style="139" hidden="1" customWidth="1"/>
    <col min="13" max="13" width="11.28515625" style="138" hidden="1" customWidth="1"/>
    <col min="14" max="15" width="6.28515625" style="116" hidden="1" customWidth="1"/>
    <col min="16" max="16" width="9.28515625" style="116" hidden="1" customWidth="1"/>
    <col min="17" max="17" width="7.5703125" style="116" hidden="1" customWidth="1"/>
    <col min="18" max="18" width="6.28515625" style="116" hidden="1" customWidth="1"/>
    <col min="19" max="21" width="12.42578125" style="117" hidden="1" customWidth="1"/>
    <col min="22" max="22" width="27.5703125" style="122" hidden="1" customWidth="1"/>
    <col min="23" max="23" width="26.5703125" style="88" hidden="1" customWidth="1"/>
    <col min="24" max="31" width="60.7109375" style="88" hidden="1" customWidth="1"/>
    <col min="32" max="32" width="65.28515625" style="69" hidden="1" customWidth="1"/>
    <col min="33" max="33" width="34.7109375" style="69" hidden="1" customWidth="1"/>
    <col min="34" max="34" width="7.28515625" style="69" hidden="1" customWidth="1"/>
    <col min="35" max="35" width="76.7109375" style="84" hidden="1" customWidth="1"/>
    <col min="36" max="36" width="9.28515625" style="69" hidden="1" customWidth="1"/>
    <col min="37" max="37" width="13.28515625" style="69" hidden="1" customWidth="1"/>
    <col min="38" max="46" width="9.28515625" style="69" hidden="1" customWidth="1"/>
    <col min="47" max="47" width="11" hidden="1" customWidth="1"/>
    <col min="48" max="64" width="9.28515625" customWidth="1"/>
  </cols>
  <sheetData>
    <row r="1" spans="1:47" ht="27.95" customHeight="1" thickBot="1" x14ac:dyDescent="0.3">
      <c r="A1" s="573" t="s">
        <v>2049</v>
      </c>
      <c r="B1" s="574"/>
      <c r="C1" s="574"/>
      <c r="D1" s="574"/>
      <c r="E1" s="574"/>
      <c r="F1" s="574"/>
      <c r="G1" s="548"/>
      <c r="H1" s="280"/>
      <c r="I1" s="25"/>
      <c r="J1" s="26" t="s">
        <v>311</v>
      </c>
      <c r="K1" s="27"/>
      <c r="L1" s="51"/>
      <c r="M1" s="52" t="b">
        <f>IF($C$2="Base contract","Blist",IF($C$2="Contract Amendment","Alist"))</f>
        <v>0</v>
      </c>
      <c r="N1" s="53"/>
      <c r="O1" s="29"/>
      <c r="P1" s="53"/>
      <c r="Q1" s="53"/>
      <c r="R1" s="53"/>
      <c r="S1" s="53"/>
      <c r="T1" s="53"/>
      <c r="U1" s="53"/>
      <c r="V1" s="38"/>
      <c r="W1" s="54"/>
      <c r="X1" s="545"/>
      <c r="Y1" s="545"/>
      <c r="Z1" s="581" t="s">
        <v>313</v>
      </c>
      <c r="AA1" s="582"/>
      <c r="AB1" s="582"/>
      <c r="AC1" s="582"/>
      <c r="AD1" s="582"/>
      <c r="AE1" s="582"/>
      <c r="AF1" s="57"/>
      <c r="AG1" s="46" t="s">
        <v>318</v>
      </c>
      <c r="AH1" s="56"/>
      <c r="AI1" s="56"/>
      <c r="AJ1" s="56"/>
      <c r="AK1" s="56"/>
      <c r="AM1" s="69" t="s">
        <v>319</v>
      </c>
    </row>
    <row r="2" spans="1:47" ht="21.6" customHeight="1" x14ac:dyDescent="0.25">
      <c r="A2" s="588" t="s">
        <v>320</v>
      </c>
      <c r="B2" s="589"/>
      <c r="C2" s="551">
        <f>'Cover Sheet'!B6</f>
        <v>0</v>
      </c>
      <c r="D2" s="218"/>
      <c r="E2" s="281"/>
      <c r="F2" s="282"/>
      <c r="G2" s="283" t="s">
        <v>1077</v>
      </c>
      <c r="H2" s="284" t="str">
        <f>I2</f>
        <v>Not Started</v>
      </c>
      <c r="I2" s="25" t="str">
        <f>IF(OR($C$3="Yes, section requirements are not applicable",$C$3="Yes, all requirements on the sheet are crosshatched",AND(E8="N/A",E16="N/A",E19="N/A",E28="N/A",E31="N/A",E51="N/A",E53="N/A")),"Section Review N/A",IF((COUNTA(A8:A59)+COUNTBLANK(A8:A59)=COUNTBLANK(E8:E59)),"Not Started",IF((COUNTA(A8:A59)&gt;SUM(V8:V59)),"In Progress","Section Review Complete")))</f>
        <v>Not Started</v>
      </c>
      <c r="J2" s="25" t="s">
        <v>322</v>
      </c>
      <c r="K2" s="27" t="s">
        <v>323</v>
      </c>
      <c r="L2" s="27"/>
      <c r="M2" s="28"/>
      <c r="N2" s="53"/>
      <c r="O2" s="29"/>
      <c r="P2" s="53"/>
      <c r="Q2" s="53"/>
      <c r="R2" s="53"/>
      <c r="S2" s="53"/>
      <c r="T2" s="53"/>
      <c r="U2" s="53"/>
      <c r="V2" s="38"/>
      <c r="W2" s="54"/>
      <c r="X2" s="59"/>
      <c r="Y2" s="59"/>
      <c r="Z2" s="54" t="str">
        <f>IF('Cover Sheet'!$B$13="Yes","MCO","--")</f>
        <v>MCO</v>
      </c>
      <c r="AA2" s="54" t="str">
        <f>IF('Cover Sheet'!$B$14="Yes","HIO","--")</f>
        <v>--</v>
      </c>
      <c r="AB2" s="54" t="str">
        <f>IF('Cover Sheet'!$B$15="Yes","PIHP","--")</f>
        <v>--</v>
      </c>
      <c r="AC2" s="54" t="str">
        <f>IF('Cover Sheet'!$B$16="Yes","PAHP","--")</f>
        <v>--</v>
      </c>
      <c r="AD2" s="54" t="str">
        <f>IF('Cover Sheet'!$B$17="Yes","NEMT PAHP","--")</f>
        <v>--</v>
      </c>
      <c r="AE2" s="54" t="str">
        <f>IF('Cover Sheet'!$B$18="Yes","PCCME","--")</f>
        <v>--</v>
      </c>
      <c r="AF2" s="57"/>
      <c r="AG2" s="61">
        <f>IF('Cover Sheet'!$B$4="BOTH",1,0)</f>
        <v>1</v>
      </c>
      <c r="AH2" s="56"/>
      <c r="AI2" s="56" t="s">
        <v>224</v>
      </c>
      <c r="AJ2" s="56"/>
      <c r="AK2" s="56"/>
    </row>
    <row r="3" spans="1:47" ht="13.5" customHeight="1" thickBot="1" x14ac:dyDescent="0.3">
      <c r="A3" s="305" t="s">
        <v>324</v>
      </c>
      <c r="B3" s="306"/>
      <c r="C3" s="307" t="s">
        <v>325</v>
      </c>
      <c r="D3" s="226"/>
      <c r="E3" s="285"/>
      <c r="F3" s="286"/>
      <c r="G3" s="287" t="s">
        <v>326</v>
      </c>
      <c r="H3" s="288" t="str">
        <f>I3</f>
        <v>Not Started</v>
      </c>
      <c r="I3" s="25" t="str">
        <f>IF(OR($C$3="Yes, section requirements are not applicable",$C$3="Yes, all requirements on the sheet are crosshatched",AND(E8="N/A",E16="N/A",E19="N/A",E28="N/A",E31="N/A",E51="N/A",E53="N/A")),"Section Review N/A",IF((COUNTA(A8:A59)+COUNTBLANK(A8:A59))=COUNTBLANK(E8:E59),"Not Started",IF(OR(COUNTA(A8:A59)+COUNTBLANK(A8:A59)&lt;&gt;COUNTIF(E8:E59,"Yes")+COUNTIF(E8:E59,"Met")+COUNTIF(E8:E59,"N/A")+COUNTBLANK(E8:E59),COUNTA(A8:A59)&lt;&gt;SUM(V8:V59)),"Revisions Needed","Approved")))</f>
        <v>Not Started</v>
      </c>
      <c r="J3" s="25" t="s">
        <v>327</v>
      </c>
      <c r="K3" s="27" t="s">
        <v>325</v>
      </c>
      <c r="L3" s="27"/>
      <c r="M3" s="28"/>
      <c r="N3" s="53"/>
      <c r="O3" s="29"/>
      <c r="P3" s="53"/>
      <c r="Q3" s="53"/>
      <c r="R3" s="53"/>
      <c r="S3" s="53"/>
      <c r="T3" s="53"/>
      <c r="U3" s="53"/>
      <c r="V3" s="38"/>
      <c r="W3" s="54"/>
      <c r="X3" s="56"/>
      <c r="Y3" s="56"/>
      <c r="Z3" s="56"/>
      <c r="AA3" s="56"/>
      <c r="AB3" s="56"/>
      <c r="AC3" s="56"/>
      <c r="AD3" s="56"/>
      <c r="AE3" s="56"/>
      <c r="AF3" s="57"/>
      <c r="AG3" s="54"/>
      <c r="AH3" s="56"/>
      <c r="AI3" s="56"/>
      <c r="AJ3" s="56"/>
      <c r="AK3" s="56"/>
    </row>
    <row r="4" spans="1:47" ht="13.5" hidden="1" customHeight="1" x14ac:dyDescent="0.25">
      <c r="A4" s="231"/>
      <c r="B4" s="232"/>
      <c r="C4" s="289"/>
      <c r="D4" s="234"/>
      <c r="E4" s="231"/>
      <c r="F4" s="290"/>
      <c r="G4" s="290"/>
      <c r="H4" s="290"/>
      <c r="I4" s="25"/>
      <c r="J4" s="25" t="s">
        <v>319</v>
      </c>
      <c r="K4" s="27"/>
      <c r="L4" s="27"/>
      <c r="M4" s="28"/>
      <c r="N4" s="53"/>
      <c r="O4" s="29"/>
      <c r="P4" s="53"/>
      <c r="Q4" s="53"/>
      <c r="R4" s="53"/>
      <c r="S4" s="53"/>
      <c r="T4" s="53"/>
      <c r="U4" s="53"/>
      <c r="V4" s="38"/>
      <c r="W4" s="54"/>
      <c r="X4" s="56"/>
      <c r="Y4" s="56"/>
      <c r="Z4" s="56"/>
      <c r="AA4" s="56"/>
      <c r="AB4" s="56"/>
      <c r="AC4" s="56"/>
      <c r="AD4" s="56"/>
      <c r="AE4" s="56"/>
      <c r="AF4" s="57"/>
      <c r="AG4" s="54"/>
      <c r="AH4" s="56"/>
      <c r="AI4" s="56"/>
      <c r="AJ4" s="56"/>
      <c r="AK4" s="56"/>
    </row>
    <row r="5" spans="1:47" ht="13.5" hidden="1" customHeight="1" x14ac:dyDescent="0.25">
      <c r="A5" s="237"/>
      <c r="B5" s="238"/>
      <c r="C5" s="291"/>
      <c r="D5" s="239"/>
      <c r="E5" s="237"/>
      <c r="F5" s="292"/>
      <c r="G5" s="292"/>
      <c r="H5" s="355"/>
      <c r="I5" s="25"/>
      <c r="J5" s="25"/>
      <c r="K5" s="27"/>
      <c r="L5" s="27"/>
      <c r="M5" s="28"/>
      <c r="N5" s="53"/>
      <c r="O5" s="29"/>
      <c r="P5" s="53"/>
      <c r="Q5" s="53"/>
      <c r="R5" s="53"/>
      <c r="S5" s="53" t="s">
        <v>330</v>
      </c>
      <c r="T5" s="53"/>
      <c r="U5" s="53"/>
      <c r="V5" s="38"/>
      <c r="W5" s="54"/>
      <c r="X5" s="56"/>
      <c r="Y5" s="56"/>
      <c r="Z5" s="56"/>
      <c r="AA5" s="56"/>
      <c r="AB5" s="56"/>
      <c r="AC5" s="56"/>
      <c r="AD5" s="56"/>
      <c r="AE5" s="56"/>
      <c r="AF5" s="57"/>
      <c r="AG5" s="54"/>
      <c r="AH5" s="56"/>
      <c r="AI5" s="56"/>
      <c r="AJ5" s="56"/>
      <c r="AK5" s="56"/>
      <c r="AM5" s="69" t="s">
        <v>331</v>
      </c>
    </row>
    <row r="6" spans="1:47" ht="18" hidden="1" customHeight="1" thickBot="1" x14ac:dyDescent="0.3">
      <c r="A6" s="242"/>
      <c r="B6" s="243"/>
      <c r="C6" s="244"/>
      <c r="D6" s="245"/>
      <c r="E6" s="246"/>
      <c r="F6" s="247"/>
      <c r="G6" s="247"/>
      <c r="H6" s="247"/>
      <c r="I6" s="26" t="s">
        <v>466</v>
      </c>
      <c r="J6" s="25"/>
      <c r="K6" s="32"/>
      <c r="L6" s="25"/>
      <c r="M6" s="53"/>
      <c r="N6" s="53"/>
      <c r="O6" s="53"/>
      <c r="P6" s="33" t="s">
        <v>332</v>
      </c>
      <c r="Q6" s="33" t="s">
        <v>333</v>
      </c>
      <c r="R6" s="33" t="s">
        <v>334</v>
      </c>
      <c r="S6" s="63"/>
      <c r="T6" s="63"/>
      <c r="U6" s="63"/>
      <c r="V6" s="38"/>
      <c r="W6" s="112"/>
      <c r="X6" s="101" t="s">
        <v>351</v>
      </c>
      <c r="Y6" s="101" t="s">
        <v>352</v>
      </c>
      <c r="Z6" s="101"/>
      <c r="AA6" s="101"/>
      <c r="AB6" s="101"/>
      <c r="AC6" s="101"/>
      <c r="AD6" s="101"/>
      <c r="AE6" s="101"/>
      <c r="AF6" s="57"/>
      <c r="AG6" s="54"/>
      <c r="AH6" s="56"/>
      <c r="AI6" s="56"/>
      <c r="AJ6" s="56" t="s">
        <v>336</v>
      </c>
      <c r="AK6" s="56"/>
    </row>
    <row r="7" spans="1:47" ht="40.15" customHeight="1" thickBot="1" x14ac:dyDescent="0.3">
      <c r="A7" s="249" t="s">
        <v>337</v>
      </c>
      <c r="B7" s="250" t="s">
        <v>338</v>
      </c>
      <c r="C7" s="251" t="s">
        <v>339</v>
      </c>
      <c r="D7" s="251" t="s">
        <v>340</v>
      </c>
      <c r="E7" s="251" t="s">
        <v>341</v>
      </c>
      <c r="F7" s="251" t="s">
        <v>342</v>
      </c>
      <c r="G7" s="251" t="s">
        <v>343</v>
      </c>
      <c r="H7" s="293" t="s">
        <v>344</v>
      </c>
      <c r="I7" s="34" t="s">
        <v>168</v>
      </c>
      <c r="J7" s="34" t="s">
        <v>178</v>
      </c>
      <c r="K7" s="34" t="s">
        <v>185</v>
      </c>
      <c r="L7" s="35" t="s">
        <v>190</v>
      </c>
      <c r="M7" s="36" t="s">
        <v>195</v>
      </c>
      <c r="N7" s="37" t="s">
        <v>345</v>
      </c>
      <c r="O7" s="37" t="s">
        <v>200</v>
      </c>
      <c r="P7" s="38"/>
      <c r="Q7" s="38"/>
      <c r="R7" s="38"/>
      <c r="S7" s="39" t="s">
        <v>346</v>
      </c>
      <c r="T7" s="39"/>
      <c r="U7" s="39"/>
      <c r="V7" s="50" t="s">
        <v>467</v>
      </c>
      <c r="W7" s="70" t="s">
        <v>360</v>
      </c>
      <c r="X7" s="158"/>
      <c r="Y7" s="158"/>
      <c r="Z7" s="158" t="s">
        <v>168</v>
      </c>
      <c r="AA7" s="158" t="s">
        <v>178</v>
      </c>
      <c r="AB7" s="158" t="s">
        <v>185</v>
      </c>
      <c r="AC7" s="158" t="s">
        <v>190</v>
      </c>
      <c r="AD7" s="158" t="s">
        <v>195</v>
      </c>
      <c r="AE7" s="158" t="s">
        <v>200</v>
      </c>
      <c r="AF7" s="70" t="s">
        <v>362</v>
      </c>
      <c r="AG7" s="104" t="s">
        <v>363</v>
      </c>
      <c r="AH7" s="70" t="s">
        <v>364</v>
      </c>
      <c r="AI7" s="70" t="s">
        <v>365</v>
      </c>
      <c r="AJ7" s="56" t="s">
        <v>366</v>
      </c>
      <c r="AK7" s="56" t="s">
        <v>367</v>
      </c>
      <c r="AL7" s="69" t="s">
        <v>368</v>
      </c>
      <c r="AM7" s="69" t="s">
        <v>331</v>
      </c>
      <c r="AN7" s="69" t="s">
        <v>369</v>
      </c>
      <c r="AO7" s="69" t="s">
        <v>370</v>
      </c>
      <c r="AP7" s="69" t="s">
        <v>371</v>
      </c>
      <c r="AQ7" s="69" t="s">
        <v>372</v>
      </c>
      <c r="AR7" s="81" t="s">
        <v>373</v>
      </c>
      <c r="AS7" s="82" t="s">
        <v>374</v>
      </c>
      <c r="AT7" s="83" t="s">
        <v>375</v>
      </c>
      <c r="AU7" s="5" t="s">
        <v>376</v>
      </c>
    </row>
    <row r="8" spans="1:47" ht="15.75" customHeight="1" thickBot="1" x14ac:dyDescent="0.3">
      <c r="A8" s="450"/>
      <c r="B8" s="451"/>
      <c r="C8" s="452" t="s">
        <v>89</v>
      </c>
      <c r="D8" s="442"/>
      <c r="E8" s="443"/>
      <c r="F8" s="444"/>
      <c r="G8" s="444"/>
      <c r="H8" s="445"/>
      <c r="I8" s="74"/>
      <c r="J8" s="74"/>
      <c r="K8" s="74"/>
      <c r="L8" s="87"/>
      <c r="M8" s="87"/>
      <c r="S8" s="116"/>
      <c r="T8" s="116"/>
      <c r="U8" s="116"/>
      <c r="AF8" s="89"/>
      <c r="AG8" s="89"/>
      <c r="AH8" s="89"/>
      <c r="AI8" s="89"/>
      <c r="AJ8" s="68"/>
      <c r="AK8" s="68"/>
      <c r="AU8" s="5"/>
    </row>
    <row r="9" spans="1:47" ht="43.5" customHeight="1" x14ac:dyDescent="0.25">
      <c r="A9" s="294" t="s">
        <v>2050</v>
      </c>
      <c r="B9" s="295" t="s">
        <v>2051</v>
      </c>
      <c r="C9" s="295" t="s">
        <v>2052</v>
      </c>
      <c r="D9" s="446"/>
      <c r="E9" s="297"/>
      <c r="F9" s="297"/>
      <c r="G9" s="297"/>
      <c r="H9" s="214"/>
      <c r="I9" s="92" t="s">
        <v>168</v>
      </c>
      <c r="J9" s="92" t="s">
        <v>178</v>
      </c>
      <c r="K9" s="92" t="s">
        <v>185</v>
      </c>
      <c r="L9" s="71" t="s">
        <v>190</v>
      </c>
      <c r="M9" s="166" t="s">
        <v>195</v>
      </c>
      <c r="N9" s="71"/>
      <c r="O9" s="71"/>
      <c r="P9" s="71" t="s">
        <v>380</v>
      </c>
      <c r="Q9" s="71" t="e">
        <f>IF(OR(AND($C$2="Base contract",$C$3="No, section requirements must be reviewed",#REF!= FALSE,#REF!=FALSE),AND($C$2="Contract amendment",$C$3="No, section requirements must be reviewed",#REF!=FALSE,#REF!=FALSE)),"MUNN")</f>
        <v>#REF!</v>
      </c>
      <c r="R9" s="71"/>
      <c r="S9" s="72"/>
      <c r="T9" s="72"/>
      <c r="U9" s="72"/>
      <c r="V9" s="97">
        <f>IF(OR($E$8="N/A",AND(AU9=0,'Cover Sheet'!$B$29="Streamlined Review"),AND(E9="Met",F9&lt;&gt;""),AND(E9="Not met",G9&lt;&gt;""),AND(E9="Unsure",G9&lt;&gt;""),AND(E9="N/A",H9&lt;&gt;""),AND(Y9=TRUE)),1,0)</f>
        <v>0</v>
      </c>
      <c r="W9" s="56" t="b">
        <f>IF(AND('Cover Sheet'!$B$19="Non-Risk",$R9=1),TRUE,FALSE)</f>
        <v>0</v>
      </c>
      <c r="X9" s="126" t="b">
        <f>IF(OR(Y9=TRUE),TRUE,FALSE)</f>
        <v>0</v>
      </c>
      <c r="Y9" s="126" t="b">
        <f>IF(SUM(Z9:AE9)&lt;1,TRUE,FALSE)</f>
        <v>0</v>
      </c>
      <c r="Z9" s="126">
        <f t="shared" ref="Z9:Z15" si="0">IF($Z$2=I9,1,0)</f>
        <v>1</v>
      </c>
      <c r="AA9" s="126">
        <f t="shared" ref="AA9:AA15" si="1">IF($AA$2=J9,1,0)</f>
        <v>0</v>
      </c>
      <c r="AB9" s="126">
        <f t="shared" ref="AB9:AB15" si="2">IF($AB$2=K9,1,0)</f>
        <v>0</v>
      </c>
      <c r="AC9" s="126">
        <f t="shared" ref="AC9:AC15" si="3">IF($AC$2=L9,1,0)</f>
        <v>0</v>
      </c>
      <c r="AD9" s="126">
        <f t="shared" ref="AD9:AD15" si="4">IF($AD$2=M9,1,0)</f>
        <v>0</v>
      </c>
      <c r="AE9" s="126">
        <f t="shared" ref="AE9:AE15" si="5">IF($AE$2=O9,1,0)</f>
        <v>0</v>
      </c>
      <c r="AF9" s="74"/>
      <c r="AG9" s="74"/>
      <c r="AH9" s="74"/>
      <c r="AI9" s="86"/>
      <c r="AJ9" s="87"/>
      <c r="AK9" s="74"/>
      <c r="AM9" s="69" t="str">
        <f>IF(AL9=1,1,"")</f>
        <v/>
      </c>
      <c r="AU9" s="5">
        <v>0</v>
      </c>
    </row>
    <row r="10" spans="1:47" ht="52.5" customHeight="1" x14ac:dyDescent="0.25">
      <c r="A10" s="294" t="s">
        <v>2053</v>
      </c>
      <c r="B10" s="295" t="s">
        <v>2051</v>
      </c>
      <c r="C10" s="295" t="s">
        <v>2054</v>
      </c>
      <c r="D10" s="446"/>
      <c r="E10" s="297"/>
      <c r="F10" s="297"/>
      <c r="G10" s="297"/>
      <c r="H10" s="214"/>
      <c r="I10" s="92" t="s">
        <v>168</v>
      </c>
      <c r="J10" s="92" t="s">
        <v>178</v>
      </c>
      <c r="K10" s="92" t="s">
        <v>185</v>
      </c>
      <c r="L10" s="71" t="s">
        <v>190</v>
      </c>
      <c r="M10" s="71" t="s">
        <v>195</v>
      </c>
      <c r="N10" s="71"/>
      <c r="O10" s="71"/>
      <c r="P10" s="71" t="s">
        <v>380</v>
      </c>
      <c r="Q10" s="71" t="e">
        <f>IF(OR(AND($C$2="Base contract",$C$3="No, section requirements must be reviewed",#REF!= FALSE,#REF!=FALSE),AND($C$2="Contract amendment",$C$3="No, section requirements must be reviewed",#REF!=FALSE,#REF!=FALSE)),"MUNN")</f>
        <v>#REF!</v>
      </c>
      <c r="R10" s="71"/>
      <c r="S10" s="64">
        <v>42917</v>
      </c>
      <c r="T10" s="64"/>
      <c r="U10" s="64"/>
      <c r="V10" s="97">
        <f>IF(OR($E$8="N/A",AND(AU10=0,'Cover Sheet'!$B$29="Streamlined Review"),AND(E10="Met",F10&lt;&gt;""),AND(E10="Not met",G10&lt;&gt;""),AND(E10="Unsure",G10&lt;&gt;""),AND(E10="N/A",H10&lt;&gt;""),AND(Y10=TRUE)),1,0)</f>
        <v>0</v>
      </c>
      <c r="W10" s="56" t="b">
        <f>IF(AND('Cover Sheet'!$B$19="Non-Risk",$R10=1),TRUE,FALSE)</f>
        <v>0</v>
      </c>
      <c r="X10" s="126" t="b">
        <f t="shared" ref="X10:X59" si="6">IF(OR(Y10=TRUE),TRUE,FALSE)</f>
        <v>0</v>
      </c>
      <c r="Y10" s="126" t="b">
        <f t="shared" ref="Y10:Y15" si="7">IF(SUM(Z10:AE10)&lt;1,TRUE,FALSE)</f>
        <v>0</v>
      </c>
      <c r="Z10" s="126">
        <f t="shared" si="0"/>
        <v>1</v>
      </c>
      <c r="AA10" s="126">
        <f t="shared" si="1"/>
        <v>0</v>
      </c>
      <c r="AB10" s="126">
        <f t="shared" si="2"/>
        <v>0</v>
      </c>
      <c r="AC10" s="126">
        <f t="shared" si="3"/>
        <v>0</v>
      </c>
      <c r="AD10" s="126">
        <f t="shared" si="4"/>
        <v>0</v>
      </c>
      <c r="AE10" s="126">
        <f t="shared" si="5"/>
        <v>0</v>
      </c>
      <c r="AF10" s="74"/>
      <c r="AG10" s="74"/>
      <c r="AH10" s="74"/>
      <c r="AI10" s="86"/>
      <c r="AJ10" s="87"/>
      <c r="AK10" s="74"/>
      <c r="AM10" s="69" t="str">
        <f t="shared" ref="AM10:AM15" si="8">IF(AL10=1,1,"")</f>
        <v/>
      </c>
      <c r="AU10" s="5">
        <v>0</v>
      </c>
    </row>
    <row r="11" spans="1:47" ht="45.75" customHeight="1" x14ac:dyDescent="0.25">
      <c r="A11" s="294" t="s">
        <v>2055</v>
      </c>
      <c r="B11" s="295" t="s">
        <v>2051</v>
      </c>
      <c r="C11" s="295" t="s">
        <v>2056</v>
      </c>
      <c r="D11" s="446"/>
      <c r="E11" s="297"/>
      <c r="F11" s="297"/>
      <c r="G11" s="297"/>
      <c r="H11" s="214"/>
      <c r="I11" s="92" t="s">
        <v>168</v>
      </c>
      <c r="J11" s="92" t="s">
        <v>178</v>
      </c>
      <c r="K11" s="92" t="s">
        <v>185</v>
      </c>
      <c r="L11" s="71" t="s">
        <v>190</v>
      </c>
      <c r="M11" s="71" t="s">
        <v>195</v>
      </c>
      <c r="N11" s="71"/>
      <c r="O11" s="71"/>
      <c r="P11" s="71" t="s">
        <v>380</v>
      </c>
      <c r="Q11" s="71" t="e">
        <f>IF(OR(AND($C$2="Base contract",$C$3="No, section requirements must be reviewed",#REF!= FALSE,#REF!=FALSE),AND($C$2="Contract amendment",$C$3="No, section requirements must be reviewed",#REF!=FALSE,#REF!=FALSE)),"MUNN")</f>
        <v>#REF!</v>
      </c>
      <c r="R11" s="71"/>
      <c r="S11" s="64">
        <v>42917</v>
      </c>
      <c r="T11" s="64"/>
      <c r="U11" s="64"/>
      <c r="V11" s="97">
        <f>IF(OR($E$8="N/A",AND(AU11=0,'Cover Sheet'!$B$29="Streamlined Review"),AND(E11="Met",F11&lt;&gt;""),AND(E11="Not met",G11&lt;&gt;""),AND(E11="Unsure",G11&lt;&gt;""),AND(E11="N/A",H11&lt;&gt;""),AND(Y11=TRUE)),1,0)</f>
        <v>0</v>
      </c>
      <c r="W11" s="56" t="b">
        <f>IF(AND('Cover Sheet'!$B$19="Non-Risk",$R11=1),TRUE,FALSE)</f>
        <v>0</v>
      </c>
      <c r="X11" s="126" t="b">
        <f t="shared" si="6"/>
        <v>0</v>
      </c>
      <c r="Y11" s="126" t="b">
        <f t="shared" si="7"/>
        <v>0</v>
      </c>
      <c r="Z11" s="126">
        <f t="shared" si="0"/>
        <v>1</v>
      </c>
      <c r="AA11" s="126">
        <f t="shared" si="1"/>
        <v>0</v>
      </c>
      <c r="AB11" s="126">
        <f t="shared" si="2"/>
        <v>0</v>
      </c>
      <c r="AC11" s="126">
        <f t="shared" si="3"/>
        <v>0</v>
      </c>
      <c r="AD11" s="126">
        <f t="shared" si="4"/>
        <v>0</v>
      </c>
      <c r="AE11" s="126">
        <f t="shared" si="5"/>
        <v>0</v>
      </c>
      <c r="AF11" s="74"/>
      <c r="AG11" s="74"/>
      <c r="AH11" s="74"/>
      <c r="AI11" s="86"/>
      <c r="AJ11" s="87"/>
      <c r="AK11" s="74"/>
      <c r="AM11" s="69" t="str">
        <f t="shared" si="8"/>
        <v/>
      </c>
      <c r="AU11" s="5">
        <v>0</v>
      </c>
    </row>
    <row r="12" spans="1:47" ht="51" x14ac:dyDescent="0.25">
      <c r="A12" s="294" t="s">
        <v>2057</v>
      </c>
      <c r="B12" s="295" t="s">
        <v>2051</v>
      </c>
      <c r="C12" s="295" t="s">
        <v>2058</v>
      </c>
      <c r="D12" s="446"/>
      <c r="E12" s="297"/>
      <c r="F12" s="297"/>
      <c r="G12" s="297"/>
      <c r="H12" s="214"/>
      <c r="I12" s="92" t="s">
        <v>168</v>
      </c>
      <c r="J12" s="92" t="s">
        <v>178</v>
      </c>
      <c r="K12" s="92" t="s">
        <v>185</v>
      </c>
      <c r="L12" s="71" t="s">
        <v>190</v>
      </c>
      <c r="M12" s="71" t="s">
        <v>195</v>
      </c>
      <c r="N12" s="71"/>
      <c r="O12" s="71"/>
      <c r="P12" s="71" t="s">
        <v>380</v>
      </c>
      <c r="Q12" s="71" t="e">
        <f>IF(OR(AND($C$2="Base contract",$C$3="No, section requirements must be reviewed",#REF!= FALSE,#REF!=FALSE),AND($C$2="Contract amendment",$C$3="No, section requirements must be reviewed",#REF!=FALSE,#REF!=FALSE)),"MUNN")</f>
        <v>#REF!</v>
      </c>
      <c r="R12" s="71"/>
      <c r="S12" s="64">
        <v>42917</v>
      </c>
      <c r="T12" s="64"/>
      <c r="U12" s="64"/>
      <c r="V12" s="97">
        <f>IF(OR($E$8="N/A",AND(AU12=0,'Cover Sheet'!$B$29="Streamlined Review"),AND(E12="Met",F12&lt;&gt;""),AND(E12="Not met",G12&lt;&gt;""),AND(E12="Unsure",G12&lt;&gt;""),AND(E12="N/A",H12&lt;&gt;""),AND(Y12=TRUE)),1,0)</f>
        <v>0</v>
      </c>
      <c r="W12" s="56" t="b">
        <f>IF(AND('Cover Sheet'!$B$19="Non-Risk",$R12=1),TRUE,FALSE)</f>
        <v>0</v>
      </c>
      <c r="X12" s="126" t="b">
        <f t="shared" si="6"/>
        <v>0</v>
      </c>
      <c r="Y12" s="126" t="b">
        <f t="shared" si="7"/>
        <v>0</v>
      </c>
      <c r="Z12" s="126">
        <f t="shared" si="0"/>
        <v>1</v>
      </c>
      <c r="AA12" s="126">
        <f t="shared" si="1"/>
        <v>0</v>
      </c>
      <c r="AB12" s="126">
        <f t="shared" si="2"/>
        <v>0</v>
      </c>
      <c r="AC12" s="126">
        <f t="shared" si="3"/>
        <v>0</v>
      </c>
      <c r="AD12" s="126">
        <f t="shared" si="4"/>
        <v>0</v>
      </c>
      <c r="AE12" s="126">
        <f t="shared" si="5"/>
        <v>0</v>
      </c>
      <c r="AF12" s="74"/>
      <c r="AG12" s="74"/>
      <c r="AH12" s="74"/>
      <c r="AI12" s="86"/>
      <c r="AJ12" s="87"/>
      <c r="AK12" s="74"/>
      <c r="AM12" s="69" t="str">
        <f t="shared" si="8"/>
        <v/>
      </c>
      <c r="AU12" s="5">
        <v>0</v>
      </c>
    </row>
    <row r="13" spans="1:47" ht="57.95" customHeight="1" x14ac:dyDescent="0.25">
      <c r="A13" s="294" t="s">
        <v>2059</v>
      </c>
      <c r="B13" s="295" t="s">
        <v>2051</v>
      </c>
      <c r="C13" s="295" t="s">
        <v>2060</v>
      </c>
      <c r="D13" s="446"/>
      <c r="E13" s="297"/>
      <c r="F13" s="297"/>
      <c r="G13" s="297"/>
      <c r="H13" s="214"/>
      <c r="I13" s="92" t="s">
        <v>168</v>
      </c>
      <c r="J13" s="92" t="s">
        <v>178</v>
      </c>
      <c r="K13" s="92" t="s">
        <v>185</v>
      </c>
      <c r="L13" s="71" t="s">
        <v>190</v>
      </c>
      <c r="M13" s="71" t="s">
        <v>195</v>
      </c>
      <c r="N13" s="71"/>
      <c r="O13" s="71"/>
      <c r="P13" s="71" t="s">
        <v>380</v>
      </c>
      <c r="Q13" s="71" t="e">
        <f>IF(OR(AND($C$2="Base contract",$C$3="No, section requirements must be reviewed",#REF!= FALSE,#REF!=FALSE),AND($C$2="Contract amendment",$C$3="No, section requirements must be reviewed",#REF!=FALSE,#REF!=FALSE)),"MUNN")</f>
        <v>#REF!</v>
      </c>
      <c r="R13" s="71"/>
      <c r="S13" s="64">
        <v>42917</v>
      </c>
      <c r="T13" s="64"/>
      <c r="U13" s="64"/>
      <c r="V13" s="97">
        <f>IF(OR($E$8="N/A",AND(AU13=0,'Cover Sheet'!$B$29="Streamlined Review"),AND(E13="Met",F13&lt;&gt;""),AND(E13="Not met",G13&lt;&gt;""),AND(E13="Unsure",G13&lt;&gt;""),AND(E13="N/A",H13&lt;&gt;""),AND(Y13=TRUE)),1,0)</f>
        <v>0</v>
      </c>
      <c r="W13" s="56" t="b">
        <f>IF(AND('Cover Sheet'!$B$19="Non-Risk",$R13=1),TRUE,FALSE)</f>
        <v>0</v>
      </c>
      <c r="X13" s="126" t="b">
        <f t="shared" si="6"/>
        <v>0</v>
      </c>
      <c r="Y13" s="126" t="b">
        <f t="shared" si="7"/>
        <v>0</v>
      </c>
      <c r="Z13" s="126">
        <f t="shared" si="0"/>
        <v>1</v>
      </c>
      <c r="AA13" s="126">
        <f t="shared" si="1"/>
        <v>0</v>
      </c>
      <c r="AB13" s="126">
        <f t="shared" si="2"/>
        <v>0</v>
      </c>
      <c r="AC13" s="126">
        <f t="shared" si="3"/>
        <v>0</v>
      </c>
      <c r="AD13" s="126">
        <f t="shared" si="4"/>
        <v>0</v>
      </c>
      <c r="AE13" s="126">
        <f t="shared" si="5"/>
        <v>0</v>
      </c>
      <c r="AF13" s="74"/>
      <c r="AG13" s="74"/>
      <c r="AH13" s="74"/>
      <c r="AI13" s="86"/>
      <c r="AJ13" s="87"/>
      <c r="AK13" s="74"/>
      <c r="AM13" s="69" t="str">
        <f t="shared" si="8"/>
        <v/>
      </c>
      <c r="AU13" s="5">
        <v>0</v>
      </c>
    </row>
    <row r="14" spans="1:47" ht="76.5" x14ac:dyDescent="0.25">
      <c r="A14" s="294" t="s">
        <v>2061</v>
      </c>
      <c r="B14" s="295" t="s">
        <v>2062</v>
      </c>
      <c r="C14" s="295" t="s">
        <v>2063</v>
      </c>
      <c r="D14" s="447"/>
      <c r="E14" s="297"/>
      <c r="F14" s="297"/>
      <c r="G14" s="297"/>
      <c r="H14" s="214"/>
      <c r="I14" s="92" t="s">
        <v>168</v>
      </c>
      <c r="J14" s="92" t="s">
        <v>178</v>
      </c>
      <c r="K14" s="92" t="s">
        <v>185</v>
      </c>
      <c r="L14" s="71" t="s">
        <v>190</v>
      </c>
      <c r="M14" s="71" t="s">
        <v>195</v>
      </c>
      <c r="N14" s="71"/>
      <c r="O14" s="71"/>
      <c r="P14" s="71" t="s">
        <v>380</v>
      </c>
      <c r="Q14" s="71" t="e">
        <f>IF(OR(AND($C$2="Base contract",$C$3="No, section requirements must be reviewed",#REF!= FALSE,#REF!=FALSE),AND($C$2="Contract amendment",$C$3="No, section requirements must be reviewed",#REF!=FALSE,#REF!=FALSE)),"MUNN")</f>
        <v>#REF!</v>
      </c>
      <c r="R14" s="71">
        <v>1</v>
      </c>
      <c r="S14" s="64"/>
      <c r="T14" s="64"/>
      <c r="U14" s="64"/>
      <c r="V14" s="97">
        <f>IF(OR($E$8="N/A",AND(AU14=0,'Cover Sheet'!$B$29="Streamlined Review"),AND(E14="Met",F14&lt;&gt;""),AND(E14="Not met",G14&lt;&gt;""),AND(E14="Unsure",G14&lt;&gt;""),AND(E14="N/A",H14&lt;&gt;""),AND(Y14=TRUE)),1,0)</f>
        <v>0</v>
      </c>
      <c r="W14" s="56" t="b">
        <f>IF(AND('Cover Sheet'!$B$19="Non-Risk",$R14=1),TRUE,FALSE)</f>
        <v>0</v>
      </c>
      <c r="X14" s="126" t="b">
        <f t="shared" si="6"/>
        <v>0</v>
      </c>
      <c r="Y14" s="126" t="b">
        <f t="shared" si="7"/>
        <v>0</v>
      </c>
      <c r="Z14" s="126">
        <f t="shared" si="0"/>
        <v>1</v>
      </c>
      <c r="AA14" s="126">
        <f t="shared" si="1"/>
        <v>0</v>
      </c>
      <c r="AB14" s="126">
        <f t="shared" si="2"/>
        <v>0</v>
      </c>
      <c r="AC14" s="126">
        <f t="shared" si="3"/>
        <v>0</v>
      </c>
      <c r="AD14" s="126">
        <f t="shared" si="4"/>
        <v>0</v>
      </c>
      <c r="AE14" s="126">
        <f t="shared" si="5"/>
        <v>0</v>
      </c>
      <c r="AF14" s="74"/>
      <c r="AG14" s="74"/>
      <c r="AH14" s="74"/>
      <c r="AI14" s="86"/>
      <c r="AJ14" s="87"/>
      <c r="AK14" s="74"/>
      <c r="AL14" s="69">
        <v>1</v>
      </c>
      <c r="AM14" s="69">
        <f t="shared" si="8"/>
        <v>1</v>
      </c>
      <c r="AU14" s="5">
        <v>0</v>
      </c>
    </row>
    <row r="15" spans="1:47" ht="63" customHeight="1" thickBot="1" x14ac:dyDescent="0.3">
      <c r="A15" s="294" t="s">
        <v>2064</v>
      </c>
      <c r="B15" s="295" t="s">
        <v>2065</v>
      </c>
      <c r="C15" s="295" t="s">
        <v>2066</v>
      </c>
      <c r="D15" s="447">
        <v>1</v>
      </c>
      <c r="E15" s="297"/>
      <c r="F15" s="297"/>
      <c r="G15" s="297"/>
      <c r="H15" s="214"/>
      <c r="I15" s="92" t="s">
        <v>168</v>
      </c>
      <c r="J15" s="92" t="s">
        <v>178</v>
      </c>
      <c r="K15" s="92" t="s">
        <v>185</v>
      </c>
      <c r="L15" s="71" t="s">
        <v>190</v>
      </c>
      <c r="M15" s="71" t="s">
        <v>195</v>
      </c>
      <c r="N15" s="71"/>
      <c r="O15" s="71"/>
      <c r="P15" s="71" t="s">
        <v>380</v>
      </c>
      <c r="Q15" s="71" t="e">
        <f>IF(OR(AND($C$2="Base contract",$C$3="No, section requirements must be reviewed",#REF!= FALSE,#REF!=FALSE),AND($C$2="Contract amendment",$C$3="No, section requirements must be reviewed",#REF!=FALSE,#REF!=FALSE)),"MUNN")</f>
        <v>#REF!</v>
      </c>
      <c r="R15" s="71"/>
      <c r="S15" s="64">
        <v>42917</v>
      </c>
      <c r="T15" s="64"/>
      <c r="U15" s="64"/>
      <c r="V15" s="97">
        <f>IF(OR($E$8="N/A",AND(AU15=0,'Cover Sheet'!$B$29="Streamlined Review"),AND(E15="Met",F15&lt;&gt;""),AND(E15="Not met",G15&lt;&gt;""),AND(E15="Unsure",G15&lt;&gt;""),AND(E15="N/A",H15&lt;&gt;""),AND(Y15=TRUE)),1,0)</f>
        <v>0</v>
      </c>
      <c r="W15" s="56" t="b">
        <f>IF(AND('Cover Sheet'!$B$19="Non-Risk",$R15=1),TRUE,FALSE)</f>
        <v>0</v>
      </c>
      <c r="X15" s="126" t="b">
        <f t="shared" si="6"/>
        <v>0</v>
      </c>
      <c r="Y15" s="126" t="b">
        <f t="shared" si="7"/>
        <v>0</v>
      </c>
      <c r="Z15" s="126">
        <f t="shared" si="0"/>
        <v>1</v>
      </c>
      <c r="AA15" s="126">
        <f t="shared" si="1"/>
        <v>0</v>
      </c>
      <c r="AB15" s="126">
        <f t="shared" si="2"/>
        <v>0</v>
      </c>
      <c r="AC15" s="126">
        <f t="shared" si="3"/>
        <v>0</v>
      </c>
      <c r="AD15" s="126">
        <f t="shared" si="4"/>
        <v>0</v>
      </c>
      <c r="AE15" s="126">
        <f t="shared" si="5"/>
        <v>0</v>
      </c>
      <c r="AF15" s="74"/>
      <c r="AG15" s="74"/>
      <c r="AH15" s="74"/>
      <c r="AI15" s="86"/>
      <c r="AJ15" s="87"/>
      <c r="AK15" s="74"/>
      <c r="AM15" s="69" t="str">
        <f t="shared" si="8"/>
        <v/>
      </c>
      <c r="AU15" s="5">
        <v>0</v>
      </c>
    </row>
    <row r="16" spans="1:47" x14ac:dyDescent="0.25">
      <c r="A16" s="450"/>
      <c r="B16" s="451"/>
      <c r="C16" s="452" t="s">
        <v>90</v>
      </c>
      <c r="D16" s="442"/>
      <c r="E16" s="443"/>
      <c r="F16" s="444"/>
      <c r="G16" s="444"/>
      <c r="H16" s="445"/>
      <c r="I16" s="74"/>
      <c r="J16" s="74"/>
      <c r="K16" s="74"/>
      <c r="L16" s="87"/>
      <c r="M16" s="87"/>
      <c r="S16" s="116"/>
      <c r="T16" s="116"/>
      <c r="U16" s="116"/>
      <c r="V16" s="126"/>
      <c r="W16" s="68"/>
      <c r="X16" s="68"/>
      <c r="Y16" s="68"/>
      <c r="Z16" s="68"/>
      <c r="AA16" s="68"/>
      <c r="AB16" s="68"/>
      <c r="AC16" s="68"/>
      <c r="AD16" s="68"/>
      <c r="AE16" s="68"/>
      <c r="AF16" s="74"/>
      <c r="AG16" s="74"/>
      <c r="AH16" s="74"/>
      <c r="AI16" s="86"/>
      <c r="AJ16" s="87"/>
      <c r="AK16" s="74"/>
      <c r="AU16" s="5"/>
    </row>
    <row r="17" spans="1:47" ht="127.5" x14ac:dyDescent="0.25">
      <c r="A17" s="294" t="s">
        <v>2067</v>
      </c>
      <c r="B17" s="295" t="s">
        <v>2068</v>
      </c>
      <c r="C17" s="295" t="s">
        <v>2069</v>
      </c>
      <c r="D17" s="446"/>
      <c r="E17" s="297"/>
      <c r="F17" s="297"/>
      <c r="G17" s="297"/>
      <c r="H17" s="214"/>
      <c r="I17" s="92" t="s">
        <v>168</v>
      </c>
      <c r="J17" s="92" t="s">
        <v>178</v>
      </c>
      <c r="K17" s="92" t="s">
        <v>185</v>
      </c>
      <c r="L17" s="71" t="s">
        <v>190</v>
      </c>
      <c r="M17" s="71" t="s">
        <v>195</v>
      </c>
      <c r="N17" s="71"/>
      <c r="O17" s="71"/>
      <c r="P17" s="71" t="s">
        <v>380</v>
      </c>
      <c r="Q17" s="71" t="e">
        <f>IF(OR(AND($C$2="Base contract",$C$3="No, section requirements must be reviewed",#REF!= FALSE,#REF!=FALSE),AND($C$2="Contract amendment",$C$3="No, section requirements must be reviewed",#REF!=FALSE,#REF!=FALSE)),"MUNN")</f>
        <v>#REF!</v>
      </c>
      <c r="R17" s="71"/>
      <c r="S17" s="64">
        <v>42556</v>
      </c>
      <c r="T17" s="64"/>
      <c r="U17" s="64"/>
      <c r="V17" s="97">
        <f>IF(OR($E$16="N/A",AND(AU17=0,'Cover Sheet'!$B$29="Streamlined Review"),AND(E17="Met",F17&lt;&gt;""),AND(E17="Not met",G17&lt;&gt;""),AND(E17="Unsure",G17&lt;&gt;""),AND(E17="N/A",H17&lt;&gt;""),AND(Y17=TRUE)),1,0)</f>
        <v>0</v>
      </c>
      <c r="W17" s="56" t="b">
        <f>IF(AND('Cover Sheet'!$B$19="Non-Risk",$R17=1),TRUE,FALSE)</f>
        <v>0</v>
      </c>
      <c r="X17" s="126" t="b">
        <f t="shared" si="6"/>
        <v>0</v>
      </c>
      <c r="Y17" s="126" t="b">
        <f>IF(SUM(Z17:AE17)&lt;1,TRUE,FALSE)</f>
        <v>0</v>
      </c>
      <c r="Z17" s="126">
        <f>IF($Z$2=I17,1,0)</f>
        <v>1</v>
      </c>
      <c r="AA17" s="126">
        <f>IF($AA$2=J17,1,0)</f>
        <v>0</v>
      </c>
      <c r="AB17" s="126">
        <f>IF($AB$2=K17,1,0)</f>
        <v>0</v>
      </c>
      <c r="AC17" s="126">
        <f>IF($AC$2=L17,1,0)</f>
        <v>0</v>
      </c>
      <c r="AD17" s="126">
        <f>IF($AD$2=M17,1,0)</f>
        <v>0</v>
      </c>
      <c r="AE17" s="126">
        <f>IF($AE$2=O17,1,0)</f>
        <v>0</v>
      </c>
      <c r="AF17" s="74"/>
      <c r="AG17" s="74"/>
      <c r="AH17" s="74"/>
      <c r="AI17" s="86"/>
      <c r="AJ17" s="87"/>
      <c r="AK17" s="74"/>
      <c r="AM17" s="69" t="str">
        <f>IF(AL17=1,1,"")</f>
        <v/>
      </c>
      <c r="AU17" s="5">
        <v>1</v>
      </c>
    </row>
    <row r="18" spans="1:47" ht="46.5" customHeight="1" thickBot="1" x14ac:dyDescent="0.3">
      <c r="A18" s="294" t="s">
        <v>2070</v>
      </c>
      <c r="B18" s="295" t="s">
        <v>2071</v>
      </c>
      <c r="C18" s="295" t="s">
        <v>2072</v>
      </c>
      <c r="D18" s="446"/>
      <c r="E18" s="297"/>
      <c r="F18" s="297"/>
      <c r="G18" s="297"/>
      <c r="H18" s="214"/>
      <c r="I18" s="92" t="s">
        <v>168</v>
      </c>
      <c r="J18" s="92" t="s">
        <v>178</v>
      </c>
      <c r="K18" s="92" t="s">
        <v>185</v>
      </c>
      <c r="L18" s="71" t="s">
        <v>190</v>
      </c>
      <c r="M18" s="71" t="s">
        <v>195</v>
      </c>
      <c r="N18" s="71"/>
      <c r="O18" s="71"/>
      <c r="P18" s="71" t="s">
        <v>380</v>
      </c>
      <c r="Q18" s="71" t="e">
        <f>IF(OR(AND($C$2="Base contract",$C$3="No, section requirements must be reviewed",#REF!= FALSE,#REF!=FALSE),AND($C$2="Contract amendment",$C$3="No, section requirements must be reviewed",#REF!=FALSE,#REF!=FALSE)),"MUNN")</f>
        <v>#REF!</v>
      </c>
      <c r="R18" s="71"/>
      <c r="S18" s="64"/>
      <c r="T18" s="64"/>
      <c r="U18" s="64"/>
      <c r="V18" s="97">
        <f>IF(OR($E$16="N/A",AND(AU18=0,'Cover Sheet'!$B$29="Streamlined Review"),AND(E18="Met",F18&lt;&gt;""),AND(E18="Not met",G18&lt;&gt;""),AND(E18="Unsure",G18&lt;&gt;""),AND(E18="N/A",H18&lt;&gt;""),AND(Y18=TRUE)),1,0)</f>
        <v>0</v>
      </c>
      <c r="W18" s="56" t="b">
        <f>IF(AND('Cover Sheet'!$B$19="Non-Risk",$R18=1),TRUE,FALSE)</f>
        <v>0</v>
      </c>
      <c r="X18" s="126" t="b">
        <f t="shared" si="6"/>
        <v>0</v>
      </c>
      <c r="Y18" s="126" t="b">
        <f>IF(SUM(Z18:AE18)&lt;1,TRUE,FALSE)</f>
        <v>0</v>
      </c>
      <c r="Z18" s="126">
        <f>IF($Z$2=I18,1,0)</f>
        <v>1</v>
      </c>
      <c r="AA18" s="126">
        <f>IF($AA$2=J18,1,0)</f>
        <v>0</v>
      </c>
      <c r="AB18" s="126">
        <f>IF($AB$2=K18,1,0)</f>
        <v>0</v>
      </c>
      <c r="AC18" s="126">
        <f>IF($AC$2=L18,1,0)</f>
        <v>0</v>
      </c>
      <c r="AD18" s="126">
        <f>IF($AD$2=M18,1,0)</f>
        <v>0</v>
      </c>
      <c r="AE18" s="126">
        <f>IF($AE$2=O18,1,0)</f>
        <v>0</v>
      </c>
      <c r="AF18" s="74"/>
      <c r="AG18" s="74"/>
      <c r="AH18" s="74"/>
      <c r="AI18" s="86"/>
      <c r="AJ18" s="87"/>
      <c r="AK18" s="74"/>
      <c r="AM18" s="69" t="str">
        <f>IF(AL18=1,1,"")</f>
        <v/>
      </c>
      <c r="AU18" s="5">
        <v>0</v>
      </c>
    </row>
    <row r="19" spans="1:47" ht="15.75" thickBot="1" x14ac:dyDescent="0.3">
      <c r="A19" s="450"/>
      <c r="B19" s="451"/>
      <c r="C19" s="452" t="s">
        <v>91</v>
      </c>
      <c r="D19" s="442"/>
      <c r="E19" s="443"/>
      <c r="F19" s="444"/>
      <c r="G19" s="444"/>
      <c r="H19" s="445"/>
      <c r="I19" s="74"/>
      <c r="J19" s="74"/>
      <c r="K19" s="74"/>
      <c r="L19" s="87"/>
      <c r="M19" s="87"/>
      <c r="S19" s="116"/>
      <c r="T19" s="116"/>
      <c r="U19" s="116"/>
      <c r="V19" s="126"/>
      <c r="W19" s="68"/>
      <c r="X19" s="68"/>
      <c r="Y19" s="68"/>
      <c r="Z19" s="68"/>
      <c r="AA19" s="68"/>
      <c r="AB19" s="68"/>
      <c r="AC19" s="68"/>
      <c r="AD19" s="68"/>
      <c r="AE19" s="68"/>
      <c r="AF19" s="74"/>
      <c r="AG19" s="74"/>
      <c r="AH19" s="74"/>
      <c r="AI19" s="86"/>
      <c r="AJ19" s="87"/>
      <c r="AK19" s="74"/>
      <c r="AU19" s="5"/>
    </row>
    <row r="20" spans="1:47" ht="45" customHeight="1" x14ac:dyDescent="0.25">
      <c r="A20" s="294" t="s">
        <v>2073</v>
      </c>
      <c r="B20" s="295" t="s">
        <v>2074</v>
      </c>
      <c r="C20" s="295" t="s">
        <v>2075</v>
      </c>
      <c r="D20" s="447">
        <v>2</v>
      </c>
      <c r="E20" s="297"/>
      <c r="F20" s="297"/>
      <c r="G20" s="297"/>
      <c r="H20" s="214"/>
      <c r="I20" s="92" t="s">
        <v>168</v>
      </c>
      <c r="J20" s="92" t="s">
        <v>178</v>
      </c>
      <c r="K20" s="92" t="s">
        <v>185</v>
      </c>
      <c r="L20" s="71" t="s">
        <v>190</v>
      </c>
      <c r="M20" s="71" t="s">
        <v>195</v>
      </c>
      <c r="N20" s="71"/>
      <c r="O20" s="71"/>
      <c r="P20" s="71" t="s">
        <v>380</v>
      </c>
      <c r="Q20" s="71" t="e">
        <f>IF(OR(AND($C$2="Base contract",$C$3="No, section requirements must be reviewed",#REF!= FALSE,#REF!=FALSE),AND($C$2="Contract amendment",$C$3="No, section requirements must be reviewed",#REF!=FALSE,#REF!=FALSE)),"MUNN")</f>
        <v>#REF!</v>
      </c>
      <c r="R20" s="71"/>
      <c r="S20" s="64"/>
      <c r="T20" s="64"/>
      <c r="U20" s="64"/>
      <c r="V20" s="97">
        <f>IF(OR($E$19="N/A",AND(AU20=0,'Cover Sheet'!$B$29="Streamlined Review"),AND(E20="Met",F20&lt;&gt;""),AND(E20="Not met",G20&lt;&gt;""),AND(E20="Unsure",G20&lt;&gt;""),AND(E20="N/A",H20&lt;&gt;""),AND(Y20=TRUE)),1,0)</f>
        <v>0</v>
      </c>
      <c r="W20" s="56" t="b">
        <f>IF(AND('Cover Sheet'!$B$19="Non-Risk",$R20=1),TRUE,FALSE)</f>
        <v>0</v>
      </c>
      <c r="X20" s="126" t="b">
        <f t="shared" si="6"/>
        <v>0</v>
      </c>
      <c r="Y20" s="126" t="b">
        <f>IF(SUM(Z20:AE20)&lt;1,TRUE,FALSE)</f>
        <v>0</v>
      </c>
      <c r="Z20" s="126">
        <f t="shared" ref="Z20:Z27" si="9">IF($Z$2=I20,1,0)</f>
        <v>1</v>
      </c>
      <c r="AA20" s="126">
        <f t="shared" ref="AA20:AA27" si="10">IF($AA$2=J20,1,0)</f>
        <v>0</v>
      </c>
      <c r="AB20" s="126">
        <f t="shared" ref="AB20:AB27" si="11">IF($AB$2=K20,1,0)</f>
        <v>0</v>
      </c>
      <c r="AC20" s="126">
        <f t="shared" ref="AC20:AC27" si="12">IF($AC$2=L20,1,0)</f>
        <v>0</v>
      </c>
      <c r="AD20" s="126">
        <f t="shared" ref="AD20:AD27" si="13">IF($AD$2=M20,1,0)</f>
        <v>0</v>
      </c>
      <c r="AE20" s="126">
        <f t="shared" ref="AE20:AE27" si="14">IF($AE$2=O20,1,0)</f>
        <v>0</v>
      </c>
      <c r="AF20" s="74"/>
      <c r="AG20" s="74"/>
      <c r="AH20" s="74"/>
      <c r="AI20" s="86"/>
      <c r="AJ20" s="87"/>
      <c r="AK20" s="74"/>
      <c r="AM20" s="69" t="str">
        <f t="shared" ref="AM20:AM27" si="15">IF(AL20=1,1,"")</f>
        <v/>
      </c>
      <c r="AU20" s="5">
        <v>0</v>
      </c>
    </row>
    <row r="21" spans="1:47" ht="59.25" customHeight="1" x14ac:dyDescent="0.25">
      <c r="A21" s="294" t="s">
        <v>2076</v>
      </c>
      <c r="B21" s="295" t="s">
        <v>2077</v>
      </c>
      <c r="C21" s="295" t="s">
        <v>2078</v>
      </c>
      <c r="D21" s="447">
        <v>2</v>
      </c>
      <c r="E21" s="297"/>
      <c r="F21" s="297"/>
      <c r="G21" s="297"/>
      <c r="H21" s="214"/>
      <c r="I21" s="92" t="s">
        <v>168</v>
      </c>
      <c r="J21" s="92" t="s">
        <v>178</v>
      </c>
      <c r="K21" s="92" t="s">
        <v>185</v>
      </c>
      <c r="L21" s="71" t="s">
        <v>190</v>
      </c>
      <c r="M21" s="71" t="s">
        <v>195</v>
      </c>
      <c r="N21" s="71"/>
      <c r="O21" s="71"/>
      <c r="P21" s="71" t="s">
        <v>380</v>
      </c>
      <c r="Q21" s="71" t="e">
        <f>IF(OR(AND($C$2="Base contract",$C$3="No, section requirements must be reviewed",#REF!= FALSE,#REF!=FALSE),AND($C$2="Contract amendment",$C$3="No, section requirements must be reviewed",#REF!=FALSE,#REF!=FALSE)),"MUNN")</f>
        <v>#REF!</v>
      </c>
      <c r="R21" s="71"/>
      <c r="S21" s="64">
        <v>42917</v>
      </c>
      <c r="T21" s="64"/>
      <c r="U21" s="64"/>
      <c r="V21" s="97">
        <f>IF(OR($E$19="N/A",AND(AU21=0,'Cover Sheet'!$B$29="Streamlined Review"),AND(E21="Met",F21&lt;&gt;""),AND(E21="Not met",G21&lt;&gt;""),AND(E21="Unsure",G21&lt;&gt;""),AND(E21="N/A",H21&lt;&gt;""),AND(Y21=TRUE)),1,0)</f>
        <v>0</v>
      </c>
      <c r="W21" s="56" t="b">
        <f>IF(AND('Cover Sheet'!$B$19="Non-Risk",$R21=1),TRUE,FALSE)</f>
        <v>0</v>
      </c>
      <c r="X21" s="126" t="b">
        <f t="shared" si="6"/>
        <v>0</v>
      </c>
      <c r="Y21" s="126" t="b">
        <f t="shared" ref="Y21:Y27" si="16">IF(SUM(Z21:AE21)&lt;1,TRUE,FALSE)</f>
        <v>0</v>
      </c>
      <c r="Z21" s="126">
        <f t="shared" si="9"/>
        <v>1</v>
      </c>
      <c r="AA21" s="126">
        <f t="shared" si="10"/>
        <v>0</v>
      </c>
      <c r="AB21" s="126">
        <f t="shared" si="11"/>
        <v>0</v>
      </c>
      <c r="AC21" s="126">
        <f t="shared" si="12"/>
        <v>0</v>
      </c>
      <c r="AD21" s="126">
        <f t="shared" si="13"/>
        <v>0</v>
      </c>
      <c r="AE21" s="126">
        <f t="shared" si="14"/>
        <v>0</v>
      </c>
      <c r="AF21" s="74"/>
      <c r="AG21" s="74"/>
      <c r="AH21" s="74"/>
      <c r="AI21" s="86"/>
      <c r="AJ21" s="87"/>
      <c r="AK21" s="74"/>
      <c r="AM21" s="69" t="str">
        <f t="shared" si="15"/>
        <v/>
      </c>
      <c r="AU21" s="5">
        <v>0</v>
      </c>
    </row>
    <row r="22" spans="1:47" ht="69.75" customHeight="1" x14ac:dyDescent="0.25">
      <c r="A22" s="294" t="s">
        <v>2079</v>
      </c>
      <c r="B22" s="295" t="s">
        <v>2080</v>
      </c>
      <c r="C22" s="295" t="s">
        <v>2081</v>
      </c>
      <c r="D22" s="447">
        <v>2</v>
      </c>
      <c r="E22" s="297"/>
      <c r="F22" s="297"/>
      <c r="G22" s="297"/>
      <c r="H22" s="214"/>
      <c r="I22" s="92" t="s">
        <v>168</v>
      </c>
      <c r="J22" s="92" t="s">
        <v>178</v>
      </c>
      <c r="K22" s="92" t="s">
        <v>185</v>
      </c>
      <c r="L22" s="71" t="s">
        <v>190</v>
      </c>
      <c r="M22" s="71" t="s">
        <v>195</v>
      </c>
      <c r="N22" s="71"/>
      <c r="O22" s="71"/>
      <c r="P22" s="71" t="s">
        <v>380</v>
      </c>
      <c r="Q22" s="71" t="e">
        <f>IF(OR(AND($C$2="Base contract",$C$3="No, section requirements must be reviewed",#REF!= FALSE,#REF!=FALSE),AND($C$2="Contract amendment",$C$3="No, section requirements must be reviewed",#REF!=FALSE,#REF!=FALSE)),"MUNN")</f>
        <v>#REF!</v>
      </c>
      <c r="R22" s="71"/>
      <c r="S22" s="64">
        <v>42917</v>
      </c>
      <c r="T22" s="64"/>
      <c r="U22" s="64"/>
      <c r="V22" s="97">
        <f>IF(OR($E$19="N/A",AND(AU22=0,'Cover Sheet'!$B$29="Streamlined Review"),AND(E22="Met",F22&lt;&gt;""),AND(E22="Not met",G22&lt;&gt;""),AND(E22="Unsure",G22&lt;&gt;""),AND(E22="N/A",H22&lt;&gt;""),AND(Y22=TRUE)),1,0)</f>
        <v>0</v>
      </c>
      <c r="W22" s="56" t="b">
        <f>IF(AND('Cover Sheet'!$B$19="Non-Risk",$R22=1),TRUE,FALSE)</f>
        <v>0</v>
      </c>
      <c r="X22" s="126" t="b">
        <f t="shared" si="6"/>
        <v>0</v>
      </c>
      <c r="Y22" s="126" t="b">
        <f t="shared" si="16"/>
        <v>0</v>
      </c>
      <c r="Z22" s="126">
        <f t="shared" si="9"/>
        <v>1</v>
      </c>
      <c r="AA22" s="126">
        <f t="shared" si="10"/>
        <v>0</v>
      </c>
      <c r="AB22" s="126">
        <f t="shared" si="11"/>
        <v>0</v>
      </c>
      <c r="AC22" s="126">
        <f t="shared" si="12"/>
        <v>0</v>
      </c>
      <c r="AD22" s="126">
        <f t="shared" si="13"/>
        <v>0</v>
      </c>
      <c r="AE22" s="126">
        <f t="shared" si="14"/>
        <v>0</v>
      </c>
      <c r="AF22" s="74"/>
      <c r="AG22" s="74"/>
      <c r="AH22" s="74"/>
      <c r="AI22" s="86"/>
      <c r="AJ22" s="87"/>
      <c r="AK22" s="74"/>
      <c r="AM22" s="69" t="str">
        <f t="shared" si="15"/>
        <v/>
      </c>
      <c r="AU22" s="5">
        <v>0</v>
      </c>
    </row>
    <row r="23" spans="1:47" ht="45" customHeight="1" x14ac:dyDescent="0.25">
      <c r="A23" s="294" t="s">
        <v>2082</v>
      </c>
      <c r="B23" s="295" t="s">
        <v>2083</v>
      </c>
      <c r="C23" s="295" t="s">
        <v>2084</v>
      </c>
      <c r="D23" s="470">
        <v>2</v>
      </c>
      <c r="E23" s="297"/>
      <c r="F23" s="297"/>
      <c r="G23" s="297"/>
      <c r="H23" s="214"/>
      <c r="I23" s="92" t="s">
        <v>168</v>
      </c>
      <c r="J23" s="92" t="s">
        <v>178</v>
      </c>
      <c r="K23" s="92" t="s">
        <v>185</v>
      </c>
      <c r="L23" s="71" t="s">
        <v>190</v>
      </c>
      <c r="M23" s="71" t="s">
        <v>195</v>
      </c>
      <c r="N23" s="71"/>
      <c r="O23" s="71"/>
      <c r="P23" s="71" t="s">
        <v>380</v>
      </c>
      <c r="Q23" s="71" t="e">
        <f>IF(OR(AND($C$2="Base contract",$C$3="No, section requirements must be reviewed",#REF!= FALSE,#REF!=FALSE),AND($C$2="Contract amendment",$C$3="No, section requirements must be reviewed",#REF!=FALSE,#REF!=FALSE)),"MUNN")</f>
        <v>#REF!</v>
      </c>
      <c r="R23" s="71"/>
      <c r="S23" s="64">
        <v>42917</v>
      </c>
      <c r="T23" s="64"/>
      <c r="U23" s="64"/>
      <c r="V23" s="97">
        <f>IF(OR($E$19="N/A",AND(AU23=0,'Cover Sheet'!$B$29="Streamlined Review"),AND(E23="Met",F23&lt;&gt;""),AND(E23="Not met",G23&lt;&gt;""),AND(E23="Unsure",G23&lt;&gt;""),AND(E23="N/A",H23&lt;&gt;""),AND(Y23=TRUE)),1,0)</f>
        <v>0</v>
      </c>
      <c r="W23" s="56" t="b">
        <f>IF(AND('Cover Sheet'!$B$19="Non-Risk",$R23=1),TRUE,FALSE)</f>
        <v>0</v>
      </c>
      <c r="X23" s="126" t="b">
        <f t="shared" si="6"/>
        <v>0</v>
      </c>
      <c r="Y23" s="126" t="b">
        <f t="shared" si="16"/>
        <v>0</v>
      </c>
      <c r="Z23" s="126">
        <f t="shared" si="9"/>
        <v>1</v>
      </c>
      <c r="AA23" s="126">
        <f t="shared" si="10"/>
        <v>0</v>
      </c>
      <c r="AB23" s="126">
        <f t="shared" si="11"/>
        <v>0</v>
      </c>
      <c r="AC23" s="126">
        <f t="shared" si="12"/>
        <v>0</v>
      </c>
      <c r="AD23" s="126">
        <f t="shared" si="13"/>
        <v>0</v>
      </c>
      <c r="AE23" s="126">
        <f t="shared" si="14"/>
        <v>0</v>
      </c>
      <c r="AF23" s="74"/>
      <c r="AG23" s="74"/>
      <c r="AH23" s="74"/>
      <c r="AI23" s="86"/>
      <c r="AJ23" s="87"/>
      <c r="AK23" s="74"/>
      <c r="AM23" s="69" t="str">
        <f t="shared" si="15"/>
        <v/>
      </c>
      <c r="AU23" s="5">
        <v>1</v>
      </c>
    </row>
    <row r="24" spans="1:47" ht="87.6" customHeight="1" x14ac:dyDescent="0.25">
      <c r="A24" s="294" t="s">
        <v>2085</v>
      </c>
      <c r="B24" s="295" t="s">
        <v>2086</v>
      </c>
      <c r="C24" s="295" t="s">
        <v>2087</v>
      </c>
      <c r="D24" s="447">
        <v>2</v>
      </c>
      <c r="E24" s="297"/>
      <c r="F24" s="297"/>
      <c r="G24" s="297"/>
      <c r="H24" s="214"/>
      <c r="I24" s="92" t="s">
        <v>168</v>
      </c>
      <c r="J24" s="92" t="s">
        <v>178</v>
      </c>
      <c r="K24" s="92" t="s">
        <v>185</v>
      </c>
      <c r="L24" s="71" t="s">
        <v>190</v>
      </c>
      <c r="M24" s="71" t="s">
        <v>195</v>
      </c>
      <c r="N24" s="71"/>
      <c r="O24" s="71"/>
      <c r="P24" s="71" t="s">
        <v>380</v>
      </c>
      <c r="Q24" s="71" t="e">
        <f>IF(OR(AND($C$2="Base contract",$C$3="No, section requirements must be reviewed",#REF!= FALSE,#REF!=FALSE),AND($C$2="Contract amendment",$C$3="No, section requirements must be reviewed",#REF!=FALSE,#REF!=FALSE)),"MUNN")</f>
        <v>#REF!</v>
      </c>
      <c r="R24" s="71"/>
      <c r="S24" s="64">
        <v>42917</v>
      </c>
      <c r="T24" s="64"/>
      <c r="U24" s="64"/>
      <c r="V24" s="97">
        <f>IF(OR($E$19="N/A",AND(AU24=0,'Cover Sheet'!$B$29="Streamlined Review"),AND(E24="Met",F24&lt;&gt;""),AND(E24="Not met",G24&lt;&gt;""),AND(E24="Unsure",G24&lt;&gt;""),AND(E24="N/A",H24&lt;&gt;""),AND(Y24=TRUE)),1,0)</f>
        <v>0</v>
      </c>
      <c r="W24" s="56" t="b">
        <f>IF(AND('Cover Sheet'!$B$19="Non-Risk",$R24=1),TRUE,FALSE)</f>
        <v>0</v>
      </c>
      <c r="X24" s="126" t="b">
        <f t="shared" si="6"/>
        <v>0</v>
      </c>
      <c r="Y24" s="126" t="b">
        <f t="shared" si="16"/>
        <v>0</v>
      </c>
      <c r="Z24" s="126">
        <f t="shared" si="9"/>
        <v>1</v>
      </c>
      <c r="AA24" s="126">
        <f t="shared" si="10"/>
        <v>0</v>
      </c>
      <c r="AB24" s="126">
        <f t="shared" si="11"/>
        <v>0</v>
      </c>
      <c r="AC24" s="126">
        <f t="shared" si="12"/>
        <v>0</v>
      </c>
      <c r="AD24" s="126">
        <f t="shared" si="13"/>
        <v>0</v>
      </c>
      <c r="AE24" s="126">
        <f t="shared" si="14"/>
        <v>0</v>
      </c>
      <c r="AF24" s="74"/>
      <c r="AG24" s="74"/>
      <c r="AH24" s="74"/>
      <c r="AI24" s="86"/>
      <c r="AJ24" s="87"/>
      <c r="AK24" s="74"/>
      <c r="AM24" s="69" t="str">
        <f t="shared" si="15"/>
        <v/>
      </c>
      <c r="AU24" s="5">
        <v>0</v>
      </c>
    </row>
    <row r="25" spans="1:47" ht="71.25" customHeight="1" x14ac:dyDescent="0.25">
      <c r="A25" s="294" t="s">
        <v>2088</v>
      </c>
      <c r="B25" s="295" t="s">
        <v>2089</v>
      </c>
      <c r="C25" s="295" t="s">
        <v>2090</v>
      </c>
      <c r="D25" s="447">
        <v>2</v>
      </c>
      <c r="E25" s="297"/>
      <c r="F25" s="297"/>
      <c r="G25" s="297"/>
      <c r="H25" s="214"/>
      <c r="I25" s="92" t="s">
        <v>168</v>
      </c>
      <c r="J25" s="92" t="s">
        <v>178</v>
      </c>
      <c r="K25" s="92" t="s">
        <v>185</v>
      </c>
      <c r="L25" s="71" t="s">
        <v>190</v>
      </c>
      <c r="M25" s="71" t="s">
        <v>195</v>
      </c>
      <c r="N25" s="71"/>
      <c r="O25" s="71"/>
      <c r="P25" s="71" t="s">
        <v>380</v>
      </c>
      <c r="Q25" s="71" t="e">
        <f>IF(OR(AND($C$2="Base contract",$C$3="No, section requirements must be reviewed",#REF!= FALSE,#REF!=FALSE),AND($C$2="Contract amendment",$C$3="No, section requirements must be reviewed",#REF!=FALSE,#REF!=FALSE)),"MUNN")</f>
        <v>#REF!</v>
      </c>
      <c r="R25" s="71"/>
      <c r="S25" s="64">
        <v>42917</v>
      </c>
      <c r="T25" s="64"/>
      <c r="U25" s="64"/>
      <c r="V25" s="97">
        <f>IF(OR($E$19="N/A",AND(AU25=0,'Cover Sheet'!$B$29="Streamlined Review"),AND(E25="Met",F25&lt;&gt;""),AND(E25="Not met",G25&lt;&gt;""),AND(E25="Unsure",G25&lt;&gt;""),AND(E25="N/A",H25&lt;&gt;""),AND(Y25=TRUE)),1,0)</f>
        <v>0</v>
      </c>
      <c r="W25" s="56" t="b">
        <f>IF(AND('Cover Sheet'!$B$19="Non-Risk",$R25=1),TRUE,FALSE)</f>
        <v>0</v>
      </c>
      <c r="X25" s="126" t="b">
        <f t="shared" si="6"/>
        <v>0</v>
      </c>
      <c r="Y25" s="126" t="b">
        <f t="shared" si="16"/>
        <v>0</v>
      </c>
      <c r="Z25" s="126">
        <f t="shared" si="9"/>
        <v>1</v>
      </c>
      <c r="AA25" s="126">
        <f t="shared" si="10"/>
        <v>0</v>
      </c>
      <c r="AB25" s="126">
        <f t="shared" si="11"/>
        <v>0</v>
      </c>
      <c r="AC25" s="126">
        <f t="shared" si="12"/>
        <v>0</v>
      </c>
      <c r="AD25" s="126">
        <f t="shared" si="13"/>
        <v>0</v>
      </c>
      <c r="AE25" s="126">
        <f t="shared" si="14"/>
        <v>0</v>
      </c>
      <c r="AF25" s="74"/>
      <c r="AG25" s="74"/>
      <c r="AH25" s="74"/>
      <c r="AI25" s="86"/>
      <c r="AJ25" s="87"/>
      <c r="AK25" s="74"/>
      <c r="AM25" s="69" t="str">
        <f t="shared" si="15"/>
        <v/>
      </c>
      <c r="AU25" s="5">
        <v>0</v>
      </c>
    </row>
    <row r="26" spans="1:47" ht="57" customHeight="1" x14ac:dyDescent="0.25">
      <c r="A26" s="294" t="s">
        <v>2091</v>
      </c>
      <c r="B26" s="295" t="s">
        <v>2092</v>
      </c>
      <c r="C26" s="295" t="s">
        <v>2093</v>
      </c>
      <c r="D26" s="447">
        <v>2</v>
      </c>
      <c r="E26" s="297"/>
      <c r="F26" s="297"/>
      <c r="G26" s="297"/>
      <c r="H26" s="214"/>
      <c r="I26" s="92" t="s">
        <v>168</v>
      </c>
      <c r="J26" s="92" t="s">
        <v>178</v>
      </c>
      <c r="K26" s="92" t="s">
        <v>185</v>
      </c>
      <c r="L26" s="71" t="s">
        <v>190</v>
      </c>
      <c r="M26" s="71" t="s">
        <v>195</v>
      </c>
      <c r="N26" s="71"/>
      <c r="O26" s="71"/>
      <c r="P26" s="71" t="s">
        <v>380</v>
      </c>
      <c r="Q26" s="71" t="e">
        <f>IF(OR(AND($C$2="Base contract",$C$3="No, section requirements must be reviewed",#REF!= FALSE,#REF!=FALSE),AND($C$2="Contract amendment",$C$3="No, section requirements must be reviewed",#REF!=FALSE,#REF!=FALSE)),"MUNN")</f>
        <v>#REF!</v>
      </c>
      <c r="R26" s="71"/>
      <c r="S26" s="64">
        <v>42917</v>
      </c>
      <c r="T26" s="64"/>
      <c r="U26" s="64"/>
      <c r="V26" s="97">
        <f>IF(OR($E$19="N/A",AND(AU26=0,'Cover Sheet'!$B$29="Streamlined Review"),AND(E26="Met",F26&lt;&gt;""),AND(E26="Not met",G26&lt;&gt;""),AND(E26="Unsure",G26&lt;&gt;""),AND(E26="N/A",H26&lt;&gt;""),AND(Y26=TRUE)),1,0)</f>
        <v>0</v>
      </c>
      <c r="W26" s="56" t="b">
        <f>IF(AND('Cover Sheet'!$B$19="Non-Risk",$R26=1),TRUE,FALSE)</f>
        <v>0</v>
      </c>
      <c r="X26" s="126" t="b">
        <f t="shared" si="6"/>
        <v>0</v>
      </c>
      <c r="Y26" s="126" t="b">
        <f t="shared" si="16"/>
        <v>0</v>
      </c>
      <c r="Z26" s="126">
        <f t="shared" si="9"/>
        <v>1</v>
      </c>
      <c r="AA26" s="126">
        <f t="shared" si="10"/>
        <v>0</v>
      </c>
      <c r="AB26" s="126">
        <f t="shared" si="11"/>
        <v>0</v>
      </c>
      <c r="AC26" s="126">
        <f t="shared" si="12"/>
        <v>0</v>
      </c>
      <c r="AD26" s="126">
        <f t="shared" si="13"/>
        <v>0</v>
      </c>
      <c r="AE26" s="126">
        <f t="shared" si="14"/>
        <v>0</v>
      </c>
      <c r="AF26" s="74"/>
      <c r="AG26" s="74"/>
      <c r="AH26" s="74"/>
      <c r="AI26" s="86"/>
      <c r="AJ26" s="87"/>
      <c r="AK26" s="74"/>
      <c r="AM26" s="69" t="str">
        <f t="shared" si="15"/>
        <v/>
      </c>
      <c r="AU26" s="5">
        <v>0</v>
      </c>
    </row>
    <row r="27" spans="1:47" ht="63.75" customHeight="1" thickBot="1" x14ac:dyDescent="0.3">
      <c r="A27" s="294" t="s">
        <v>2094</v>
      </c>
      <c r="B27" s="295" t="s">
        <v>2095</v>
      </c>
      <c r="C27" s="295" t="s">
        <v>2096</v>
      </c>
      <c r="D27" s="447">
        <v>2</v>
      </c>
      <c r="E27" s="297"/>
      <c r="F27" s="297"/>
      <c r="G27" s="297"/>
      <c r="H27" s="214"/>
      <c r="I27" s="92" t="s">
        <v>168</v>
      </c>
      <c r="J27" s="92" t="s">
        <v>178</v>
      </c>
      <c r="K27" s="92" t="s">
        <v>185</v>
      </c>
      <c r="L27" s="71" t="s">
        <v>190</v>
      </c>
      <c r="M27" s="71" t="s">
        <v>195</v>
      </c>
      <c r="N27" s="71"/>
      <c r="O27" s="71"/>
      <c r="P27" s="71" t="s">
        <v>380</v>
      </c>
      <c r="Q27" s="71" t="e">
        <f>IF(OR(AND($C$2="Base contract",$C$3="No, section requirements must be reviewed",#REF!= FALSE,#REF!=FALSE),AND($C$2="Contract amendment",$C$3="No, section requirements must be reviewed",#REF!=FALSE,#REF!=FALSE)),"MUNN")</f>
        <v>#REF!</v>
      </c>
      <c r="R27" s="71"/>
      <c r="S27" s="64">
        <v>42917</v>
      </c>
      <c r="T27" s="64"/>
      <c r="U27" s="64"/>
      <c r="V27" s="97">
        <f>IF(OR($E$19="N/A",AND(AU27=0,'Cover Sheet'!$B$29="Streamlined Review"),AND(E27="Met",F27&lt;&gt;""),AND(E27="Not met",G27&lt;&gt;""),AND(E27="Unsure",G27&lt;&gt;""),AND(E27="N/A",H27&lt;&gt;""),AND(Y27=TRUE)),1,0)</f>
        <v>0</v>
      </c>
      <c r="W27" s="56" t="b">
        <f>IF(AND('Cover Sheet'!$B$19="Non-Risk",$R27=1),TRUE,FALSE)</f>
        <v>0</v>
      </c>
      <c r="X27" s="126" t="b">
        <f t="shared" si="6"/>
        <v>0</v>
      </c>
      <c r="Y27" s="126" t="b">
        <f t="shared" si="16"/>
        <v>0</v>
      </c>
      <c r="Z27" s="126">
        <f t="shared" si="9"/>
        <v>1</v>
      </c>
      <c r="AA27" s="126">
        <f t="shared" si="10"/>
        <v>0</v>
      </c>
      <c r="AB27" s="126">
        <f t="shared" si="11"/>
        <v>0</v>
      </c>
      <c r="AC27" s="126">
        <f t="shared" si="12"/>
        <v>0</v>
      </c>
      <c r="AD27" s="126">
        <f t="shared" si="13"/>
        <v>0</v>
      </c>
      <c r="AE27" s="126">
        <f t="shared" si="14"/>
        <v>0</v>
      </c>
      <c r="AF27" s="74"/>
      <c r="AG27" s="74"/>
      <c r="AH27" s="74"/>
      <c r="AI27" s="86"/>
      <c r="AJ27" s="87"/>
      <c r="AK27" s="74"/>
      <c r="AM27" s="69" t="str">
        <f t="shared" si="15"/>
        <v/>
      </c>
      <c r="AU27" s="5">
        <v>0</v>
      </c>
    </row>
    <row r="28" spans="1:47" ht="15.75" thickBot="1" x14ac:dyDescent="0.3">
      <c r="A28" s="450"/>
      <c r="B28" s="451"/>
      <c r="C28" s="506" t="s">
        <v>92</v>
      </c>
      <c r="D28" s="442"/>
      <c r="E28" s="443"/>
      <c r="F28" s="442"/>
      <c r="G28" s="442"/>
      <c r="H28" s="445"/>
      <c r="I28" s="74"/>
      <c r="J28" s="74"/>
      <c r="K28" s="74"/>
      <c r="L28" s="87"/>
      <c r="M28" s="87"/>
      <c r="S28" s="116"/>
      <c r="T28" s="116"/>
      <c r="U28" s="116"/>
      <c r="V28" s="126"/>
      <c r="W28" s="68"/>
      <c r="X28" s="68"/>
      <c r="Y28" s="68"/>
      <c r="Z28" s="68"/>
      <c r="AA28" s="68"/>
      <c r="AB28" s="68"/>
      <c r="AC28" s="68"/>
      <c r="AD28" s="68"/>
      <c r="AE28" s="68"/>
      <c r="AF28" s="74"/>
      <c r="AG28" s="74"/>
      <c r="AH28" s="74"/>
      <c r="AI28" s="86"/>
      <c r="AJ28" s="87"/>
      <c r="AK28" s="74"/>
      <c r="AU28" s="5"/>
    </row>
    <row r="29" spans="1:47" ht="127.5" x14ac:dyDescent="0.25">
      <c r="A29" s="294" t="s">
        <v>2097</v>
      </c>
      <c r="B29" s="295" t="s">
        <v>2098</v>
      </c>
      <c r="C29" s="295" t="s">
        <v>2099</v>
      </c>
      <c r="D29" s="446"/>
      <c r="E29" s="297"/>
      <c r="F29" s="297"/>
      <c r="G29" s="297"/>
      <c r="H29" s="214"/>
      <c r="I29" s="92" t="s">
        <v>168</v>
      </c>
      <c r="J29" s="92" t="s">
        <v>178</v>
      </c>
      <c r="K29" s="92" t="s">
        <v>185</v>
      </c>
      <c r="L29" s="71" t="s">
        <v>190</v>
      </c>
      <c r="M29" s="71" t="s">
        <v>195</v>
      </c>
      <c r="N29" s="71"/>
      <c r="O29" s="71"/>
      <c r="P29" s="71" t="s">
        <v>380</v>
      </c>
      <c r="Q29" s="71" t="e">
        <f>IF(OR(AND($C$2="Base contract",$C$3="No, section requirements must be reviewed",#REF!= FALSE,#REF!=FALSE),AND($C$2="Contract amendment",$C$3="No, section requirements must be reviewed",#REF!=FALSE,#REF!=FALSE)),"MUNN")</f>
        <v>#REF!</v>
      </c>
      <c r="R29" s="71"/>
      <c r="S29" s="64"/>
      <c r="T29" s="64"/>
      <c r="U29" s="64"/>
      <c r="V29" s="97">
        <f>IF(OR($E$28="N/A",AND(AU29=0,'Cover Sheet'!$B$29="Streamlined Review"),AND(E29="Met",F29&lt;&gt;""),AND(E29="Not met",G29&lt;&gt;""),AND(E29="Unsure",G29&lt;&gt;""),AND(E29="N/A",H29&lt;&gt;""),AND(Y29=TRUE)),1,0)</f>
        <v>0</v>
      </c>
      <c r="W29" s="56" t="b">
        <f>IF(AND('Cover Sheet'!$B$19="Non-Risk",$R29=1),TRUE,FALSE)</f>
        <v>0</v>
      </c>
      <c r="X29" s="126" t="b">
        <f t="shared" si="6"/>
        <v>0</v>
      </c>
      <c r="Y29" s="126" t="b">
        <f>IF(SUM(Z29:AE29)&lt;1,TRUE,FALSE)</f>
        <v>0</v>
      </c>
      <c r="Z29" s="126">
        <f>IF($Z$2=I29,1,0)</f>
        <v>1</v>
      </c>
      <c r="AA29" s="126">
        <f>IF($AA$2=J29,1,0)</f>
        <v>0</v>
      </c>
      <c r="AB29" s="126">
        <f>IF($AB$2=K29,1,0)</f>
        <v>0</v>
      </c>
      <c r="AC29" s="126">
        <f>IF($AC$2=L29,1,0)</f>
        <v>0</v>
      </c>
      <c r="AD29" s="126">
        <f>IF($AD$2=M29,1,0)</f>
        <v>0</v>
      </c>
      <c r="AE29" s="126">
        <f>IF($AE$2=O29,1,0)</f>
        <v>0</v>
      </c>
      <c r="AF29" s="74"/>
      <c r="AG29" s="74"/>
      <c r="AH29" s="74"/>
      <c r="AI29" s="86"/>
      <c r="AJ29" s="87"/>
      <c r="AK29" s="74"/>
      <c r="AL29" s="69">
        <v>1</v>
      </c>
      <c r="AM29" s="69">
        <f>IF(AL29=1,1,"")</f>
        <v>1</v>
      </c>
      <c r="AU29" s="5">
        <v>0</v>
      </c>
    </row>
    <row r="30" spans="1:47" ht="57" customHeight="1" thickBot="1" x14ac:dyDescent="0.3">
      <c r="A30" s="294" t="s">
        <v>2100</v>
      </c>
      <c r="B30" s="295" t="s">
        <v>2101</v>
      </c>
      <c r="C30" s="356" t="s">
        <v>2102</v>
      </c>
      <c r="D30" s="496">
        <v>3</v>
      </c>
      <c r="E30" s="297"/>
      <c r="F30" s="297"/>
      <c r="G30" s="297"/>
      <c r="H30" s="214"/>
      <c r="I30" s="92" t="s">
        <v>168</v>
      </c>
      <c r="J30" s="92" t="s">
        <v>178</v>
      </c>
      <c r="K30" s="92" t="s">
        <v>185</v>
      </c>
      <c r="L30" s="71" t="s">
        <v>190</v>
      </c>
      <c r="M30" s="71"/>
      <c r="N30" s="71"/>
      <c r="O30" s="71"/>
      <c r="P30" s="71" t="s">
        <v>380</v>
      </c>
      <c r="Q30" s="71" t="e">
        <f>IF(OR(AND($C$2="Base contract",$C$3="No, section requirements must be reviewed",#REF!= FALSE,#REF!=FALSE),AND($C$2="Contract amendment",$C$3="No, section requirements must be reviewed",#REF!=FALSE,#REF!=FALSE)),"MUNN")</f>
        <v>#REF!</v>
      </c>
      <c r="R30" s="71"/>
      <c r="S30" s="64">
        <v>44179</v>
      </c>
      <c r="T30" s="64"/>
      <c r="U30" s="64"/>
      <c r="V30" s="97">
        <f>IF(OR($E$28="N/A",AND(AU30=0,'Cover Sheet'!$B$29="Streamlined Review"),AND(E30="Met",F30&lt;&gt;""),AND(E30="Not met",G30&lt;&gt;""),AND(E30="Unsure",G30&lt;&gt;""),AND(E30="N/A",H30&lt;&gt;""),AND(Y30=TRUE)),1,0)</f>
        <v>0</v>
      </c>
      <c r="W30" s="56" t="b">
        <f>IF(AND('Cover Sheet'!$B$19="Non-Risk",$R30=1),TRUE,FALSE)</f>
        <v>0</v>
      </c>
      <c r="X30" s="126" t="b">
        <f t="shared" si="6"/>
        <v>0</v>
      </c>
      <c r="Y30" s="126" t="b">
        <f>IF(SUM(Z30:AE30)&lt;1,TRUE,FALSE)</f>
        <v>0</v>
      </c>
      <c r="Z30" s="126">
        <f>IF($Z$2=I30,1,0)</f>
        <v>1</v>
      </c>
      <c r="AA30" s="126">
        <f>IF($AA$2=J30,1,0)</f>
        <v>0</v>
      </c>
      <c r="AB30" s="126">
        <f>IF($AB$2=K30,1,0)</f>
        <v>0</v>
      </c>
      <c r="AC30" s="126">
        <f>IF($AC$2=L30,1,0)</f>
        <v>0</v>
      </c>
      <c r="AD30" s="126">
        <f>IF($AD$2=M30,1,0)</f>
        <v>0</v>
      </c>
      <c r="AE30" s="126">
        <f>IF($AE$2=O30,1,0)</f>
        <v>0</v>
      </c>
      <c r="AF30" s="74"/>
      <c r="AG30" s="74"/>
      <c r="AH30" s="74"/>
      <c r="AI30" s="86"/>
      <c r="AJ30" s="87"/>
      <c r="AK30" s="74"/>
      <c r="AL30" s="69">
        <v>1</v>
      </c>
      <c r="AM30" s="69">
        <f>IF(AL30=1,1,"")</f>
        <v>1</v>
      </c>
      <c r="AU30" s="5">
        <v>0</v>
      </c>
    </row>
    <row r="31" spans="1:47" ht="15.75" thickBot="1" x14ac:dyDescent="0.3">
      <c r="A31" s="450"/>
      <c r="B31" s="451"/>
      <c r="C31" s="452" t="s">
        <v>93</v>
      </c>
      <c r="D31" s="442"/>
      <c r="E31" s="443"/>
      <c r="F31" s="444"/>
      <c r="G31" s="444"/>
      <c r="H31" s="445"/>
      <c r="I31" s="74"/>
      <c r="J31" s="74"/>
      <c r="K31" s="74"/>
      <c r="L31" s="87"/>
      <c r="M31" s="87"/>
      <c r="S31" s="116"/>
      <c r="T31" s="116"/>
      <c r="U31" s="116"/>
      <c r="V31" s="126"/>
      <c r="W31" s="68"/>
      <c r="X31" s="68"/>
      <c r="Y31" s="68"/>
      <c r="Z31" s="68"/>
      <c r="AA31" s="68"/>
      <c r="AB31" s="68"/>
      <c r="AC31" s="68"/>
      <c r="AD31" s="68"/>
      <c r="AE31" s="68"/>
      <c r="AF31" s="74"/>
      <c r="AG31" s="74"/>
      <c r="AH31" s="74"/>
      <c r="AI31" s="86"/>
      <c r="AJ31" s="87"/>
      <c r="AK31" s="74"/>
      <c r="AU31" s="5"/>
    </row>
    <row r="32" spans="1:47" ht="153" x14ac:dyDescent="0.25">
      <c r="A32" s="294" t="s">
        <v>2103</v>
      </c>
      <c r="B32" s="295" t="s">
        <v>2104</v>
      </c>
      <c r="C32" s="295" t="s">
        <v>2105</v>
      </c>
      <c r="D32" s="447">
        <v>4</v>
      </c>
      <c r="E32" s="297"/>
      <c r="F32" s="297"/>
      <c r="G32" s="297"/>
      <c r="H32" s="214"/>
      <c r="I32" s="92" t="s">
        <v>168</v>
      </c>
      <c r="J32" s="92" t="s">
        <v>178</v>
      </c>
      <c r="K32" s="92"/>
      <c r="L32" s="71"/>
      <c r="M32" s="71"/>
      <c r="N32" s="71"/>
      <c r="O32" s="71"/>
      <c r="P32" s="71" t="s">
        <v>380</v>
      </c>
      <c r="Q32" s="71" t="e">
        <f>IF(OR(AND($C$2="Base contract",$C$3="No, section requirements must be reviewed",#REF!= FALSE,#REF!=FALSE),AND($C$2="Contract amendment",$C$3="No, section requirements must be reviewed",#REF!=FALSE,#REF!=FALSE)),"MUNN")</f>
        <v>#REF!</v>
      </c>
      <c r="R32" s="71"/>
      <c r="S32" s="64"/>
      <c r="T32" s="64"/>
      <c r="U32" s="64"/>
      <c r="V32" s="97">
        <f>IF(OR($E$31="N/A",AND(AU32=0,'Cover Sheet'!$B$29="Streamlined Review"),AND(E32="Met",F32&lt;&gt;""),AND(E32="Not met",G32&lt;&gt;""),AND(E32="Unsure",G32&lt;&gt;""),AND(E32="N/A",H32&lt;&gt;""),AND(Y32=TRUE)),1,0)</f>
        <v>0</v>
      </c>
      <c r="W32" s="56" t="b">
        <f>IF(AND('Cover Sheet'!$B$19="Non-Risk",$R32=1),TRUE,FALSE)</f>
        <v>0</v>
      </c>
      <c r="X32" s="126" t="b">
        <f t="shared" si="6"/>
        <v>0</v>
      </c>
      <c r="Y32" s="126" t="b">
        <f>IF(SUM(Z32:AE32)&lt;1,TRUE,FALSE)</f>
        <v>0</v>
      </c>
      <c r="Z32" s="126">
        <f t="shared" ref="Z32:Z50" si="17">IF($Z$2=I32,1,0)</f>
        <v>1</v>
      </c>
      <c r="AA32" s="126">
        <f t="shared" ref="AA32:AA50" si="18">IF($AA$2=J32,1,0)</f>
        <v>0</v>
      </c>
      <c r="AB32" s="126">
        <f t="shared" ref="AB32:AB50" si="19">IF($AB$2=K32,1,0)</f>
        <v>0</v>
      </c>
      <c r="AC32" s="126">
        <f t="shared" ref="AC32:AC50" si="20">IF($AC$2=L32,1,0)</f>
        <v>0</v>
      </c>
      <c r="AD32" s="126">
        <f t="shared" ref="AD32:AD50" si="21">IF($AD$2=M32,1,0)</f>
        <v>0</v>
      </c>
      <c r="AE32" s="126">
        <f t="shared" ref="AE32:AE50" si="22">IF($AE$2=O32,1,0)</f>
        <v>0</v>
      </c>
      <c r="AF32" s="74"/>
      <c r="AG32" s="74"/>
      <c r="AH32" s="74"/>
      <c r="AI32" s="86"/>
      <c r="AJ32" s="87"/>
      <c r="AK32" s="74"/>
      <c r="AM32" s="69" t="str">
        <f t="shared" ref="AM32:AM50" si="23">IF(AL32=1,1,"")</f>
        <v/>
      </c>
      <c r="AU32" s="5">
        <v>0</v>
      </c>
    </row>
    <row r="33" spans="1:47" ht="153" x14ac:dyDescent="0.25">
      <c r="A33" s="294" t="s">
        <v>2106</v>
      </c>
      <c r="B33" s="295" t="s">
        <v>2107</v>
      </c>
      <c r="C33" s="295" t="s">
        <v>2108</v>
      </c>
      <c r="D33" s="447">
        <v>4</v>
      </c>
      <c r="E33" s="297"/>
      <c r="F33" s="297"/>
      <c r="G33" s="297"/>
      <c r="H33" s="214"/>
      <c r="I33" s="92" t="s">
        <v>168</v>
      </c>
      <c r="J33" s="92" t="s">
        <v>178</v>
      </c>
      <c r="K33" s="92"/>
      <c r="L33" s="71"/>
      <c r="M33" s="71"/>
      <c r="N33" s="71"/>
      <c r="O33" s="71"/>
      <c r="P33" s="71" t="s">
        <v>380</v>
      </c>
      <c r="Q33" s="71" t="e">
        <f>IF(OR(AND($C$2="Base contract",$C$3="No, section requirements must be reviewed",#REF!= FALSE,#REF!=FALSE),AND($C$2="Contract amendment",$C$3="No, section requirements must be reviewed",#REF!=FALSE,#REF!=FALSE)),"MUNN")</f>
        <v>#REF!</v>
      </c>
      <c r="R33" s="71"/>
      <c r="S33" s="64"/>
      <c r="T33" s="64"/>
      <c r="U33" s="64"/>
      <c r="V33" s="97">
        <f>IF(OR($E$31="N/A",AND(AU33=0,'Cover Sheet'!$B$29="Streamlined Review"),AND(E33="Met",F33&lt;&gt;""),AND(E33="Not met",G33&lt;&gt;""),AND(E33="Unsure",G33&lt;&gt;""),AND(E33="N/A",H33&lt;&gt;""),AND(Y33=TRUE)),1,0)</f>
        <v>0</v>
      </c>
      <c r="W33" s="56" t="b">
        <f>IF(AND('Cover Sheet'!$B$19="Non-Risk",$R33=1),TRUE,FALSE)</f>
        <v>0</v>
      </c>
      <c r="X33" s="126" t="b">
        <f t="shared" si="6"/>
        <v>0</v>
      </c>
      <c r="Y33" s="126" t="b">
        <f t="shared" ref="Y33:Y50" si="24">IF(SUM(Z33:AE33)&lt;1,TRUE,FALSE)</f>
        <v>0</v>
      </c>
      <c r="Z33" s="126">
        <f t="shared" si="17"/>
        <v>1</v>
      </c>
      <c r="AA33" s="126">
        <f t="shared" si="18"/>
        <v>0</v>
      </c>
      <c r="AB33" s="126">
        <f t="shared" si="19"/>
        <v>0</v>
      </c>
      <c r="AC33" s="126">
        <f t="shared" si="20"/>
        <v>0</v>
      </c>
      <c r="AD33" s="126">
        <f t="shared" si="21"/>
        <v>0</v>
      </c>
      <c r="AE33" s="126">
        <f t="shared" si="22"/>
        <v>0</v>
      </c>
      <c r="AF33" s="74"/>
      <c r="AG33" s="74"/>
      <c r="AH33" s="74"/>
      <c r="AI33" s="86"/>
      <c r="AJ33" s="87"/>
      <c r="AK33" s="74"/>
      <c r="AM33" s="69" t="str">
        <f t="shared" si="23"/>
        <v/>
      </c>
      <c r="AU33" s="5">
        <v>0</v>
      </c>
    </row>
    <row r="34" spans="1:47" ht="165.75" x14ac:dyDescent="0.25">
      <c r="A34" s="294" t="s">
        <v>2109</v>
      </c>
      <c r="B34" s="295" t="s">
        <v>2110</v>
      </c>
      <c r="C34" s="295" t="s">
        <v>2111</v>
      </c>
      <c r="D34" s="447" t="s">
        <v>917</v>
      </c>
      <c r="E34" s="297"/>
      <c r="F34" s="297"/>
      <c r="G34" s="297"/>
      <c r="H34" s="214"/>
      <c r="I34" s="92" t="s">
        <v>168</v>
      </c>
      <c r="J34" s="92" t="s">
        <v>178</v>
      </c>
      <c r="K34" s="92"/>
      <c r="L34" s="71"/>
      <c r="M34" s="71"/>
      <c r="N34" s="71"/>
      <c r="O34" s="71"/>
      <c r="P34" s="71" t="s">
        <v>380</v>
      </c>
      <c r="Q34" s="71" t="e">
        <f>IF(OR(AND($C$2="Base contract",$C$3="No, section requirements must be reviewed",#REF!= FALSE,#REF!=FALSE),AND($C$2="Contract amendment",$C$3="No, section requirements must be reviewed",#REF!=FALSE,#REF!=FALSE)),"MUNN")</f>
        <v>#REF!</v>
      </c>
      <c r="R34" s="71"/>
      <c r="S34" s="64"/>
      <c r="T34" s="64"/>
      <c r="U34" s="64"/>
      <c r="V34" s="97">
        <f>IF(OR($E$31="N/A",AND(AU34=0,'Cover Sheet'!$B$29="Streamlined Review"),AND(E34="Met",F34&lt;&gt;""),AND(E34="Not met",G34&lt;&gt;""),AND(E34="Unsure",G34&lt;&gt;""),AND(E34="N/A",H34&lt;&gt;""),AND(Y34=TRUE)),1,0)</f>
        <v>0</v>
      </c>
      <c r="W34" s="56" t="b">
        <f>IF(AND('Cover Sheet'!$B$19="Non-Risk",$R34=1),TRUE,FALSE)</f>
        <v>0</v>
      </c>
      <c r="X34" s="126" t="b">
        <f t="shared" si="6"/>
        <v>0</v>
      </c>
      <c r="Y34" s="126" t="b">
        <f t="shared" si="24"/>
        <v>0</v>
      </c>
      <c r="Z34" s="126">
        <f t="shared" si="17"/>
        <v>1</v>
      </c>
      <c r="AA34" s="126">
        <f t="shared" si="18"/>
        <v>0</v>
      </c>
      <c r="AB34" s="126">
        <f t="shared" si="19"/>
        <v>0</v>
      </c>
      <c r="AC34" s="126">
        <f t="shared" si="20"/>
        <v>0</v>
      </c>
      <c r="AD34" s="126">
        <f t="shared" si="21"/>
        <v>0</v>
      </c>
      <c r="AE34" s="126">
        <f t="shared" si="22"/>
        <v>0</v>
      </c>
      <c r="AF34" s="74"/>
      <c r="AG34" s="74"/>
      <c r="AH34" s="74"/>
      <c r="AI34" s="86"/>
      <c r="AJ34" s="87"/>
      <c r="AK34" s="74"/>
      <c r="AM34" s="69" t="str">
        <f t="shared" si="23"/>
        <v/>
      </c>
      <c r="AU34" s="5">
        <v>0</v>
      </c>
    </row>
    <row r="35" spans="1:47" ht="140.25" x14ac:dyDescent="0.25">
      <c r="A35" s="294" t="s">
        <v>2112</v>
      </c>
      <c r="B35" s="295" t="s">
        <v>2113</v>
      </c>
      <c r="C35" s="295" t="s">
        <v>2114</v>
      </c>
      <c r="D35" s="447">
        <v>4</v>
      </c>
      <c r="E35" s="297"/>
      <c r="F35" s="297"/>
      <c r="G35" s="297"/>
      <c r="H35" s="214"/>
      <c r="I35" s="92" t="s">
        <v>168</v>
      </c>
      <c r="J35" s="92" t="s">
        <v>178</v>
      </c>
      <c r="K35" s="92"/>
      <c r="L35" s="71"/>
      <c r="M35" s="71"/>
      <c r="N35" s="71"/>
      <c r="O35" s="71"/>
      <c r="P35" s="71" t="s">
        <v>380</v>
      </c>
      <c r="Q35" s="71" t="e">
        <f>IF(OR(AND($C$2="Base contract",$C$3="No, section requirements must be reviewed",#REF!= FALSE,#REF!=FALSE),AND($C$2="Contract amendment",$C$3="No, section requirements must be reviewed",#REF!=FALSE,#REF!=FALSE)),"MUNN")</f>
        <v>#REF!</v>
      </c>
      <c r="R35" s="71"/>
      <c r="S35" s="64"/>
      <c r="T35" s="64"/>
      <c r="U35" s="64"/>
      <c r="V35" s="97">
        <f>IF(OR($E$31="N/A",AND(AU35=0,'Cover Sheet'!$B$29="Streamlined Review"),AND(E35="Met",F35&lt;&gt;""),AND(E35="Not met",G35&lt;&gt;""),AND(E35="Unsure",G35&lt;&gt;""),AND(E35="N/A",H35&lt;&gt;""),AND(Y35=TRUE)),1,0)</f>
        <v>0</v>
      </c>
      <c r="W35" s="56" t="b">
        <f>IF(AND('Cover Sheet'!$B$19="Non-Risk",$R35=1),TRUE,FALSE)</f>
        <v>0</v>
      </c>
      <c r="X35" s="126" t="b">
        <f t="shared" si="6"/>
        <v>0</v>
      </c>
      <c r="Y35" s="126" t="b">
        <f t="shared" si="24"/>
        <v>0</v>
      </c>
      <c r="Z35" s="126">
        <f t="shared" si="17"/>
        <v>1</v>
      </c>
      <c r="AA35" s="126">
        <f t="shared" si="18"/>
        <v>0</v>
      </c>
      <c r="AB35" s="126">
        <f t="shared" si="19"/>
        <v>0</v>
      </c>
      <c r="AC35" s="126">
        <f t="shared" si="20"/>
        <v>0</v>
      </c>
      <c r="AD35" s="126">
        <f t="shared" si="21"/>
        <v>0</v>
      </c>
      <c r="AE35" s="126">
        <f t="shared" si="22"/>
        <v>0</v>
      </c>
      <c r="AF35" s="74"/>
      <c r="AG35" s="74"/>
      <c r="AH35" s="74"/>
      <c r="AI35" s="86"/>
      <c r="AJ35" s="87"/>
      <c r="AK35" s="74"/>
      <c r="AM35" s="69" t="str">
        <f t="shared" si="23"/>
        <v/>
      </c>
      <c r="AU35" s="5">
        <v>0</v>
      </c>
    </row>
    <row r="36" spans="1:47" ht="153" x14ac:dyDescent="0.25">
      <c r="A36" s="294" t="s">
        <v>2115</v>
      </c>
      <c r="B36" s="295" t="s">
        <v>2116</v>
      </c>
      <c r="C36" s="295" t="s">
        <v>2117</v>
      </c>
      <c r="D36" s="447">
        <v>4</v>
      </c>
      <c r="E36" s="297"/>
      <c r="F36" s="297"/>
      <c r="G36" s="297"/>
      <c r="H36" s="214"/>
      <c r="I36" s="92" t="s">
        <v>168</v>
      </c>
      <c r="J36" s="92" t="s">
        <v>178</v>
      </c>
      <c r="K36" s="92"/>
      <c r="L36" s="71"/>
      <c r="M36" s="71"/>
      <c r="N36" s="71"/>
      <c r="O36" s="71"/>
      <c r="P36" s="71" t="s">
        <v>380</v>
      </c>
      <c r="Q36" s="71" t="e">
        <f>IF(OR(AND($C$2="Base contract",$C$3="No, section requirements must be reviewed",#REF!= FALSE,#REF!=FALSE),AND($C$2="Contract amendment",$C$3="No, section requirements must be reviewed",#REF!=FALSE,#REF!=FALSE)),"MUNN")</f>
        <v>#REF!</v>
      </c>
      <c r="R36" s="71"/>
      <c r="S36" s="64"/>
      <c r="T36" s="64"/>
      <c r="U36" s="64"/>
      <c r="V36" s="97">
        <f>IF(OR($E$31="N/A",AND(AU36=0,'Cover Sheet'!$B$29="Streamlined Review"),AND(E36="Met",F36&lt;&gt;""),AND(E36="Not met",G36&lt;&gt;""),AND(E36="Unsure",G36&lt;&gt;""),AND(E36="N/A",H36&lt;&gt;""),AND(Y36=TRUE)),1,0)</f>
        <v>0</v>
      </c>
      <c r="W36" s="56" t="b">
        <f>IF(AND('Cover Sheet'!$B$19="Non-Risk",$R36=1),TRUE,FALSE)</f>
        <v>0</v>
      </c>
      <c r="X36" s="126" t="b">
        <f t="shared" si="6"/>
        <v>0</v>
      </c>
      <c r="Y36" s="126" t="b">
        <f t="shared" si="24"/>
        <v>0</v>
      </c>
      <c r="Z36" s="126">
        <f t="shared" si="17"/>
        <v>1</v>
      </c>
      <c r="AA36" s="126">
        <f t="shared" si="18"/>
        <v>0</v>
      </c>
      <c r="AB36" s="126">
        <f t="shared" si="19"/>
        <v>0</v>
      </c>
      <c r="AC36" s="126">
        <f t="shared" si="20"/>
        <v>0</v>
      </c>
      <c r="AD36" s="126">
        <f t="shared" si="21"/>
        <v>0</v>
      </c>
      <c r="AE36" s="126">
        <f t="shared" si="22"/>
        <v>0</v>
      </c>
      <c r="AF36" s="74"/>
      <c r="AG36" s="74"/>
      <c r="AH36" s="74"/>
      <c r="AI36" s="86"/>
      <c r="AJ36" s="87"/>
      <c r="AK36" s="74"/>
      <c r="AM36" s="69" t="str">
        <f t="shared" si="23"/>
        <v/>
      </c>
      <c r="AU36" s="5">
        <v>0</v>
      </c>
    </row>
    <row r="37" spans="1:47" ht="137.1" customHeight="1" x14ac:dyDescent="0.25">
      <c r="A37" s="294" t="s">
        <v>2118</v>
      </c>
      <c r="B37" s="295" t="s">
        <v>2119</v>
      </c>
      <c r="C37" s="295" t="s">
        <v>2120</v>
      </c>
      <c r="D37" s="447" t="s">
        <v>2121</v>
      </c>
      <c r="E37" s="297"/>
      <c r="F37" s="297"/>
      <c r="G37" s="297"/>
      <c r="H37" s="214"/>
      <c r="I37" s="92" t="s">
        <v>168</v>
      </c>
      <c r="J37" s="92" t="s">
        <v>178</v>
      </c>
      <c r="K37" s="92"/>
      <c r="L37" s="71"/>
      <c r="M37" s="71"/>
      <c r="N37" s="71"/>
      <c r="O37" s="71"/>
      <c r="P37" s="71" t="s">
        <v>380</v>
      </c>
      <c r="Q37" s="71" t="e">
        <f>IF(OR(AND($C$2="Base contract",$C$3="No, section requirements must be reviewed",#REF!= FALSE,#REF!=FALSE),AND($C$2="Contract amendment",$C$3="No, section requirements must be reviewed",#REF!=FALSE,#REF!=FALSE)),"MUNN")</f>
        <v>#REF!</v>
      </c>
      <c r="R37" s="71"/>
      <c r="S37" s="64"/>
      <c r="T37" s="64"/>
      <c r="U37" s="64"/>
      <c r="V37" s="97">
        <f>IF(OR($E$31="N/A",AND(AU37=0,'Cover Sheet'!$B$29="Streamlined Review"),AND(E37="Met",F37&lt;&gt;""),AND(E37="Not met",G37&lt;&gt;""),AND(E37="Unsure",G37&lt;&gt;""),AND(E37="N/A",H37&lt;&gt;""),AND(Y37=TRUE)),1,0)</f>
        <v>0</v>
      </c>
      <c r="W37" s="56" t="b">
        <f>IF(AND('Cover Sheet'!$B$19="Non-Risk",$R37=1),TRUE,FALSE)</f>
        <v>0</v>
      </c>
      <c r="X37" s="126" t="b">
        <f t="shared" si="6"/>
        <v>0</v>
      </c>
      <c r="Y37" s="126" t="b">
        <f t="shared" si="24"/>
        <v>0</v>
      </c>
      <c r="Z37" s="126">
        <f t="shared" si="17"/>
        <v>1</v>
      </c>
      <c r="AA37" s="126">
        <f t="shared" si="18"/>
        <v>0</v>
      </c>
      <c r="AB37" s="126">
        <f t="shared" si="19"/>
        <v>0</v>
      </c>
      <c r="AC37" s="126">
        <f t="shared" si="20"/>
        <v>0</v>
      </c>
      <c r="AD37" s="126">
        <f t="shared" si="21"/>
        <v>0</v>
      </c>
      <c r="AE37" s="126">
        <f t="shared" si="22"/>
        <v>0</v>
      </c>
      <c r="AF37" s="74"/>
      <c r="AG37" s="74"/>
      <c r="AH37" s="74"/>
      <c r="AI37" s="86"/>
      <c r="AJ37" s="87"/>
      <c r="AK37" s="74"/>
      <c r="AM37" s="69" t="str">
        <f t="shared" si="23"/>
        <v/>
      </c>
      <c r="AU37" s="5">
        <v>0</v>
      </c>
    </row>
    <row r="38" spans="1:47" ht="74.25" customHeight="1" x14ac:dyDescent="0.25">
      <c r="A38" s="294" t="s">
        <v>2122</v>
      </c>
      <c r="B38" s="295" t="s">
        <v>2123</v>
      </c>
      <c r="C38" s="295" t="s">
        <v>2124</v>
      </c>
      <c r="D38" s="447">
        <v>4</v>
      </c>
      <c r="E38" s="297"/>
      <c r="F38" s="297"/>
      <c r="G38" s="297"/>
      <c r="H38" s="214"/>
      <c r="I38" s="92" t="s">
        <v>168</v>
      </c>
      <c r="J38" s="92" t="s">
        <v>178</v>
      </c>
      <c r="K38" s="92"/>
      <c r="L38" s="71"/>
      <c r="M38" s="71"/>
      <c r="N38" s="71"/>
      <c r="O38" s="71"/>
      <c r="P38" s="71" t="s">
        <v>380</v>
      </c>
      <c r="Q38" s="71" t="e">
        <f>IF(OR(AND($C$2="Base contract",$C$3="No, section requirements must be reviewed",#REF!= FALSE,#REF!=FALSE),AND($C$2="Contract amendment",$C$3="No, section requirements must be reviewed",#REF!=FALSE,#REF!=FALSE)),"MUNN")</f>
        <v>#REF!</v>
      </c>
      <c r="R38" s="71"/>
      <c r="S38" s="64"/>
      <c r="T38" s="64"/>
      <c r="U38" s="64"/>
      <c r="V38" s="97">
        <f>IF(OR($E$31="N/A",AND(AU38=0,'Cover Sheet'!$B$29="Streamlined Review"),AND(E38="Met",F38&lt;&gt;""),AND(E38="Not met",G38&lt;&gt;""),AND(E38="Unsure",G38&lt;&gt;""),AND(E38="N/A",H38&lt;&gt;""),AND(Y38=TRUE)),1,0)</f>
        <v>0</v>
      </c>
      <c r="W38" s="56" t="b">
        <f>IF(AND('Cover Sheet'!$B$19="Non-Risk",$R38=1),TRUE,FALSE)</f>
        <v>0</v>
      </c>
      <c r="X38" s="126" t="b">
        <f t="shared" si="6"/>
        <v>0</v>
      </c>
      <c r="Y38" s="126" t="b">
        <f t="shared" si="24"/>
        <v>0</v>
      </c>
      <c r="Z38" s="126">
        <f t="shared" si="17"/>
        <v>1</v>
      </c>
      <c r="AA38" s="126">
        <f t="shared" si="18"/>
        <v>0</v>
      </c>
      <c r="AB38" s="126">
        <f t="shared" si="19"/>
        <v>0</v>
      </c>
      <c r="AC38" s="126">
        <f t="shared" si="20"/>
        <v>0</v>
      </c>
      <c r="AD38" s="126">
        <f t="shared" si="21"/>
        <v>0</v>
      </c>
      <c r="AE38" s="126">
        <f t="shared" si="22"/>
        <v>0</v>
      </c>
      <c r="AF38" s="74"/>
      <c r="AG38" s="74"/>
      <c r="AH38" s="74"/>
      <c r="AI38" s="86"/>
      <c r="AJ38" s="87"/>
      <c r="AK38" s="74"/>
      <c r="AM38" s="69" t="str">
        <f t="shared" si="23"/>
        <v/>
      </c>
      <c r="AU38" s="5">
        <v>0</v>
      </c>
    </row>
    <row r="39" spans="1:47" ht="140.25" x14ac:dyDescent="0.25">
      <c r="A39" s="294" t="s">
        <v>2125</v>
      </c>
      <c r="B39" s="295" t="s">
        <v>2126</v>
      </c>
      <c r="C39" s="295" t="s">
        <v>2127</v>
      </c>
      <c r="D39" s="446"/>
      <c r="E39" s="297"/>
      <c r="F39" s="297"/>
      <c r="G39" s="297"/>
      <c r="H39" s="214"/>
      <c r="I39" s="92" t="s">
        <v>168</v>
      </c>
      <c r="J39" s="92" t="s">
        <v>178</v>
      </c>
      <c r="K39" s="92"/>
      <c r="L39" s="71"/>
      <c r="M39" s="71"/>
      <c r="N39" s="71"/>
      <c r="O39" s="71"/>
      <c r="P39" s="71" t="s">
        <v>380</v>
      </c>
      <c r="Q39" s="71" t="e">
        <f>IF(OR(AND($C$2="Base contract",$C$3="No, section requirements must be reviewed",#REF!= FALSE,#REF!=FALSE),AND($C$2="Contract amendment",$C$3="No, section requirements must be reviewed",#REF!=FALSE,#REF!=FALSE)),"MUNN")</f>
        <v>#REF!</v>
      </c>
      <c r="R39" s="71"/>
      <c r="S39" s="64"/>
      <c r="T39" s="64"/>
      <c r="U39" s="64"/>
      <c r="V39" s="97">
        <f>IF(OR($E$31="N/A",AND(AU39=0,'Cover Sheet'!$B$29="Streamlined Review"),AND(E39="Met",F39&lt;&gt;""),AND(E39="Not met",G39&lt;&gt;""),AND(E39="Unsure",G39&lt;&gt;""),AND(E39="N/A",H39&lt;&gt;""),AND(Y39=TRUE)),1,0)</f>
        <v>0</v>
      </c>
      <c r="W39" s="56" t="b">
        <f>IF(AND('Cover Sheet'!$B$19="Non-Risk",$R39=1),TRUE,FALSE)</f>
        <v>0</v>
      </c>
      <c r="X39" s="126" t="b">
        <f t="shared" si="6"/>
        <v>0</v>
      </c>
      <c r="Y39" s="126" t="b">
        <f t="shared" si="24"/>
        <v>0</v>
      </c>
      <c r="Z39" s="126">
        <f t="shared" si="17"/>
        <v>1</v>
      </c>
      <c r="AA39" s="126">
        <f t="shared" si="18"/>
        <v>0</v>
      </c>
      <c r="AB39" s="126">
        <f t="shared" si="19"/>
        <v>0</v>
      </c>
      <c r="AC39" s="126">
        <f t="shared" si="20"/>
        <v>0</v>
      </c>
      <c r="AD39" s="126">
        <f t="shared" si="21"/>
        <v>0</v>
      </c>
      <c r="AE39" s="126">
        <f t="shared" si="22"/>
        <v>0</v>
      </c>
      <c r="AF39" s="74"/>
      <c r="AG39" s="74"/>
      <c r="AH39" s="74"/>
      <c r="AI39" s="86"/>
      <c r="AJ39" s="87"/>
      <c r="AK39" s="74"/>
      <c r="AM39" s="69" t="str">
        <f t="shared" si="23"/>
        <v/>
      </c>
      <c r="AU39" s="5">
        <v>0</v>
      </c>
    </row>
    <row r="40" spans="1:47" ht="45" customHeight="1" x14ac:dyDescent="0.25">
      <c r="A40" s="294" t="s">
        <v>2128</v>
      </c>
      <c r="B40" s="295" t="s">
        <v>2129</v>
      </c>
      <c r="C40" s="295" t="s">
        <v>2130</v>
      </c>
      <c r="D40" s="447" t="s">
        <v>722</v>
      </c>
      <c r="E40" s="297"/>
      <c r="F40" s="297"/>
      <c r="G40" s="297"/>
      <c r="H40" s="214"/>
      <c r="I40" s="92" t="s">
        <v>168</v>
      </c>
      <c r="J40" s="92" t="s">
        <v>178</v>
      </c>
      <c r="K40" s="92" t="s">
        <v>185</v>
      </c>
      <c r="L40" s="71" t="s">
        <v>190</v>
      </c>
      <c r="M40" s="71" t="s">
        <v>195</v>
      </c>
      <c r="N40" s="71"/>
      <c r="O40" s="71"/>
      <c r="P40" s="71" t="s">
        <v>380</v>
      </c>
      <c r="Q40" s="71" t="e">
        <f>IF(OR(AND($C$2="Base contract",$C$3="No, section requirements must be reviewed",#REF!= FALSE,#REF!=FALSE),AND($C$2="Contract amendment",$C$3="No, section requirements must be reviewed",#REF!=FALSE,#REF!=FALSE)),"MUNN")</f>
        <v>#REF!</v>
      </c>
      <c r="R40" s="71"/>
      <c r="S40" s="64"/>
      <c r="T40" s="64"/>
      <c r="U40" s="64"/>
      <c r="V40" s="97">
        <f>IF(OR($E$31="N/A",AND(AU40=0,'Cover Sheet'!$B$29="Streamlined Review"),AND(E40="Met",F40&lt;&gt;""),AND(E40="Not met",G40&lt;&gt;""),AND(E40="Unsure",G40&lt;&gt;""),AND(E40="N/A",H40&lt;&gt;""),AND(Y40=TRUE)),1,0)</f>
        <v>0</v>
      </c>
      <c r="W40" s="56" t="b">
        <f>IF(AND('Cover Sheet'!$B$19="Non-Risk",$R40=1),TRUE,FALSE)</f>
        <v>0</v>
      </c>
      <c r="X40" s="126" t="b">
        <f t="shared" si="6"/>
        <v>0</v>
      </c>
      <c r="Y40" s="126" t="b">
        <f t="shared" si="24"/>
        <v>0</v>
      </c>
      <c r="Z40" s="126">
        <f t="shared" si="17"/>
        <v>1</v>
      </c>
      <c r="AA40" s="126">
        <f t="shared" si="18"/>
        <v>0</v>
      </c>
      <c r="AB40" s="126">
        <f t="shared" si="19"/>
        <v>0</v>
      </c>
      <c r="AC40" s="126">
        <f t="shared" si="20"/>
        <v>0</v>
      </c>
      <c r="AD40" s="126">
        <f t="shared" si="21"/>
        <v>0</v>
      </c>
      <c r="AE40" s="126">
        <f t="shared" si="22"/>
        <v>0</v>
      </c>
      <c r="AF40" s="74"/>
      <c r="AG40" s="74"/>
      <c r="AH40" s="74"/>
      <c r="AI40" s="86"/>
      <c r="AJ40" s="87"/>
      <c r="AK40" s="74"/>
      <c r="AM40" s="69" t="str">
        <f t="shared" si="23"/>
        <v/>
      </c>
      <c r="AU40" s="5">
        <v>0</v>
      </c>
    </row>
    <row r="41" spans="1:47" ht="84.75" customHeight="1" x14ac:dyDescent="0.25">
      <c r="A41" s="294" t="s">
        <v>2131</v>
      </c>
      <c r="B41" s="295" t="s">
        <v>2132</v>
      </c>
      <c r="C41" s="295" t="s">
        <v>2133</v>
      </c>
      <c r="D41" s="447">
        <v>8</v>
      </c>
      <c r="E41" s="297"/>
      <c r="F41" s="297"/>
      <c r="G41" s="297"/>
      <c r="H41" s="214"/>
      <c r="I41" s="92" t="s">
        <v>168</v>
      </c>
      <c r="J41" s="92" t="s">
        <v>178</v>
      </c>
      <c r="K41" s="92"/>
      <c r="L41" s="71"/>
      <c r="M41" s="71"/>
      <c r="N41" s="71"/>
      <c r="O41" s="71"/>
      <c r="P41" s="71" t="s">
        <v>380</v>
      </c>
      <c r="Q41" s="71" t="e">
        <f>IF(OR(AND($C$2="Base contract",$C$3="No, section requirements must be reviewed",#REF!= FALSE,#REF!=FALSE),AND($C$2="Contract amendment",$C$3="No, section requirements must be reviewed",#REF!=FALSE,#REF!=FALSE)),"MUNN")</f>
        <v>#REF!</v>
      </c>
      <c r="R41" s="71"/>
      <c r="S41" s="64"/>
      <c r="T41" s="64"/>
      <c r="U41" s="64"/>
      <c r="V41" s="97">
        <f>IF(OR($E$31="N/A",AND(AU41=0,'Cover Sheet'!$B$29="Streamlined Review"),AND(E41="Met",F41&lt;&gt;""),AND(E41="Not met",G41&lt;&gt;""),AND(E41="Unsure",G41&lt;&gt;""),AND(E41="N/A",H41&lt;&gt;""),AND(Y41=TRUE)),1,0)</f>
        <v>0</v>
      </c>
      <c r="W41" s="56" t="b">
        <f>IF(AND('Cover Sheet'!$B$19="Non-Risk",$R41=1),TRUE,FALSE)</f>
        <v>0</v>
      </c>
      <c r="X41" s="126" t="b">
        <f t="shared" si="6"/>
        <v>0</v>
      </c>
      <c r="Y41" s="126" t="b">
        <f t="shared" si="24"/>
        <v>0</v>
      </c>
      <c r="Z41" s="126">
        <f t="shared" si="17"/>
        <v>1</v>
      </c>
      <c r="AA41" s="126">
        <f t="shared" si="18"/>
        <v>0</v>
      </c>
      <c r="AB41" s="126">
        <f t="shared" si="19"/>
        <v>0</v>
      </c>
      <c r="AC41" s="126">
        <f t="shared" si="20"/>
        <v>0</v>
      </c>
      <c r="AD41" s="126">
        <f t="shared" si="21"/>
        <v>0</v>
      </c>
      <c r="AE41" s="126">
        <f t="shared" si="22"/>
        <v>0</v>
      </c>
      <c r="AF41" s="74"/>
      <c r="AG41" s="74"/>
      <c r="AH41" s="74"/>
      <c r="AI41" s="86"/>
      <c r="AJ41" s="87"/>
      <c r="AK41" s="74"/>
      <c r="AM41" s="69" t="str">
        <f t="shared" si="23"/>
        <v/>
      </c>
      <c r="AU41" s="5">
        <v>0</v>
      </c>
    </row>
    <row r="42" spans="1:47" ht="93" customHeight="1" x14ac:dyDescent="0.25">
      <c r="A42" s="294" t="s">
        <v>2134</v>
      </c>
      <c r="B42" s="295" t="s">
        <v>2135</v>
      </c>
      <c r="C42" s="295" t="s">
        <v>2136</v>
      </c>
      <c r="D42" s="447">
        <v>8</v>
      </c>
      <c r="E42" s="297"/>
      <c r="F42" s="297"/>
      <c r="G42" s="297"/>
      <c r="H42" s="214"/>
      <c r="I42" s="92" t="s">
        <v>168</v>
      </c>
      <c r="J42" s="92" t="s">
        <v>178</v>
      </c>
      <c r="K42" s="92"/>
      <c r="L42" s="71"/>
      <c r="M42" s="71"/>
      <c r="N42" s="71"/>
      <c r="O42" s="71"/>
      <c r="P42" s="71" t="s">
        <v>380</v>
      </c>
      <c r="Q42" s="71" t="e">
        <f>IF(OR(AND($C$2="Base contract",$C$3="No, section requirements must be reviewed",#REF!= FALSE,#REF!=FALSE),AND($C$2="Contract amendment",$C$3="No, section requirements must be reviewed",#REF!=FALSE,#REF!=FALSE)),"MUNN")</f>
        <v>#REF!</v>
      </c>
      <c r="R42" s="71"/>
      <c r="S42" s="64"/>
      <c r="T42" s="64"/>
      <c r="U42" s="64"/>
      <c r="V42" s="97">
        <f>IF(OR($E$31="N/A",AND(AU42=0,'Cover Sheet'!$B$29="Streamlined Review"),AND(E42="Met",F42&lt;&gt;""),AND(E42="Not met",G42&lt;&gt;""),AND(E42="Unsure",G42&lt;&gt;""),AND(E42="N/A",H42&lt;&gt;""),AND(Y42=TRUE)),1,0)</f>
        <v>0</v>
      </c>
      <c r="W42" s="56" t="b">
        <f>IF(AND('Cover Sheet'!$B$19="Non-Risk",$R42=1),TRUE,FALSE)</f>
        <v>0</v>
      </c>
      <c r="X42" s="126" t="b">
        <f t="shared" si="6"/>
        <v>0</v>
      </c>
      <c r="Y42" s="126" t="b">
        <f t="shared" si="24"/>
        <v>0</v>
      </c>
      <c r="Z42" s="126">
        <f t="shared" si="17"/>
        <v>1</v>
      </c>
      <c r="AA42" s="126">
        <f t="shared" si="18"/>
        <v>0</v>
      </c>
      <c r="AB42" s="126">
        <f t="shared" si="19"/>
        <v>0</v>
      </c>
      <c r="AC42" s="126">
        <f t="shared" si="20"/>
        <v>0</v>
      </c>
      <c r="AD42" s="126">
        <f t="shared" si="21"/>
        <v>0</v>
      </c>
      <c r="AE42" s="126">
        <f t="shared" si="22"/>
        <v>0</v>
      </c>
      <c r="AF42" s="74"/>
      <c r="AG42" s="74"/>
      <c r="AH42" s="74"/>
      <c r="AI42" s="86"/>
      <c r="AJ42" s="87"/>
      <c r="AK42" s="74"/>
      <c r="AM42" s="69" t="str">
        <f t="shared" si="23"/>
        <v/>
      </c>
      <c r="AU42" s="5">
        <v>0</v>
      </c>
    </row>
    <row r="43" spans="1:47" ht="84.75" customHeight="1" x14ac:dyDescent="0.25">
      <c r="A43" s="294" t="s">
        <v>2137</v>
      </c>
      <c r="B43" s="295" t="s">
        <v>2138</v>
      </c>
      <c r="C43" s="295" t="s">
        <v>2139</v>
      </c>
      <c r="D43" s="447" t="s">
        <v>1960</v>
      </c>
      <c r="E43" s="297"/>
      <c r="F43" s="297"/>
      <c r="G43" s="297"/>
      <c r="H43" s="214"/>
      <c r="I43" s="92" t="s">
        <v>168</v>
      </c>
      <c r="J43" s="92" t="s">
        <v>178</v>
      </c>
      <c r="K43" s="92"/>
      <c r="L43" s="71"/>
      <c r="M43" s="71"/>
      <c r="N43" s="71"/>
      <c r="O43" s="71"/>
      <c r="P43" s="71" t="s">
        <v>380</v>
      </c>
      <c r="Q43" s="71" t="e">
        <f>IF(OR(AND($C$2="Base contract",$C$3="No, section requirements must be reviewed",#REF!= FALSE,#REF!=FALSE),AND($C$2="Contract amendment",$C$3="No, section requirements must be reviewed",#REF!=FALSE,#REF!=FALSE)),"MUNN")</f>
        <v>#REF!</v>
      </c>
      <c r="R43" s="71"/>
      <c r="S43" s="64"/>
      <c r="T43" s="64"/>
      <c r="U43" s="64"/>
      <c r="V43" s="97">
        <f>IF(OR($E$31="N/A",AND(AU43=0,'Cover Sheet'!$B$29="Streamlined Review"),AND(E43="Met",F43&lt;&gt;""),AND(E43="Not met",G43&lt;&gt;""),AND(E43="Unsure",G43&lt;&gt;""),AND(E43="N/A",H43&lt;&gt;""),AND(Y43=TRUE)),1,0)</f>
        <v>0</v>
      </c>
      <c r="W43" s="56" t="b">
        <f>IF(AND('Cover Sheet'!$B$19="Non-Risk",$R43=1),TRUE,FALSE)</f>
        <v>0</v>
      </c>
      <c r="X43" s="126" t="b">
        <f t="shared" si="6"/>
        <v>0</v>
      </c>
      <c r="Y43" s="126" t="b">
        <f t="shared" si="24"/>
        <v>0</v>
      </c>
      <c r="Z43" s="126">
        <f t="shared" si="17"/>
        <v>1</v>
      </c>
      <c r="AA43" s="126">
        <f t="shared" si="18"/>
        <v>0</v>
      </c>
      <c r="AB43" s="126">
        <f t="shared" si="19"/>
        <v>0</v>
      </c>
      <c r="AC43" s="126">
        <f t="shared" si="20"/>
        <v>0</v>
      </c>
      <c r="AD43" s="126">
        <f t="shared" si="21"/>
        <v>0</v>
      </c>
      <c r="AE43" s="126">
        <f t="shared" si="22"/>
        <v>0</v>
      </c>
      <c r="AF43" s="74"/>
      <c r="AG43" s="74"/>
      <c r="AH43" s="74"/>
      <c r="AI43" s="86"/>
      <c r="AJ43" s="87"/>
      <c r="AK43" s="74"/>
      <c r="AM43" s="69" t="str">
        <f t="shared" si="23"/>
        <v/>
      </c>
      <c r="AU43" s="5">
        <v>0</v>
      </c>
    </row>
    <row r="44" spans="1:47" ht="85.5" customHeight="1" x14ac:dyDescent="0.25">
      <c r="A44" s="294" t="s">
        <v>2140</v>
      </c>
      <c r="B44" s="295" t="s">
        <v>2141</v>
      </c>
      <c r="C44" s="295" t="s">
        <v>2142</v>
      </c>
      <c r="D44" s="447">
        <v>8</v>
      </c>
      <c r="E44" s="297"/>
      <c r="F44" s="297"/>
      <c r="G44" s="297"/>
      <c r="H44" s="214"/>
      <c r="I44" s="92" t="s">
        <v>168</v>
      </c>
      <c r="J44" s="92" t="s">
        <v>178</v>
      </c>
      <c r="K44" s="92"/>
      <c r="L44" s="71"/>
      <c r="M44" s="71"/>
      <c r="N44" s="71"/>
      <c r="O44" s="71"/>
      <c r="P44" s="71" t="s">
        <v>380</v>
      </c>
      <c r="Q44" s="71" t="e">
        <f>IF(OR(AND($C$2="Base contract",$C$3="No, section requirements must be reviewed",#REF!= FALSE,#REF!=FALSE),AND($C$2="Contract amendment",$C$3="No, section requirements must be reviewed",#REF!=FALSE,#REF!=FALSE)),"MUNN")</f>
        <v>#REF!</v>
      </c>
      <c r="R44" s="71"/>
      <c r="S44" s="64"/>
      <c r="T44" s="64"/>
      <c r="U44" s="64"/>
      <c r="V44" s="97">
        <f>IF(OR($E$31="N/A",AND(AU44=0,'Cover Sheet'!$B$29="Streamlined Review"),AND(E44="Met",F44&lt;&gt;""),AND(E44="Not met",G44&lt;&gt;""),AND(E44="Unsure",G44&lt;&gt;""),AND(E44="N/A",H44&lt;&gt;""),AND(Y44=TRUE)),1,0)</f>
        <v>0</v>
      </c>
      <c r="W44" s="56" t="b">
        <f>IF(AND('Cover Sheet'!$B$19="Non-Risk",$R44=1),TRUE,FALSE)</f>
        <v>0</v>
      </c>
      <c r="X44" s="126" t="b">
        <f t="shared" si="6"/>
        <v>0</v>
      </c>
      <c r="Y44" s="126" t="b">
        <f t="shared" si="24"/>
        <v>0</v>
      </c>
      <c r="Z44" s="126">
        <f t="shared" si="17"/>
        <v>1</v>
      </c>
      <c r="AA44" s="126">
        <f t="shared" si="18"/>
        <v>0</v>
      </c>
      <c r="AB44" s="126">
        <f t="shared" si="19"/>
        <v>0</v>
      </c>
      <c r="AC44" s="126">
        <f t="shared" si="20"/>
        <v>0</v>
      </c>
      <c r="AD44" s="126">
        <f t="shared" si="21"/>
        <v>0</v>
      </c>
      <c r="AE44" s="126">
        <f t="shared" si="22"/>
        <v>0</v>
      </c>
      <c r="AF44" s="74"/>
      <c r="AG44" s="74"/>
      <c r="AH44" s="74"/>
      <c r="AI44" s="86"/>
      <c r="AJ44" s="87"/>
      <c r="AK44" s="74"/>
      <c r="AM44" s="69" t="str">
        <f t="shared" si="23"/>
        <v/>
      </c>
      <c r="AU44" s="5">
        <v>0</v>
      </c>
    </row>
    <row r="45" spans="1:47" ht="89.25" customHeight="1" x14ac:dyDescent="0.25">
      <c r="A45" s="294" t="s">
        <v>2143</v>
      </c>
      <c r="B45" s="295" t="s">
        <v>2144</v>
      </c>
      <c r="C45" s="295" t="s">
        <v>2145</v>
      </c>
      <c r="D45" s="447">
        <v>8</v>
      </c>
      <c r="E45" s="297"/>
      <c r="F45" s="297"/>
      <c r="G45" s="297"/>
      <c r="H45" s="214"/>
      <c r="I45" s="92" t="s">
        <v>168</v>
      </c>
      <c r="J45" s="92" t="s">
        <v>178</v>
      </c>
      <c r="K45" s="92"/>
      <c r="L45" s="71"/>
      <c r="M45" s="71"/>
      <c r="N45" s="71"/>
      <c r="O45" s="71"/>
      <c r="P45" s="71" t="s">
        <v>380</v>
      </c>
      <c r="Q45" s="71" t="e">
        <f>IF(OR(AND($C$2="Base contract",$C$3="No, section requirements must be reviewed",#REF!= FALSE,#REF!=FALSE),AND($C$2="Contract amendment",$C$3="No, section requirements must be reviewed",#REF!=FALSE,#REF!=FALSE)),"MUNN")</f>
        <v>#REF!</v>
      </c>
      <c r="R45" s="71"/>
      <c r="S45" s="64"/>
      <c r="T45" s="64"/>
      <c r="U45" s="64"/>
      <c r="V45" s="97">
        <f>IF(OR($E$31="N/A",AND(AU45=0,'Cover Sheet'!$B$29="Streamlined Review"),AND(E45="Met",F45&lt;&gt;""),AND(E45="Not met",G45&lt;&gt;""),AND(E45="Unsure",G45&lt;&gt;""),AND(E45="N/A",H45&lt;&gt;""),AND(Y45=TRUE)),1,0)</f>
        <v>0</v>
      </c>
      <c r="W45" s="56" t="b">
        <f>IF(AND('Cover Sheet'!$B$19="Non-Risk",$R45=1),TRUE,FALSE)</f>
        <v>0</v>
      </c>
      <c r="X45" s="126" t="b">
        <f t="shared" si="6"/>
        <v>0</v>
      </c>
      <c r="Y45" s="126" t="b">
        <f t="shared" si="24"/>
        <v>0</v>
      </c>
      <c r="Z45" s="126">
        <f t="shared" si="17"/>
        <v>1</v>
      </c>
      <c r="AA45" s="126">
        <f t="shared" si="18"/>
        <v>0</v>
      </c>
      <c r="AB45" s="126">
        <f t="shared" si="19"/>
        <v>0</v>
      </c>
      <c r="AC45" s="126">
        <f t="shared" si="20"/>
        <v>0</v>
      </c>
      <c r="AD45" s="126">
        <f t="shared" si="21"/>
        <v>0</v>
      </c>
      <c r="AE45" s="126">
        <f t="shared" si="22"/>
        <v>0</v>
      </c>
      <c r="AF45" s="74"/>
      <c r="AG45" s="74"/>
      <c r="AH45" s="74"/>
      <c r="AI45" s="86"/>
      <c r="AJ45" s="87"/>
      <c r="AK45" s="74"/>
      <c r="AM45" s="69" t="str">
        <f t="shared" si="23"/>
        <v/>
      </c>
      <c r="AU45" s="5">
        <v>0</v>
      </c>
    </row>
    <row r="46" spans="1:47" ht="90.75" customHeight="1" x14ac:dyDescent="0.25">
      <c r="A46" s="294" t="s">
        <v>2146</v>
      </c>
      <c r="B46" s="295" t="s">
        <v>2147</v>
      </c>
      <c r="C46" s="295" t="s">
        <v>2148</v>
      </c>
      <c r="D46" s="447">
        <v>8</v>
      </c>
      <c r="E46" s="297"/>
      <c r="F46" s="297"/>
      <c r="G46" s="297"/>
      <c r="H46" s="214"/>
      <c r="I46" s="92" t="s">
        <v>168</v>
      </c>
      <c r="J46" s="92" t="s">
        <v>178</v>
      </c>
      <c r="K46" s="92"/>
      <c r="L46" s="71"/>
      <c r="M46" s="71"/>
      <c r="N46" s="71"/>
      <c r="O46" s="71"/>
      <c r="P46" s="71" t="s">
        <v>380</v>
      </c>
      <c r="Q46" s="71" t="e">
        <f>IF(OR(AND($C$2="Base contract",$C$3="No, section requirements must be reviewed",#REF!= FALSE,#REF!=FALSE),AND($C$2="Contract amendment",$C$3="No, section requirements must be reviewed",#REF!=FALSE,#REF!=FALSE)),"MUNN")</f>
        <v>#REF!</v>
      </c>
      <c r="R46" s="71"/>
      <c r="S46" s="64"/>
      <c r="T46" s="64"/>
      <c r="U46" s="64"/>
      <c r="V46" s="97">
        <f>IF(OR($E$31="N/A",AND(AU46=0,'Cover Sheet'!$B$29="Streamlined Review"),AND(E46="Met",F46&lt;&gt;""),AND(E46="Not met",G46&lt;&gt;""),AND(E46="Unsure",G46&lt;&gt;""),AND(E46="N/A",H46&lt;&gt;""),AND(Y46=TRUE)),1,0)</f>
        <v>0</v>
      </c>
      <c r="W46" s="56" t="b">
        <f>IF(AND('Cover Sheet'!$B$19="Non-Risk",$R46=1),TRUE,FALSE)</f>
        <v>0</v>
      </c>
      <c r="X46" s="126" t="b">
        <f t="shared" si="6"/>
        <v>0</v>
      </c>
      <c r="Y46" s="126" t="b">
        <f t="shared" si="24"/>
        <v>0</v>
      </c>
      <c r="Z46" s="126">
        <f t="shared" si="17"/>
        <v>1</v>
      </c>
      <c r="AA46" s="126">
        <f t="shared" si="18"/>
        <v>0</v>
      </c>
      <c r="AB46" s="126">
        <f t="shared" si="19"/>
        <v>0</v>
      </c>
      <c r="AC46" s="126">
        <f t="shared" si="20"/>
        <v>0</v>
      </c>
      <c r="AD46" s="126">
        <f t="shared" si="21"/>
        <v>0</v>
      </c>
      <c r="AE46" s="126">
        <f t="shared" si="22"/>
        <v>0</v>
      </c>
      <c r="AF46" s="74"/>
      <c r="AG46" s="74"/>
      <c r="AH46" s="74"/>
      <c r="AI46" s="86"/>
      <c r="AJ46" s="87"/>
      <c r="AK46" s="74"/>
      <c r="AM46" s="69" t="str">
        <f t="shared" si="23"/>
        <v/>
      </c>
      <c r="AU46" s="5">
        <v>0</v>
      </c>
    </row>
    <row r="47" spans="1:47" ht="67.5" customHeight="1" x14ac:dyDescent="0.25">
      <c r="A47" s="294" t="s">
        <v>2149</v>
      </c>
      <c r="B47" s="295" t="s">
        <v>2150</v>
      </c>
      <c r="C47" s="295" t="s">
        <v>2151</v>
      </c>
      <c r="D47" s="447">
        <v>8</v>
      </c>
      <c r="E47" s="297"/>
      <c r="F47" s="297"/>
      <c r="G47" s="297"/>
      <c r="H47" s="214"/>
      <c r="I47" s="92" t="s">
        <v>168</v>
      </c>
      <c r="J47" s="92" t="s">
        <v>178</v>
      </c>
      <c r="K47" s="92"/>
      <c r="L47" s="71"/>
      <c r="M47" s="71"/>
      <c r="N47" s="71"/>
      <c r="O47" s="71"/>
      <c r="P47" s="71" t="s">
        <v>380</v>
      </c>
      <c r="Q47" s="71" t="e">
        <f>IF(OR(AND($C$2="Base contract",$C$3="No, section requirements must be reviewed",#REF!= FALSE,#REF!=FALSE),AND($C$2="Contract amendment",$C$3="No, section requirements must be reviewed",#REF!=FALSE,#REF!=FALSE)),"MUNN")</f>
        <v>#REF!</v>
      </c>
      <c r="R47" s="71"/>
      <c r="S47" s="64"/>
      <c r="T47" s="64"/>
      <c r="U47" s="64"/>
      <c r="V47" s="97">
        <f>IF(OR($E$31="N/A",AND(AU47=0,'Cover Sheet'!$B$29="Streamlined Review"),AND(E47="Met",F47&lt;&gt;""),AND(E47="Not met",G47&lt;&gt;""),AND(E47="Unsure",G47&lt;&gt;""),AND(E47="N/A",H47&lt;&gt;""),AND(Y47=TRUE)),1,0)</f>
        <v>0</v>
      </c>
      <c r="W47" s="56" t="b">
        <f>IF(AND('Cover Sheet'!$B$19="Non-Risk",$R47=1),TRUE,FALSE)</f>
        <v>0</v>
      </c>
      <c r="X47" s="126" t="b">
        <f t="shared" si="6"/>
        <v>0</v>
      </c>
      <c r="Y47" s="126" t="b">
        <f t="shared" si="24"/>
        <v>0</v>
      </c>
      <c r="Z47" s="126">
        <f t="shared" si="17"/>
        <v>1</v>
      </c>
      <c r="AA47" s="126">
        <f t="shared" si="18"/>
        <v>0</v>
      </c>
      <c r="AB47" s="126">
        <f t="shared" si="19"/>
        <v>0</v>
      </c>
      <c r="AC47" s="126">
        <f t="shared" si="20"/>
        <v>0</v>
      </c>
      <c r="AD47" s="126">
        <f t="shared" si="21"/>
        <v>0</v>
      </c>
      <c r="AE47" s="126">
        <f t="shared" si="22"/>
        <v>0</v>
      </c>
      <c r="AF47" s="74"/>
      <c r="AG47" s="74"/>
      <c r="AH47" s="74"/>
      <c r="AI47" s="86"/>
      <c r="AJ47" s="87"/>
      <c r="AK47" s="74"/>
      <c r="AM47" s="69" t="str">
        <f t="shared" si="23"/>
        <v/>
      </c>
      <c r="AU47" s="5">
        <v>0</v>
      </c>
    </row>
    <row r="48" spans="1:47" ht="132" customHeight="1" x14ac:dyDescent="0.25">
      <c r="A48" s="294" t="s">
        <v>2152</v>
      </c>
      <c r="B48" s="295" t="s">
        <v>2153</v>
      </c>
      <c r="C48" s="295" t="s">
        <v>2154</v>
      </c>
      <c r="D48" s="447">
        <v>8</v>
      </c>
      <c r="E48" s="297"/>
      <c r="F48" s="297"/>
      <c r="G48" s="297"/>
      <c r="H48" s="214"/>
      <c r="I48" s="92" t="s">
        <v>168</v>
      </c>
      <c r="J48" s="92" t="s">
        <v>178</v>
      </c>
      <c r="K48" s="92"/>
      <c r="L48" s="71"/>
      <c r="M48" s="71"/>
      <c r="N48" s="71"/>
      <c r="O48" s="71"/>
      <c r="P48" s="71" t="s">
        <v>380</v>
      </c>
      <c r="Q48" s="71" t="e">
        <f>IF(OR(AND($C$2="Base contract",$C$3="No, section requirements must be reviewed",#REF!= FALSE,#REF!=FALSE),AND($C$2="Contract amendment",$C$3="No, section requirements must be reviewed",#REF!=FALSE,#REF!=FALSE)),"MUNN")</f>
        <v>#REF!</v>
      </c>
      <c r="R48" s="71"/>
      <c r="S48" s="64"/>
      <c r="T48" s="64"/>
      <c r="U48" s="64"/>
      <c r="V48" s="97">
        <f>IF(OR($E$31="N/A",AND(AU48=0,'Cover Sheet'!$B$29="Streamlined Review"),AND(E48="Met",F48&lt;&gt;""),AND(E48="Not met",G48&lt;&gt;""),AND(E48="Unsure",G48&lt;&gt;""),AND(E48="N/A",H48&lt;&gt;""),AND(Y48=TRUE)),1,0)</f>
        <v>0</v>
      </c>
      <c r="W48" s="56" t="b">
        <f>IF(AND('Cover Sheet'!$B$19="Non-Risk",$R48=1),TRUE,FALSE)</f>
        <v>0</v>
      </c>
      <c r="X48" s="126" t="b">
        <f t="shared" si="6"/>
        <v>0</v>
      </c>
      <c r="Y48" s="126" t="b">
        <f t="shared" si="24"/>
        <v>0</v>
      </c>
      <c r="Z48" s="126">
        <f t="shared" si="17"/>
        <v>1</v>
      </c>
      <c r="AA48" s="126">
        <f t="shared" si="18"/>
        <v>0</v>
      </c>
      <c r="AB48" s="126">
        <f t="shared" si="19"/>
        <v>0</v>
      </c>
      <c r="AC48" s="126">
        <f t="shared" si="20"/>
        <v>0</v>
      </c>
      <c r="AD48" s="126">
        <f t="shared" si="21"/>
        <v>0</v>
      </c>
      <c r="AE48" s="126">
        <f t="shared" si="22"/>
        <v>0</v>
      </c>
      <c r="AF48" s="74"/>
      <c r="AG48" s="74"/>
      <c r="AH48" s="74"/>
      <c r="AI48" s="86"/>
      <c r="AJ48" s="87"/>
      <c r="AK48" s="74"/>
      <c r="AM48" s="69" t="str">
        <f t="shared" si="23"/>
        <v/>
      </c>
      <c r="AU48" s="5">
        <v>0</v>
      </c>
    </row>
    <row r="49" spans="1:47" ht="72.75" customHeight="1" x14ac:dyDescent="0.25">
      <c r="A49" s="294" t="s">
        <v>2155</v>
      </c>
      <c r="B49" s="295" t="s">
        <v>2156</v>
      </c>
      <c r="C49" s="295" t="s">
        <v>2157</v>
      </c>
      <c r="D49" s="447">
        <v>8</v>
      </c>
      <c r="E49" s="297"/>
      <c r="F49" s="297"/>
      <c r="G49" s="297"/>
      <c r="H49" s="214"/>
      <c r="I49" s="92" t="s">
        <v>168</v>
      </c>
      <c r="J49" s="92" t="s">
        <v>178</v>
      </c>
      <c r="K49" s="92"/>
      <c r="L49" s="71"/>
      <c r="M49" s="71"/>
      <c r="N49" s="71"/>
      <c r="O49" s="71"/>
      <c r="P49" s="71" t="s">
        <v>380</v>
      </c>
      <c r="Q49" s="71" t="e">
        <f>IF(OR(AND($C$2="Base contract",$C$3="No, section requirements must be reviewed",#REF!= FALSE,#REF!=FALSE),AND($C$2="Contract amendment",$C$3="No, section requirements must be reviewed",#REF!=FALSE,#REF!=FALSE)),"MUNN")</f>
        <v>#REF!</v>
      </c>
      <c r="R49" s="71"/>
      <c r="S49" s="64"/>
      <c r="T49" s="64"/>
      <c r="U49" s="64"/>
      <c r="V49" s="97">
        <f>IF(OR($E$31="N/A",AND(AU49=0,'Cover Sheet'!$B$29="Streamlined Review"),AND(E49="Met",F49&lt;&gt;""),AND(E49="Not met",G49&lt;&gt;""),AND(E49="Unsure",G49&lt;&gt;""),AND(E49="N/A",H49&lt;&gt;""),AND(Y49=TRUE)),1,0)</f>
        <v>0</v>
      </c>
      <c r="W49" s="56" t="b">
        <f>IF(AND('Cover Sheet'!$B$19="Non-Risk",$R49=1),TRUE,FALSE)</f>
        <v>0</v>
      </c>
      <c r="X49" s="126" t="b">
        <f t="shared" si="6"/>
        <v>0</v>
      </c>
      <c r="Y49" s="126" t="b">
        <f t="shared" si="24"/>
        <v>0</v>
      </c>
      <c r="Z49" s="126">
        <f t="shared" si="17"/>
        <v>1</v>
      </c>
      <c r="AA49" s="126">
        <f t="shared" si="18"/>
        <v>0</v>
      </c>
      <c r="AB49" s="126">
        <f t="shared" si="19"/>
        <v>0</v>
      </c>
      <c r="AC49" s="126">
        <f t="shared" si="20"/>
        <v>0</v>
      </c>
      <c r="AD49" s="126">
        <f t="shared" si="21"/>
        <v>0</v>
      </c>
      <c r="AE49" s="126">
        <f t="shared" si="22"/>
        <v>0</v>
      </c>
      <c r="AF49" s="74"/>
      <c r="AG49" s="74"/>
      <c r="AH49" s="74"/>
      <c r="AI49" s="86"/>
      <c r="AJ49" s="87"/>
      <c r="AK49" s="74"/>
      <c r="AM49" s="69" t="str">
        <f t="shared" si="23"/>
        <v/>
      </c>
      <c r="AU49" s="5">
        <v>0</v>
      </c>
    </row>
    <row r="50" spans="1:47" ht="66.75" customHeight="1" thickBot="1" x14ac:dyDescent="0.3">
      <c r="A50" s="294" t="s">
        <v>2158</v>
      </c>
      <c r="B50" s="295" t="s">
        <v>2156</v>
      </c>
      <c r="C50" s="295" t="s">
        <v>2159</v>
      </c>
      <c r="D50" s="447">
        <v>8</v>
      </c>
      <c r="E50" s="297"/>
      <c r="F50" s="297"/>
      <c r="G50" s="297"/>
      <c r="H50" s="214"/>
      <c r="I50" s="92" t="s">
        <v>168</v>
      </c>
      <c r="J50" s="92" t="s">
        <v>178</v>
      </c>
      <c r="K50" s="92"/>
      <c r="L50" s="71"/>
      <c r="M50" s="71"/>
      <c r="N50" s="71"/>
      <c r="O50" s="71"/>
      <c r="P50" s="71" t="s">
        <v>380</v>
      </c>
      <c r="Q50" s="71" t="e">
        <f>IF(OR(AND($C$2="Base contract",$C$3="No, section requirements must be reviewed",#REF!= FALSE,#REF!=FALSE),AND($C$2="Contract amendment",$C$3="No, section requirements must be reviewed",#REF!=FALSE,#REF!=FALSE)),"MUNN")</f>
        <v>#REF!</v>
      </c>
      <c r="R50" s="71"/>
      <c r="S50" s="64"/>
      <c r="T50" s="64"/>
      <c r="U50" s="64"/>
      <c r="V50" s="97">
        <f>IF(OR($E$31="N/A",AND(AU50=0,'Cover Sheet'!$B$29="Streamlined Review"),AND(E50="Met",F50&lt;&gt;""),AND(E50="Not met",G50&lt;&gt;""),AND(E50="Unsure",G50&lt;&gt;""),AND(E50="N/A",H50&lt;&gt;""),AND(Y50=TRUE)),1,0)</f>
        <v>0</v>
      </c>
      <c r="W50" s="56" t="b">
        <f>IF(AND('Cover Sheet'!$B$19="Non-Risk",$R50=1),TRUE,FALSE)</f>
        <v>0</v>
      </c>
      <c r="X50" s="126" t="b">
        <f t="shared" si="6"/>
        <v>0</v>
      </c>
      <c r="Y50" s="126" t="b">
        <f t="shared" si="24"/>
        <v>0</v>
      </c>
      <c r="Z50" s="126">
        <f t="shared" si="17"/>
        <v>1</v>
      </c>
      <c r="AA50" s="126">
        <f t="shared" si="18"/>
        <v>0</v>
      </c>
      <c r="AB50" s="126">
        <f t="shared" si="19"/>
        <v>0</v>
      </c>
      <c r="AC50" s="126">
        <f t="shared" si="20"/>
        <v>0</v>
      </c>
      <c r="AD50" s="126">
        <f t="shared" si="21"/>
        <v>0</v>
      </c>
      <c r="AE50" s="126">
        <f t="shared" si="22"/>
        <v>0</v>
      </c>
      <c r="AF50" s="74"/>
      <c r="AG50" s="74"/>
      <c r="AH50" s="74"/>
      <c r="AI50" s="86"/>
      <c r="AJ50" s="87"/>
      <c r="AK50" s="74"/>
      <c r="AM50" s="69" t="str">
        <f t="shared" si="23"/>
        <v/>
      </c>
      <c r="AU50" s="5">
        <v>0</v>
      </c>
    </row>
    <row r="51" spans="1:47" ht="15.75" thickBot="1" x14ac:dyDescent="0.3">
      <c r="A51" s="450"/>
      <c r="B51" s="451"/>
      <c r="C51" s="452" t="s">
        <v>94</v>
      </c>
      <c r="D51" s="442"/>
      <c r="E51" s="443"/>
      <c r="F51" s="444"/>
      <c r="G51" s="444"/>
      <c r="H51" s="445"/>
      <c r="I51" s="74"/>
      <c r="J51" s="74"/>
      <c r="K51" s="74"/>
      <c r="L51" s="87"/>
      <c r="M51" s="87"/>
      <c r="S51" s="116"/>
      <c r="T51" s="116"/>
      <c r="U51" s="116"/>
      <c r="V51" s="126"/>
      <c r="W51" s="68"/>
      <c r="X51" s="68"/>
      <c r="Y51" s="68"/>
      <c r="Z51" s="68"/>
      <c r="AA51" s="68"/>
      <c r="AB51" s="68"/>
      <c r="AC51" s="68"/>
      <c r="AD51" s="68"/>
      <c r="AE51" s="68"/>
      <c r="AF51" s="74"/>
      <c r="AG51" s="74"/>
      <c r="AH51" s="74"/>
      <c r="AI51" s="86"/>
      <c r="AJ51" s="87"/>
      <c r="AK51" s="74"/>
      <c r="AU51" s="5"/>
    </row>
    <row r="52" spans="1:47" ht="71.25" customHeight="1" thickBot="1" x14ac:dyDescent="0.3">
      <c r="A52" s="294" t="s">
        <v>2160</v>
      </c>
      <c r="B52" s="295" t="s">
        <v>2161</v>
      </c>
      <c r="C52" s="295" t="s">
        <v>2162</v>
      </c>
      <c r="D52" s="446"/>
      <c r="E52" s="297"/>
      <c r="F52" s="297"/>
      <c r="G52" s="297"/>
      <c r="H52" s="214"/>
      <c r="I52" s="92" t="s">
        <v>168</v>
      </c>
      <c r="J52" s="92" t="s">
        <v>178</v>
      </c>
      <c r="K52" s="92"/>
      <c r="L52" s="71"/>
      <c r="M52" s="71"/>
      <c r="N52" s="71"/>
      <c r="O52" s="71"/>
      <c r="P52" s="71" t="s">
        <v>380</v>
      </c>
      <c r="Q52" s="71" t="e">
        <f>IF(OR(AND($C$2="Base contract",$C$3="No, section requirements must be reviewed",#REF!= FALSE,#REF!=FALSE),AND($C$2="Contract amendment",$C$3="No, section requirements must be reviewed",#REF!=FALSE,#REF!=FALSE)),"MUNN")</f>
        <v>#REF!</v>
      </c>
      <c r="R52" s="71"/>
      <c r="S52" s="64"/>
      <c r="T52" s="64"/>
      <c r="U52" s="64"/>
      <c r="V52" s="97">
        <f>IF(OR($E$51="N/A",AND(AU52=0,'Cover Sheet'!$B$29="Streamlined Review"),AND(E52="Met",F52&lt;&gt;""),AND(E52="Not met",G52&lt;&gt;""),AND(E52="Unsure",G52&lt;&gt;""),AND(E52="N/A",H52&lt;&gt;""),AND(Y52=TRUE)),1,0)</f>
        <v>0</v>
      </c>
      <c r="W52" s="56" t="b">
        <f>IF(AND('Cover Sheet'!$B$19="Non-Risk",$R52=1),TRUE,FALSE)</f>
        <v>0</v>
      </c>
      <c r="X52" s="126" t="b">
        <f t="shared" si="6"/>
        <v>0</v>
      </c>
      <c r="Y52" s="126" t="b">
        <f>IF(SUM(Z52:AE52)&lt;1,TRUE,FALSE)</f>
        <v>0</v>
      </c>
      <c r="Z52" s="126">
        <f>IF($Z$2=I52,1,0)</f>
        <v>1</v>
      </c>
      <c r="AA52" s="126">
        <f>IF($AA$2=J52,1,0)</f>
        <v>0</v>
      </c>
      <c r="AB52" s="126">
        <f>IF($AB$2=K52,1,0)</f>
        <v>0</v>
      </c>
      <c r="AC52" s="126">
        <f>IF($AC$2=L52,1,0)</f>
        <v>0</v>
      </c>
      <c r="AD52" s="126">
        <f>IF($AD$2=M52,1,0)</f>
        <v>0</v>
      </c>
      <c r="AE52" s="126">
        <f>IF($AE$2=O52,1,0)</f>
        <v>0</v>
      </c>
      <c r="AF52" s="74"/>
      <c r="AG52" s="74"/>
      <c r="AH52" s="74"/>
      <c r="AI52" s="86"/>
      <c r="AJ52" s="87"/>
      <c r="AK52" s="74"/>
      <c r="AM52" s="69" t="str">
        <f>IF(AL52=1,1,"")</f>
        <v/>
      </c>
      <c r="AU52" s="5">
        <v>0</v>
      </c>
    </row>
    <row r="53" spans="1:47" ht="15.75" thickBot="1" x14ac:dyDescent="0.3">
      <c r="A53" s="450"/>
      <c r="B53" s="451"/>
      <c r="C53" s="452" t="s">
        <v>95</v>
      </c>
      <c r="D53" s="442"/>
      <c r="E53" s="443"/>
      <c r="F53" s="444"/>
      <c r="G53" s="444"/>
      <c r="H53" s="445"/>
      <c r="I53" s="74"/>
      <c r="J53" s="74"/>
      <c r="K53" s="74"/>
      <c r="L53" s="87"/>
      <c r="M53" s="87"/>
      <c r="S53" s="116"/>
      <c r="T53" s="116"/>
      <c r="U53" s="116"/>
      <c r="V53" s="126"/>
      <c r="W53" s="68"/>
      <c r="X53" s="68"/>
      <c r="Y53" s="68"/>
      <c r="Z53" s="68"/>
      <c r="AA53" s="68"/>
      <c r="AB53" s="68"/>
      <c r="AC53" s="68"/>
      <c r="AD53" s="68"/>
      <c r="AE53" s="68"/>
      <c r="AF53" s="74"/>
      <c r="AG53" s="74"/>
      <c r="AH53" s="74"/>
      <c r="AI53" s="86"/>
      <c r="AJ53" s="87"/>
      <c r="AK53" s="74"/>
      <c r="AU53" s="5"/>
    </row>
    <row r="54" spans="1:47" ht="45.75" customHeight="1" x14ac:dyDescent="0.25">
      <c r="A54" s="294" t="s">
        <v>2163</v>
      </c>
      <c r="B54" s="295" t="s">
        <v>2164</v>
      </c>
      <c r="C54" s="295" t="s">
        <v>2165</v>
      </c>
      <c r="D54" s="473"/>
      <c r="E54" s="297"/>
      <c r="F54" s="313"/>
      <c r="G54" s="313"/>
      <c r="H54" s="314"/>
      <c r="I54" s="92" t="s">
        <v>168</v>
      </c>
      <c r="J54" s="92" t="s">
        <v>178</v>
      </c>
      <c r="K54" s="92" t="s">
        <v>185</v>
      </c>
      <c r="L54" s="71" t="s">
        <v>190</v>
      </c>
      <c r="M54" s="71" t="s">
        <v>195</v>
      </c>
      <c r="N54" s="71"/>
      <c r="O54" s="71"/>
      <c r="P54" s="71" t="s">
        <v>380</v>
      </c>
      <c r="Q54" s="71" t="e">
        <f>IF(OR(AND($C$2="Base contract",$C$3="No, section requirements must be reviewed",#REF!= FALSE,#REF!=FALSE),AND($C$2="Contract amendment",$C$3="No, section requirements must be reviewed",#REF!=FALSE,#REF!=FALSE)),"MUNN")</f>
        <v>#REF!</v>
      </c>
      <c r="R54" s="71"/>
      <c r="S54" s="64"/>
      <c r="T54" s="64"/>
      <c r="U54" s="64"/>
      <c r="V54" s="97">
        <f>IF(OR($E$53="N/A",AND(AU54=0,'Cover Sheet'!$B$29="Streamlined Review"),AND(E54="Met",F54&lt;&gt;""),AND(E54="Not met",G54&lt;&gt;""),AND(E54="Unsure",G54&lt;&gt;""),AND(E54="N/A",H54&lt;&gt;""),AND(Y54=TRUE)),1,0)</f>
        <v>0</v>
      </c>
      <c r="W54" s="56" t="b">
        <f>IF(AND('Cover Sheet'!$B$19="Non-Risk",$R54=1),TRUE,FALSE)</f>
        <v>0</v>
      </c>
      <c r="X54" s="126" t="b">
        <f t="shared" si="6"/>
        <v>0</v>
      </c>
      <c r="Y54" s="126" t="b">
        <f t="shared" ref="Y54:Y59" si="25">IF(SUM(Z54:AE54)&lt;1,TRUE,FALSE)</f>
        <v>0</v>
      </c>
      <c r="Z54" s="126">
        <f t="shared" ref="Z54:Z59" si="26">IF($Z$2=I54,1,0)</f>
        <v>1</v>
      </c>
      <c r="AA54" s="126">
        <f t="shared" ref="AA54:AA59" si="27">IF($AA$2=J54,1,0)</f>
        <v>0</v>
      </c>
      <c r="AB54" s="126">
        <f t="shared" ref="AB54:AB59" si="28">IF($AB$2=K54,1,0)</f>
        <v>0</v>
      </c>
      <c r="AC54" s="126">
        <f t="shared" ref="AC54:AC59" si="29">IF($AC$2=L54,1,0)</f>
        <v>0</v>
      </c>
      <c r="AD54" s="126">
        <f t="shared" ref="AD54:AD59" si="30">IF($AD$2=M54,1,0)</f>
        <v>0</v>
      </c>
      <c r="AE54" s="126">
        <f t="shared" ref="AE54:AE59" si="31">IF($AE$2=O54,1,0)</f>
        <v>0</v>
      </c>
      <c r="AF54" s="74"/>
      <c r="AG54" s="74"/>
      <c r="AH54" s="74"/>
      <c r="AI54" s="86"/>
      <c r="AJ54" s="87"/>
      <c r="AK54" s="74"/>
      <c r="AM54" s="69" t="str">
        <f t="shared" ref="AM54:AM59" si="32">IF(AL54=1,1,"")</f>
        <v/>
      </c>
      <c r="AU54" s="5">
        <v>0</v>
      </c>
    </row>
    <row r="55" spans="1:47" ht="45" customHeight="1" x14ac:dyDescent="0.25">
      <c r="A55" s="294" t="s">
        <v>2166</v>
      </c>
      <c r="B55" s="295" t="s">
        <v>2167</v>
      </c>
      <c r="C55" s="295" t="s">
        <v>2168</v>
      </c>
      <c r="D55" s="446"/>
      <c r="E55" s="297"/>
      <c r="F55" s="297"/>
      <c r="G55" s="297"/>
      <c r="H55" s="214"/>
      <c r="I55" s="92" t="s">
        <v>168</v>
      </c>
      <c r="J55" s="92" t="s">
        <v>178</v>
      </c>
      <c r="K55" s="92" t="s">
        <v>185</v>
      </c>
      <c r="L55" s="71" t="s">
        <v>190</v>
      </c>
      <c r="M55" s="71" t="s">
        <v>195</v>
      </c>
      <c r="N55" s="71"/>
      <c r="O55" s="71"/>
      <c r="P55" s="71" t="s">
        <v>380</v>
      </c>
      <c r="Q55" s="71" t="e">
        <f>IF(OR(AND($C$2="Base contract",$C$3="No, section requirements must be reviewed",#REF!= FALSE,#REF!=FALSE),AND($C$2="Contract amendment",$C$3="No, section requirements must be reviewed",#REF!=FALSE,#REF!=FALSE)),"MUNN")</f>
        <v>#REF!</v>
      </c>
      <c r="R55" s="71"/>
      <c r="S55" s="64"/>
      <c r="T55" s="64"/>
      <c r="U55" s="64"/>
      <c r="V55" s="97">
        <f>IF(OR($E$53="N/A",AND(AU55=0,'Cover Sheet'!$B$29="Streamlined Review"),AND(E55="Met",F55&lt;&gt;""),AND(E55="Not met",G55&lt;&gt;""),AND(E55="Unsure",G55&lt;&gt;""),AND(E55="N/A",H55&lt;&gt;""),AND(Y55=TRUE)),1,0)</f>
        <v>0</v>
      </c>
      <c r="W55" s="56" t="b">
        <f>IF(AND('Cover Sheet'!$B$19="Non-Risk",$R55=1),TRUE,FALSE)</f>
        <v>0</v>
      </c>
      <c r="X55" s="126" t="b">
        <f t="shared" si="6"/>
        <v>0</v>
      </c>
      <c r="Y55" s="126" t="b">
        <f t="shared" si="25"/>
        <v>0</v>
      </c>
      <c r="Z55" s="126">
        <f t="shared" si="26"/>
        <v>1</v>
      </c>
      <c r="AA55" s="126">
        <f t="shared" si="27"/>
        <v>0</v>
      </c>
      <c r="AB55" s="126">
        <f t="shared" si="28"/>
        <v>0</v>
      </c>
      <c r="AC55" s="126">
        <f t="shared" si="29"/>
        <v>0</v>
      </c>
      <c r="AD55" s="126">
        <f t="shared" si="30"/>
        <v>0</v>
      </c>
      <c r="AE55" s="126">
        <f t="shared" si="31"/>
        <v>0</v>
      </c>
      <c r="AF55" s="74"/>
      <c r="AG55" s="74"/>
      <c r="AH55" s="74"/>
      <c r="AI55" s="86"/>
      <c r="AJ55" s="87"/>
      <c r="AK55" s="74"/>
      <c r="AM55" s="69" t="str">
        <f t="shared" si="32"/>
        <v/>
      </c>
      <c r="AU55" s="5">
        <v>0</v>
      </c>
    </row>
    <row r="56" spans="1:47" ht="70.5" customHeight="1" x14ac:dyDescent="0.25">
      <c r="A56" s="294" t="s">
        <v>2169</v>
      </c>
      <c r="B56" s="295" t="s">
        <v>2170</v>
      </c>
      <c r="C56" s="295" t="s">
        <v>2171</v>
      </c>
      <c r="D56" s="446"/>
      <c r="E56" s="297"/>
      <c r="F56" s="297"/>
      <c r="G56" s="297"/>
      <c r="H56" s="214"/>
      <c r="I56" s="92" t="s">
        <v>168</v>
      </c>
      <c r="J56" s="92" t="s">
        <v>178</v>
      </c>
      <c r="K56" s="92" t="s">
        <v>185</v>
      </c>
      <c r="L56" s="71" t="s">
        <v>190</v>
      </c>
      <c r="M56" s="71" t="s">
        <v>195</v>
      </c>
      <c r="N56" s="71"/>
      <c r="O56" s="71"/>
      <c r="P56" s="71" t="s">
        <v>380</v>
      </c>
      <c r="Q56" s="71" t="e">
        <f>IF(OR(AND($C$2="Base contract",$C$3="No, section requirements must be reviewed",#REF!= FALSE,#REF!=FALSE),AND($C$2="Contract amendment",$C$3="No, section requirements must be reviewed",#REF!=FALSE,#REF!=FALSE)),"MUNN")</f>
        <v>#REF!</v>
      </c>
      <c r="R56" s="71"/>
      <c r="S56" s="64"/>
      <c r="T56" s="64"/>
      <c r="U56" s="64"/>
      <c r="V56" s="97">
        <f>IF(OR($E$53="N/A",AND(AU56=0,'Cover Sheet'!$B$29="Streamlined Review"),AND(E56="Met",F56&lt;&gt;""),AND(E56="Not met",G56&lt;&gt;""),AND(E56="Unsure",G56&lt;&gt;""),AND(E56="N/A",H56&lt;&gt;""),AND(Y56=TRUE)),1,0)</f>
        <v>0</v>
      </c>
      <c r="W56" s="56" t="b">
        <f>IF(AND('Cover Sheet'!$B$19="Non-Risk",$R56=1),TRUE,FALSE)</f>
        <v>0</v>
      </c>
      <c r="X56" s="126" t="b">
        <f t="shared" si="6"/>
        <v>0</v>
      </c>
      <c r="Y56" s="126" t="b">
        <f t="shared" si="25"/>
        <v>0</v>
      </c>
      <c r="Z56" s="126">
        <f t="shared" si="26"/>
        <v>1</v>
      </c>
      <c r="AA56" s="126">
        <f t="shared" si="27"/>
        <v>0</v>
      </c>
      <c r="AB56" s="126">
        <f t="shared" si="28"/>
        <v>0</v>
      </c>
      <c r="AC56" s="126">
        <f t="shared" si="29"/>
        <v>0</v>
      </c>
      <c r="AD56" s="126">
        <f t="shared" si="30"/>
        <v>0</v>
      </c>
      <c r="AE56" s="126">
        <f t="shared" si="31"/>
        <v>0</v>
      </c>
      <c r="AF56" s="74"/>
      <c r="AG56" s="74"/>
      <c r="AH56" s="74"/>
      <c r="AI56" s="86"/>
      <c r="AJ56" s="87"/>
      <c r="AK56" s="74"/>
      <c r="AM56" s="69" t="str">
        <f t="shared" si="32"/>
        <v/>
      </c>
      <c r="AU56" s="5">
        <v>0</v>
      </c>
    </row>
    <row r="57" spans="1:47" ht="69" customHeight="1" x14ac:dyDescent="0.25">
      <c r="A57" s="294" t="s">
        <v>2172</v>
      </c>
      <c r="B57" s="295" t="s">
        <v>2173</v>
      </c>
      <c r="C57" s="295" t="s">
        <v>2174</v>
      </c>
      <c r="D57" s="446"/>
      <c r="E57" s="297"/>
      <c r="F57" s="297"/>
      <c r="G57" s="297"/>
      <c r="H57" s="214"/>
      <c r="I57" s="92" t="s">
        <v>168</v>
      </c>
      <c r="J57" s="92" t="s">
        <v>178</v>
      </c>
      <c r="K57" s="92" t="s">
        <v>185</v>
      </c>
      <c r="L57" s="71" t="s">
        <v>190</v>
      </c>
      <c r="M57" s="71" t="s">
        <v>195</v>
      </c>
      <c r="N57" s="71"/>
      <c r="O57" s="71"/>
      <c r="P57" s="71" t="s">
        <v>380</v>
      </c>
      <c r="Q57" s="71" t="e">
        <f>IF(OR(AND($C$2="Base contract",$C$3="No, section requirements must be reviewed",#REF!= FALSE,#REF!=FALSE),AND($C$2="Contract amendment",$C$3="No, section requirements must be reviewed",#REF!=FALSE,#REF!=FALSE)),"MUNN")</f>
        <v>#REF!</v>
      </c>
      <c r="R57" s="71"/>
      <c r="S57" s="64"/>
      <c r="T57" s="64"/>
      <c r="U57" s="64"/>
      <c r="V57" s="97">
        <f>IF(OR($E$53="N/A",AND(AU57=0,'Cover Sheet'!$B$29="Streamlined Review"),AND(E57="Met",F57&lt;&gt;""),AND(E57="Not met",G57&lt;&gt;""),AND(E57="Unsure",G57&lt;&gt;""),AND(E57="N/A",H57&lt;&gt;""),AND(Y57=TRUE)),1,0)</f>
        <v>0</v>
      </c>
      <c r="W57" s="56" t="b">
        <f>IF(AND('Cover Sheet'!$B$19="Non-Risk",$R57=1),TRUE,FALSE)</f>
        <v>0</v>
      </c>
      <c r="X57" s="126" t="b">
        <f t="shared" si="6"/>
        <v>0</v>
      </c>
      <c r="Y57" s="126" t="b">
        <f t="shared" si="25"/>
        <v>0</v>
      </c>
      <c r="Z57" s="126">
        <f t="shared" si="26"/>
        <v>1</v>
      </c>
      <c r="AA57" s="126">
        <f t="shared" si="27"/>
        <v>0</v>
      </c>
      <c r="AB57" s="126">
        <f t="shared" si="28"/>
        <v>0</v>
      </c>
      <c r="AC57" s="126">
        <f t="shared" si="29"/>
        <v>0</v>
      </c>
      <c r="AD57" s="126">
        <f t="shared" si="30"/>
        <v>0</v>
      </c>
      <c r="AE57" s="126">
        <f t="shared" si="31"/>
        <v>0</v>
      </c>
      <c r="AF57" s="74"/>
      <c r="AG57" s="74"/>
      <c r="AH57" s="74"/>
      <c r="AI57" s="86"/>
      <c r="AJ57" s="87"/>
      <c r="AK57" s="74"/>
      <c r="AM57" s="69" t="str">
        <f t="shared" si="32"/>
        <v/>
      </c>
      <c r="AU57" s="5">
        <v>0</v>
      </c>
    </row>
    <row r="58" spans="1:47" ht="45.75" customHeight="1" x14ac:dyDescent="0.25">
      <c r="A58" s="294" t="s">
        <v>2175</v>
      </c>
      <c r="B58" s="295" t="s">
        <v>2176</v>
      </c>
      <c r="C58" s="295" t="s">
        <v>2177</v>
      </c>
      <c r="D58" s="446"/>
      <c r="E58" s="297"/>
      <c r="F58" s="297"/>
      <c r="G58" s="297"/>
      <c r="H58" s="214"/>
      <c r="I58" s="92" t="s">
        <v>168</v>
      </c>
      <c r="J58" s="92" t="s">
        <v>178</v>
      </c>
      <c r="K58" s="92" t="s">
        <v>185</v>
      </c>
      <c r="L58" s="71" t="s">
        <v>190</v>
      </c>
      <c r="M58" s="71"/>
      <c r="N58" s="71"/>
      <c r="O58" s="71"/>
      <c r="P58" s="71" t="s">
        <v>380</v>
      </c>
      <c r="Q58" s="71" t="e">
        <f>IF(OR(AND($C$2="Base contract",$C$3="No, section requirements must be reviewed",#REF!= FALSE,#REF!=FALSE),AND($C$2="Contract amendment",$C$3="No, section requirements must be reviewed",#REF!=FALSE,#REF!=FALSE)),"MUNN")</f>
        <v>#REF!</v>
      </c>
      <c r="R58" s="71"/>
      <c r="S58" s="64"/>
      <c r="T58" s="64"/>
      <c r="U58" s="64"/>
      <c r="V58" s="97">
        <f>IF(OR($E$53="N/A",AND(AU58=0,'Cover Sheet'!$B$29="Streamlined Review"),AND(E58="Met",F58&lt;&gt;""),AND(E58="Not met",G58&lt;&gt;""),AND(E58="Unsure",G58&lt;&gt;""),AND(E58="N/A",H58&lt;&gt;""),AND(Y58=TRUE)),1,0)</f>
        <v>0</v>
      </c>
      <c r="W58" s="56" t="b">
        <f>IF(AND('Cover Sheet'!$B$19="Non-Risk",$R58=1),TRUE,FALSE)</f>
        <v>0</v>
      </c>
      <c r="X58" s="126" t="b">
        <f t="shared" si="6"/>
        <v>0</v>
      </c>
      <c r="Y58" s="126" t="b">
        <f t="shared" si="25"/>
        <v>0</v>
      </c>
      <c r="Z58" s="126">
        <f t="shared" si="26"/>
        <v>1</v>
      </c>
      <c r="AA58" s="126">
        <f t="shared" si="27"/>
        <v>0</v>
      </c>
      <c r="AB58" s="126">
        <f t="shared" si="28"/>
        <v>0</v>
      </c>
      <c r="AC58" s="126">
        <f t="shared" si="29"/>
        <v>0</v>
      </c>
      <c r="AD58" s="126">
        <f t="shared" si="30"/>
        <v>0</v>
      </c>
      <c r="AE58" s="126">
        <f t="shared" si="31"/>
        <v>0</v>
      </c>
      <c r="AF58" s="74"/>
      <c r="AG58" s="74"/>
      <c r="AH58" s="74"/>
      <c r="AI58" s="86"/>
      <c r="AJ58" s="87"/>
      <c r="AK58" s="74"/>
      <c r="AL58" s="69">
        <v>1</v>
      </c>
      <c r="AM58" s="69">
        <f t="shared" si="32"/>
        <v>1</v>
      </c>
      <c r="AU58" s="5">
        <v>0</v>
      </c>
    </row>
    <row r="59" spans="1:47" ht="47.25" customHeight="1" x14ac:dyDescent="0.25">
      <c r="A59" s="294" t="s">
        <v>2178</v>
      </c>
      <c r="B59" s="295" t="s">
        <v>2179</v>
      </c>
      <c r="C59" s="295" t="s">
        <v>2180</v>
      </c>
      <c r="D59" s="447">
        <v>10</v>
      </c>
      <c r="E59" s="297"/>
      <c r="F59" s="297"/>
      <c r="G59" s="297"/>
      <c r="H59" s="214"/>
      <c r="I59" s="92" t="s">
        <v>168</v>
      </c>
      <c r="J59" s="92" t="s">
        <v>178</v>
      </c>
      <c r="K59" s="92" t="s">
        <v>185</v>
      </c>
      <c r="L59" s="71"/>
      <c r="M59" s="71"/>
      <c r="N59" s="71"/>
      <c r="O59" s="71"/>
      <c r="P59" s="71" t="s">
        <v>380</v>
      </c>
      <c r="Q59" s="71" t="e">
        <f>IF(OR(AND($C$2="Base contract",$C$3="No, section requirements must be reviewed",#REF!= FALSE,#REF!=FALSE),AND($C$2="Contract amendment",$C$3="No, section requirements must be reviewed",#REF!=FALSE,#REF!=FALSE)),"MUNN")</f>
        <v>#REF!</v>
      </c>
      <c r="R59" s="71"/>
      <c r="S59" s="64"/>
      <c r="T59" s="64"/>
      <c r="U59" s="64"/>
      <c r="V59" s="97">
        <f>IF(OR($E$53="N/A",AND(AU59=0,'Cover Sheet'!$B$29="Streamlined Review"),AND(E59="Met",F59&lt;&gt;""),AND(E59="Not met",G59&lt;&gt;""),AND(E59="Unsure",G59&lt;&gt;""),AND(E59="N/A",H59&lt;&gt;""),AND(Y59=TRUE)),1,0)</f>
        <v>0</v>
      </c>
      <c r="W59" s="56" t="b">
        <f>IF(AND('Cover Sheet'!$B$19="Non-Risk",$R59=1),TRUE,FALSE)</f>
        <v>0</v>
      </c>
      <c r="X59" s="126" t="b">
        <f t="shared" si="6"/>
        <v>0</v>
      </c>
      <c r="Y59" s="126" t="b">
        <f t="shared" si="25"/>
        <v>0</v>
      </c>
      <c r="Z59" s="126">
        <f t="shared" si="26"/>
        <v>1</v>
      </c>
      <c r="AA59" s="126">
        <f t="shared" si="27"/>
        <v>0</v>
      </c>
      <c r="AB59" s="126">
        <f t="shared" si="28"/>
        <v>0</v>
      </c>
      <c r="AC59" s="126">
        <f t="shared" si="29"/>
        <v>0</v>
      </c>
      <c r="AD59" s="126">
        <f t="shared" si="30"/>
        <v>0</v>
      </c>
      <c r="AE59" s="126">
        <f t="shared" si="31"/>
        <v>0</v>
      </c>
      <c r="AF59" s="74"/>
      <c r="AG59" s="74"/>
      <c r="AH59" s="74"/>
      <c r="AI59" s="86"/>
      <c r="AJ59" s="87"/>
      <c r="AK59" s="74"/>
      <c r="AL59" s="69">
        <v>1</v>
      </c>
      <c r="AM59" s="69">
        <f t="shared" si="32"/>
        <v>1</v>
      </c>
      <c r="AU59" s="5">
        <v>0</v>
      </c>
    </row>
    <row r="60" spans="1:47" ht="15.75" hidden="1" customHeight="1" x14ac:dyDescent="0.25">
      <c r="A60" s="357"/>
      <c r="B60" s="358"/>
      <c r="C60" s="359" t="s">
        <v>2181</v>
      </c>
      <c r="D60" s="360"/>
      <c r="E60" s="361"/>
      <c r="F60" s="361"/>
      <c r="G60" s="361"/>
      <c r="H60" s="362"/>
      <c r="AF60" s="74"/>
      <c r="AG60" s="74"/>
      <c r="AH60" s="74"/>
      <c r="AI60" s="86"/>
      <c r="AJ60" s="87"/>
      <c r="AK60" s="74"/>
    </row>
    <row r="61" spans="1:47" ht="51.75" hidden="1" customHeight="1" x14ac:dyDescent="0.25">
      <c r="A61" s="298" t="s">
        <v>2182</v>
      </c>
      <c r="B61" s="299" t="s">
        <v>2183</v>
      </c>
      <c r="C61" s="299" t="str">
        <f>IF($AG$2=1,IF(AG61=1, AF61&amp;"  [If there is no additional information related to the CHIP contract, this information only needs to be entered in Section "&amp;AH61&amp;".]",AF61),AF61)</f>
        <v>The contract requires that the state, CMS, the OIG, the Comptroller General, and their designees be allowed to inspect and audit any records or documents of the MCP at any time.  [If there is no additional information related to the CHIP contract, this information only needs to be entered in Section I.J.1.01 .]</v>
      </c>
      <c r="D61" s="363"/>
      <c r="E61" s="364" t="s">
        <v>311</v>
      </c>
      <c r="F61" s="364" t="s">
        <v>319</v>
      </c>
      <c r="G61" s="364" t="s">
        <v>319</v>
      </c>
      <c r="H61" s="365" t="s">
        <v>319</v>
      </c>
      <c r="I61" s="78" t="s">
        <v>168</v>
      </c>
      <c r="J61" s="78"/>
      <c r="K61" s="78" t="s">
        <v>185</v>
      </c>
      <c r="L61" s="77" t="s">
        <v>190</v>
      </c>
      <c r="M61" s="77"/>
      <c r="N61" s="77"/>
      <c r="O61" s="77"/>
      <c r="P61" s="71" t="s">
        <v>380</v>
      </c>
      <c r="Q61" s="71" t="e">
        <f>IF(OR(AND($C$2="Base contract",$C$3="No, section requirements must be reviewed",#REF!= FALSE,#REF!=FALSE),AND($C$2="Contract amendment",$C$3="No, section requirements must be reviewed",#REF!=FALSE,#REF!=FALSE)),"MUNN")</f>
        <v>#REF!</v>
      </c>
      <c r="R61" s="71"/>
      <c r="S61" s="64">
        <v>43282</v>
      </c>
      <c r="T61" s="64"/>
      <c r="U61" s="64"/>
      <c r="V61" s="97" t="e">
        <f>IF(OR(AND(AG61=1,#REF!="TRUE",AT61=1),#REF!=TRUE,#REF!=TRUE),1,IF(AND(OR(AND(AG61=1,#REF!="FALSE"),AND(AG61&lt;&gt;1,#REF!="FALSE")),OR(AND(E61="Yes",F61&lt;&gt;""),AND(E61="N/A",H61&lt;&gt;""),AND(E61="Met",F61&lt;&gt;""),AND(E61="Not met",G61&lt;&gt;""),AND(E61="Unsure",G61&lt;&gt;""),AND(E61="No",G61&lt;&gt;""),AND(E61="No, submission is in draft",G61&lt;&gt;""))),1,0))</f>
        <v>#REF!</v>
      </c>
      <c r="W61" s="56" t="b">
        <f>IF(AND('Cover Sheet'!$B$19="Non-Risk",$R61=1),TRUE,FALSE)</f>
        <v>0</v>
      </c>
      <c r="X61" s="56"/>
      <c r="Y61" s="56"/>
      <c r="Z61" s="56"/>
      <c r="AA61" s="56"/>
      <c r="AB61" s="56"/>
      <c r="AC61" s="56"/>
      <c r="AD61" s="56"/>
      <c r="AE61" s="56"/>
      <c r="AF61" s="44" t="s">
        <v>2052</v>
      </c>
      <c r="AG61" s="98">
        <v>1</v>
      </c>
      <c r="AH61" s="75" t="str">
        <f>A9</f>
        <v xml:space="preserve">I.J.1.01 </v>
      </c>
      <c r="AI61" s="44" t="str">
        <f>C9</f>
        <v>The contract requires that the state, CMS, the OIG, the Comptroller General, and their designees be allowed to inspect and audit any records or documents of the MCP at any time.</v>
      </c>
      <c r="AJ61" s="57" t="b">
        <f>IF(AG61=1,AI61=AF61,"")</f>
        <v>1</v>
      </c>
      <c r="AK61" s="57">
        <f>IF($AG$2=1, IF(AG61=1,1,0),0)</f>
        <v>1</v>
      </c>
      <c r="AM61" s="69" t="str">
        <f t="shared" ref="AM61:AM68" si="33">IF(AL61=1,1,"")</f>
        <v/>
      </c>
      <c r="AN61" s="69" t="e">
        <f>IF(E9 &lt;&gt;0, E9, IF(OR(#REF!=TRUE,#REF!= TRUE),"N/A", 0))</f>
        <v>#REF!</v>
      </c>
      <c r="AO61" s="69" t="e">
        <f>IF(F9 &lt;&gt;0, F9, IF(OR(#REF!=TRUE,#REF!= TRUE),"N/A", 0))</f>
        <v>#REF!</v>
      </c>
      <c r="AP61" s="69" t="e">
        <f>IF(G9 &lt;&gt;0, G9, IF(OR(#REF!=TRUE,#REF!= TRUE),"N/A", 0))</f>
        <v>#REF!</v>
      </c>
      <c r="AQ61" s="69" t="e">
        <f>IF(H9 &lt;&gt;0, H9, IF(OR(#REF!=TRUE,#REF!= TRUE),"N/A", 0))</f>
        <v>#REF!</v>
      </c>
      <c r="AR61" s="69" t="e">
        <f>IF(OR(AND($H$6="Both",OR(AND(AG61=0,OR(NOT(ISBLANK(E61)),NOT(ISBLANK(F61)),NOT(ISBLANK(G61)),NOT(ISBLANK(H61)))),AND(AG61=1,#REF!="TRUE",OR(AN61&lt;&gt;0,AO61&lt;&gt;0,AP61&lt;&gt;0,AQ61&lt;&gt;0)),AND(AG61=1,#REF!="FALSE",OR(NOT(ISBLANK(E61)),NOT(ISBLANK(F61)),NOT(ISBLANK(G61)),NOT(ISBLANK(H61)))))),AND($H$6="CHIP",OR(NOT(ISBLANK(E61)),NOT(ISBLANK(F61)),NOT(ISBLANK(G61)),NOT(ISBLANK(H61)))),V61=1),1,0)</f>
        <v>#REF!</v>
      </c>
      <c r="AS61" s="69" t="e">
        <f>IF(AND(OR(OR(#REF!=TRUE,#REF!=TRUE),AND($H$6="Both",OR(AND(AG61=1,#REF!="TRUE",AT61=1,OR(AN61="Yes",AN61="N/A",AN61="Met")),AND(#REF!="FALSE",OR(AND(E61="Yes",NOT(ISBLANK(F61))),AND(E61="N/A",NOT(ISBLANK(H61))),AND(E61="Met",NOT(ISBLANK(F61))))))),AND($H$6="CHIP",OR(AND(E61="Yes",NOT(ISBLANK(F61))),AND(E61="N/A",NOT(ISBLANK(H61))),AND(E61="Met",NOT(ISBLANK(F61)))))),V61=1),1,0)</f>
        <v>#REF!</v>
      </c>
      <c r="AT61" s="69" t="e">
        <f>IF(OR(AND(AN61="Yes",AO61&lt;&gt;0),AND(AN61="N/A",AQ61&lt;&gt;0),AND(AN61="Met",AO61&lt;&gt;0),AND(AN61="Not met",AP61&lt;&gt;0),AND(AN61="Unsure",AP61&lt;&gt;0),AND(AN61="No",AP61&lt;&gt;0),AND(AN61="No, submission is in draft",AP61&lt;&gt;0)),1,0)</f>
        <v>#REF!</v>
      </c>
    </row>
    <row r="62" spans="1:47" ht="51.75" hidden="1" customHeight="1" x14ac:dyDescent="0.25">
      <c r="A62" s="294" t="s">
        <v>2182</v>
      </c>
      <c r="B62" s="295" t="s">
        <v>2183</v>
      </c>
      <c r="C62" s="295" t="e">
        <f>IF($AG$2=1,IF(AG62=1, AF62&amp;"  [If there is no additional information related to the CHIP contract, this information only needs to be entered in Section "&amp;AH62&amp;".]",AF62),AF62)</f>
        <v>#REF!</v>
      </c>
      <c r="D62" s="366"/>
      <c r="E62" s="295" t="s">
        <v>311</v>
      </c>
      <c r="F62" s="295" t="s">
        <v>319</v>
      </c>
      <c r="G62" s="295" t="s">
        <v>319</v>
      </c>
      <c r="H62" s="367" t="s">
        <v>319</v>
      </c>
      <c r="I62" s="78"/>
      <c r="J62" s="78"/>
      <c r="K62" s="78"/>
      <c r="L62" s="77"/>
      <c r="M62" s="77" t="s">
        <v>195</v>
      </c>
      <c r="N62" s="77"/>
      <c r="O62" s="77"/>
      <c r="P62" s="71" t="s">
        <v>380</v>
      </c>
      <c r="Q62" s="71" t="e">
        <f>IF(OR(AND($C$2="Base contract",$C$3="No, section requirements must be reviewed",#REF!= FALSE,#REF!=FALSE),AND($C$2="Contract amendment",$C$3="No, section requirements must be reviewed",#REF!=FALSE,#REF!=FALSE)),"MUNN")</f>
        <v>#REF!</v>
      </c>
      <c r="R62" s="71"/>
      <c r="S62" s="64">
        <v>43282</v>
      </c>
      <c r="T62" s="64"/>
      <c r="U62" s="64"/>
      <c r="V62" s="97" t="e">
        <f>IF(OR(AND(AG62=1,#REF!="TRUE",AT62=1),#REF!=TRUE,#REF!=TRUE),1,IF(AND(OR(AND(AG62=1,#REF!="FALSE"),AND(AG62&lt;&gt;1,#REF!="FALSE")),OR(AND(E62="Yes",F62&lt;&gt;""),AND(E62="N/A",H62&lt;&gt;""),AND(E62="Met",F62&lt;&gt;""),AND(E62="Not met",G62&lt;&gt;""),AND(E62="Unsure",G62&lt;&gt;""),AND(E62="No",G62&lt;&gt;""),AND(E62="No, submission is in draft",G62&lt;&gt;""))),1,0))</f>
        <v>#REF!</v>
      </c>
      <c r="W62" s="56" t="b">
        <f>IF(AND('Cover Sheet'!$B$19="Non-Risk",$R62=1),TRUE,FALSE)</f>
        <v>0</v>
      </c>
      <c r="X62" s="56"/>
      <c r="Y62" s="56"/>
      <c r="Z62" s="56"/>
      <c r="AA62" s="56"/>
      <c r="AB62" s="56"/>
      <c r="AC62" s="56"/>
      <c r="AD62" s="56"/>
      <c r="AE62" s="56"/>
      <c r="AF62" s="44" t="s">
        <v>2052</v>
      </c>
      <c r="AG62" s="98">
        <v>1</v>
      </c>
      <c r="AH62" s="75" t="e">
        <f>#REF!</f>
        <v>#REF!</v>
      </c>
      <c r="AI62" s="44" t="e">
        <f>#REF!</f>
        <v>#REF!</v>
      </c>
      <c r="AJ62" s="57" t="e">
        <f>IF(AG62=1,AI62=AF62,"")</f>
        <v>#REF!</v>
      </c>
      <c r="AK62" s="57">
        <f>IF($AG$2=1, IF(AG62=1,1,0),0)</f>
        <v>1</v>
      </c>
      <c r="AM62" s="69" t="str">
        <f t="shared" si="33"/>
        <v/>
      </c>
      <c r="AN62" s="69" t="e">
        <f>IF(#REF! &lt;&gt;0,#REF!, IF(OR(#REF!= TRUE,#REF!= TRUE),"N/A", 0))</f>
        <v>#REF!</v>
      </c>
      <c r="AO62" s="69" t="e">
        <f>IF(#REF! &lt;&gt;0,#REF!, IF(OR(#REF!= TRUE,#REF!= TRUE),"N/A", 0))</f>
        <v>#REF!</v>
      </c>
      <c r="AP62" s="69" t="e">
        <f>IF(#REF! &lt;&gt;0,#REF!, IF(OR(#REF!= TRUE,#REF!= TRUE),"N/A", 0))</f>
        <v>#REF!</v>
      </c>
      <c r="AQ62" s="69" t="e">
        <f>IF(#REF! &lt;&gt;0,#REF!, IF(OR(#REF!= TRUE,#REF!= TRUE),"N/A", 0))</f>
        <v>#REF!</v>
      </c>
      <c r="AR62" s="69" t="e">
        <f>IF(OR(AND($H$6="Both",OR(AND(AG62=0,OR(NOT(ISBLANK(E62)),NOT(ISBLANK(F62)),NOT(ISBLANK(G62)),NOT(ISBLANK(H62)))),AND(AG62=1,#REF!="TRUE",OR(AN62&lt;&gt;0,AO62&lt;&gt;0,AP62&lt;&gt;0,AQ62&lt;&gt;0)),AND(AG62=1,#REF!="FALSE",OR(NOT(ISBLANK(E62)),NOT(ISBLANK(F62)),NOT(ISBLANK(G62)),NOT(ISBLANK(H62)))))),AND($H$6="CHIP",OR(NOT(ISBLANK(E62)),NOT(ISBLANK(F62)),NOT(ISBLANK(G62)),NOT(ISBLANK(H62)))),V62=1),1,0)</f>
        <v>#REF!</v>
      </c>
      <c r="AS62" s="69" t="e">
        <f>IF(AND(OR(OR(#REF!=TRUE,#REF!=TRUE),AND($H$6="Both",OR(AND(AG62=1,#REF!="TRUE",AT62=1,OR(AN62="Yes",AN62="N/A",AN62="Met")),AND(#REF!="FALSE",OR(AND(E62="Yes",NOT(ISBLANK(F62))),AND(E62="N/A",NOT(ISBLANK(H62))),AND(E62="Met",NOT(ISBLANK(F62))))))),AND($H$6="CHIP",OR(AND(E62="Yes",NOT(ISBLANK(F62))),AND(E62="N/A",NOT(ISBLANK(H62))),AND(E62="Met",NOT(ISBLANK(F62)))))),V62=1),1,0)</f>
        <v>#REF!</v>
      </c>
      <c r="AT62" s="69" t="e">
        <f>IF(OR(AND(AN62="Yes",AO62&lt;&gt;0),AND(AN62="N/A",AQ62&lt;&gt;0),AND(AN62="Met",AO62&lt;&gt;0),AND(AN62="Not met",AP62&lt;&gt;0),AND(AN62="Unsure",AP62&lt;&gt;0),AND(AN62="No",AP62&lt;&gt;0),AND(AN62="No, submission is in draft",AP62&lt;&gt;0)),1,0)</f>
        <v>#REF!</v>
      </c>
    </row>
    <row r="63" spans="1:47" ht="51.75" hidden="1" customHeight="1" x14ac:dyDescent="0.25">
      <c r="A63" s="254" t="s">
        <v>2182</v>
      </c>
      <c r="B63" s="255" t="s">
        <v>2183</v>
      </c>
      <c r="C63" s="368" t="s">
        <v>2052</v>
      </c>
      <c r="D63" s="256"/>
      <c r="E63" s="255" t="s">
        <v>311</v>
      </c>
      <c r="F63" s="255" t="s">
        <v>319</v>
      </c>
      <c r="G63" s="255" t="s">
        <v>319</v>
      </c>
      <c r="H63" s="369" t="s">
        <v>319</v>
      </c>
      <c r="I63" s="78"/>
      <c r="J63" s="78"/>
      <c r="K63" s="78"/>
      <c r="L63" s="77"/>
      <c r="M63" s="77"/>
      <c r="N63" s="77" t="s">
        <v>345</v>
      </c>
      <c r="O63" s="71" t="s">
        <v>200</v>
      </c>
      <c r="P63" s="71" t="s">
        <v>380</v>
      </c>
      <c r="Q63" s="71" t="e">
        <f>IF(OR(AND($C$2="Base contract",$C$3="No, section requirements must be reviewed",#REF!= FALSE,#REF!=FALSE),AND($C$2="Contract amendment",$C$3="No, section requirements must be reviewed",#REF!=FALSE,#REF!=FALSE)),"MUNN")</f>
        <v>#REF!</v>
      </c>
      <c r="R63" s="71"/>
      <c r="S63" s="64">
        <v>43282</v>
      </c>
      <c r="T63" s="64"/>
      <c r="U63" s="64"/>
      <c r="V63" s="97" t="e">
        <f>IF(OR(AND(AG63=1,#REF!="TRUE",AT63=1),#REF!=TRUE,#REF!=TRUE),1,IF(AND(OR(AND(AG63=1,#REF!="FALSE"),AND(AG63&lt;&gt;1,#REF!="FALSE")),OR(AND(E63="Yes",F63&lt;&gt;""),AND(E63="N/A",H63&lt;&gt;""),AND(E63="Met",F63&lt;&gt;""),AND(E63="Not met",G63&lt;&gt;""),AND(E63="Unsure",G63&lt;&gt;""),AND(E63="No",G63&lt;&gt;""),AND(E63="No, submission is in draft",G63&lt;&gt;""))),1,0))</f>
        <v>#REF!</v>
      </c>
      <c r="W63" s="56" t="b">
        <f>IF(AND('Cover Sheet'!$B$19="Non-Risk",$R63=1),TRUE,FALSE)</f>
        <v>0</v>
      </c>
      <c r="X63" s="56"/>
      <c r="Y63" s="56"/>
      <c r="Z63" s="56"/>
      <c r="AA63" s="56"/>
      <c r="AB63" s="56"/>
      <c r="AC63" s="56"/>
      <c r="AD63" s="56"/>
      <c r="AE63" s="56"/>
      <c r="AF63" s="79"/>
      <c r="AG63" s="98">
        <v>0</v>
      </c>
      <c r="AH63" s="108"/>
      <c r="AI63" s="79"/>
      <c r="AJ63" s="57" t="str">
        <f>IF(AG63=1,AI63=AF63,"")</f>
        <v/>
      </c>
      <c r="AK63" s="57">
        <f>IF($AG$2=1, IF(AG63=1,1,0),0)</f>
        <v>0</v>
      </c>
      <c r="AM63" s="69" t="str">
        <f t="shared" si="33"/>
        <v/>
      </c>
      <c r="AR63" s="69" t="e">
        <f>IF(OR(AND($H$6="Both",OR(AND(AG63=0,OR(NOT(ISBLANK(E63)),NOT(ISBLANK(F63)),NOT(ISBLANK(G63)),NOT(ISBLANK(H63)))),AND(AG63=1,#REF!="TRUE",OR(AN63&lt;&gt;0,AO63&lt;&gt;0,AP63&lt;&gt;0,AQ63&lt;&gt;0)),AND(AG63=1,#REF!="FALSE",OR(NOT(ISBLANK(E63)),NOT(ISBLANK(F63)),NOT(ISBLANK(G63)),NOT(ISBLANK(H63)))))),AND($H$6="CHIP",OR(NOT(ISBLANK(E63)),NOT(ISBLANK(F63)),NOT(ISBLANK(G63)),NOT(ISBLANK(H63)))),V63=1),1,0)</f>
        <v>#REF!</v>
      </c>
      <c r="AS63" s="69" t="e">
        <f>IF(AND(OR(OR(#REF!=TRUE,#REF!=TRUE),AND($H$6="Both",OR(AND(AG63=1,#REF!="TRUE",AT63=1,OR(AN63="Yes",AN63="N/A",AN63="Met")),AND(#REF!="FALSE",OR(AND(E63="Yes",NOT(ISBLANK(F63))),AND(E63="N/A",NOT(ISBLANK(H63))),AND(E63="Met",NOT(ISBLANK(F63))))))),AND($H$6="CHIP",OR(AND(E63="Yes",NOT(ISBLANK(F63))),AND(E63="N/A",NOT(ISBLANK(H63))),AND(E63="Met",NOT(ISBLANK(F63)))))),V63=1),1,0)</f>
        <v>#REF!</v>
      </c>
      <c r="AT63" s="69">
        <f>IF(OR(AND(AN63="Yes",AO63&lt;&gt;0),AND(AN63="N/A",AQ63&lt;&gt;0),AND(AN63="Met",AO63&lt;&gt;0),AND(AN63="Not met",AP63&lt;&gt;0),AND(AN63="Unsure",AP63&lt;&gt;0),AND(AN63="No",AP63&lt;&gt;0),AND(AN63="No, submission is in draft",AP63&lt;&gt;0)),1,0)</f>
        <v>0</v>
      </c>
    </row>
    <row r="64" spans="1:47" ht="51.75" hidden="1" customHeight="1" x14ac:dyDescent="0.25">
      <c r="A64" s="294" t="s">
        <v>2184</v>
      </c>
      <c r="B64" s="295" t="s">
        <v>2183</v>
      </c>
      <c r="C64" s="295" t="str">
        <f t="shared" ref="C64:C133" si="34">IF($AG$2=1,IF(AG64=1, AF64&amp;"  [If there is no additional information related to the CHIP contract, this information only needs to be entered in Section "&amp;AH64&amp;".]",AF64),AF64)</f>
        <v>The contract requires that the state, CMS, the OIG, the Comptroller General, and their designees be allowed to inspect and audit any records or documents of the MCP's subcontractors at any time.  [If there is no additional information related to the CHIP contract, this information only needs to be entered in Section I.J.1.02 .]</v>
      </c>
      <c r="D64" s="296"/>
      <c r="E64" s="295" t="s">
        <v>311</v>
      </c>
      <c r="F64" s="295" t="s">
        <v>319</v>
      </c>
      <c r="G64" s="295" t="s">
        <v>319</v>
      </c>
      <c r="H64" s="367" t="s">
        <v>319</v>
      </c>
      <c r="I64" s="92" t="s">
        <v>168</v>
      </c>
      <c r="J64" s="92"/>
      <c r="K64" s="92" t="s">
        <v>185</v>
      </c>
      <c r="L64" s="71" t="s">
        <v>190</v>
      </c>
      <c r="M64" s="71" t="s">
        <v>195</v>
      </c>
      <c r="N64" s="71" t="s">
        <v>345</v>
      </c>
      <c r="O64" s="71" t="s">
        <v>200</v>
      </c>
      <c r="P64" s="71" t="s">
        <v>380</v>
      </c>
      <c r="Q64" s="71" t="e">
        <f>IF(OR(AND($C$2="Base contract",$C$3="No, section requirements must be reviewed",#REF!= FALSE,#REF!=FALSE),AND($C$2="Contract amendment",$C$3="No, section requirements must be reviewed",#REF!=FALSE,#REF!=FALSE)),"MUNN")</f>
        <v>#REF!</v>
      </c>
      <c r="R64" s="71"/>
      <c r="S64" s="64">
        <v>43282</v>
      </c>
      <c r="T64" s="64"/>
      <c r="U64" s="64"/>
      <c r="V64" s="97" t="e">
        <f>IF(OR(AND(AG64=1,#REF!="TRUE",AT64=1),#REF!=TRUE,#REF!=TRUE),1,IF(AND(OR(AND(AG64=1,#REF!="FALSE"),AND(AG64&lt;&gt;1,#REF!="FALSE")),OR(AND(E64="Yes",F64&lt;&gt;""),AND(E64="N/A",H64&lt;&gt;""),AND(E64="Met",F64&lt;&gt;""),AND(E64="Not met",G64&lt;&gt;""),AND(E64="Unsure",G64&lt;&gt;""),AND(E64="No",G64&lt;&gt;""),AND(E64="No, submission is in draft",G64&lt;&gt;""))),1,0))</f>
        <v>#REF!</v>
      </c>
      <c r="W64" s="56" t="b">
        <f>IF(AND('Cover Sheet'!$B$19="Non-Risk",$R64=1),TRUE,FALSE)</f>
        <v>0</v>
      </c>
      <c r="X64" s="56"/>
      <c r="Y64" s="56"/>
      <c r="Z64" s="56"/>
      <c r="AA64" s="56"/>
      <c r="AB64" s="56"/>
      <c r="AC64" s="56"/>
      <c r="AD64" s="56"/>
      <c r="AE64" s="56"/>
      <c r="AF64" s="44" t="s">
        <v>2054</v>
      </c>
      <c r="AG64" s="98">
        <v>1</v>
      </c>
      <c r="AH64" s="75" t="str">
        <f>A10</f>
        <v xml:space="preserve">I.J.1.02 </v>
      </c>
      <c r="AI64" s="44" t="str">
        <f>C10</f>
        <v>The contract requires that the state, CMS, the OIG, the Comptroller General, and their designees be allowed to inspect and audit any records or documents of the MCP's subcontractors at any time.</v>
      </c>
      <c r="AJ64" s="57" t="b">
        <f t="shared" ref="AJ64:AJ142" si="35">IF(AG64=1,AI64=AF64,"")</f>
        <v>1</v>
      </c>
      <c r="AK64" s="57">
        <f t="shared" ref="AK64:AK142" si="36">IF($AG$2=1, IF(AG64=1,1,0),0)</f>
        <v>1</v>
      </c>
      <c r="AM64" s="69" t="str">
        <f t="shared" si="33"/>
        <v/>
      </c>
      <c r="AN64" s="69" t="e">
        <f>IF(E10 &lt;&gt;0, E10, IF(OR(#REF!=TRUE,#REF!= TRUE),"N/A", 0))</f>
        <v>#REF!</v>
      </c>
      <c r="AO64" s="69" t="e">
        <f>IF(F10 &lt;&gt;0, F10, IF(OR(#REF!=TRUE,#REF!= TRUE),"N/A", 0))</f>
        <v>#REF!</v>
      </c>
      <c r="AP64" s="69" t="e">
        <f>IF(G10 &lt;&gt;0, G10, IF(OR(#REF!=TRUE,#REF!= TRUE),"N/A", 0))</f>
        <v>#REF!</v>
      </c>
      <c r="AQ64" s="69" t="e">
        <f>IF(H10 &lt;&gt;0, H10, IF(OR(#REF!=TRUE,#REF!= TRUE),"N/A", 0))</f>
        <v>#REF!</v>
      </c>
      <c r="AR64" s="69" t="e">
        <f>IF(OR(AND($H$6="Both",OR(AND(AG64=0,OR(NOT(ISBLANK(E64)),NOT(ISBLANK(F64)),NOT(ISBLANK(G64)),NOT(ISBLANK(H64)))),AND(AG64=1,#REF!="TRUE",OR(AN64&lt;&gt;0,AO64&lt;&gt;0,AP64&lt;&gt;0,AQ64&lt;&gt;0)),AND(AG64=1,#REF!="FALSE",OR(NOT(ISBLANK(E64)),NOT(ISBLANK(F64)),NOT(ISBLANK(G64)),NOT(ISBLANK(H64)))))),AND($H$6="CHIP",OR(NOT(ISBLANK(E64)),NOT(ISBLANK(F64)),NOT(ISBLANK(G64)),NOT(ISBLANK(H64)))),V64=1),1,0)</f>
        <v>#REF!</v>
      </c>
      <c r="AS64" s="69" t="e">
        <f>IF(AND(OR(OR(#REF!=TRUE,#REF!=TRUE),AND($H$6="Both",OR(AND(AG64=1,#REF!="TRUE",AT64=1,OR(AN64="Yes",AN64="N/A",AN64="Met")),AND(#REF!="FALSE",OR(AND(E64="Yes",NOT(ISBLANK(F64))),AND(E64="N/A",NOT(ISBLANK(H64))),AND(E64="Met",NOT(ISBLANK(F64))))))),AND($H$6="CHIP",OR(AND(E64="Yes",NOT(ISBLANK(F64))),AND(E64="N/A",NOT(ISBLANK(H64))),AND(E64="Met",NOT(ISBLANK(F64)))))),V64=1),1,0)</f>
        <v>#REF!</v>
      </c>
      <c r="AT64" s="69" t="e">
        <f t="shared" ref="AT64:AT142" si="37">IF(OR(AND(AN64="Yes",AO64&lt;&gt;0),AND(AN64="N/A",AQ64&lt;&gt;0),AND(AN64="Met",AO64&lt;&gt;0),AND(AN64="Not met",AP64&lt;&gt;0),AND(AN64="Unsure",AP64&lt;&gt;0),AND(AN64="No",AP64&lt;&gt;0),AND(AN64="No, submission is in draft",AP64&lt;&gt;0)),1,0)</f>
        <v>#REF!</v>
      </c>
    </row>
    <row r="65" spans="1:46" ht="64.5" hidden="1" customHeight="1" x14ac:dyDescent="0.25">
      <c r="A65" s="294" t="s">
        <v>2185</v>
      </c>
      <c r="B65" s="295" t="s">
        <v>2183</v>
      </c>
      <c r="C65" s="295" t="str">
        <f t="shared" si="34"/>
        <v>The contract requires that the state, CMS, the OIG, the Comptroller General, and their designees be allowed to inspect the premises, physical facilities, and equipment where Medicaid-related activities are conducted at any time.  [If there is no additional information related to the CHIP contract, this information only needs to be entered in Section I.J.1.03.]</v>
      </c>
      <c r="D65" s="296"/>
      <c r="E65" s="295" t="s">
        <v>311</v>
      </c>
      <c r="F65" s="295" t="s">
        <v>319</v>
      </c>
      <c r="G65" s="295" t="s">
        <v>319</v>
      </c>
      <c r="H65" s="367" t="s">
        <v>319</v>
      </c>
      <c r="I65" s="92" t="s">
        <v>168</v>
      </c>
      <c r="J65" s="92"/>
      <c r="K65" s="92" t="s">
        <v>185</v>
      </c>
      <c r="L65" s="71" t="s">
        <v>190</v>
      </c>
      <c r="M65" s="71" t="s">
        <v>195</v>
      </c>
      <c r="N65" s="71" t="s">
        <v>345</v>
      </c>
      <c r="O65" s="71" t="s">
        <v>200</v>
      </c>
      <c r="P65" s="71" t="s">
        <v>380</v>
      </c>
      <c r="Q65" s="71" t="e">
        <f>IF(OR(AND($C$2="Base contract",$C$3="No, section requirements must be reviewed",#REF!= FALSE,#REF!=FALSE),AND($C$2="Contract amendment",$C$3="No, section requirements must be reviewed",#REF!=FALSE,#REF!=FALSE)),"MUNN")</f>
        <v>#REF!</v>
      </c>
      <c r="R65" s="71"/>
      <c r="S65" s="64">
        <v>43282</v>
      </c>
      <c r="T65" s="64"/>
      <c r="U65" s="64"/>
      <c r="V65" s="97" t="e">
        <f>IF(OR(AND(AG65=1,#REF!="TRUE",AT65=1),#REF!=TRUE,#REF!=TRUE),1,IF(AND(OR(AND(AG65=1,#REF!="FALSE"),AND(AG65&lt;&gt;1,#REF!="FALSE")),OR(AND(E65="Yes",F65&lt;&gt;""),AND(E65="N/A",H65&lt;&gt;""),AND(E65="Met",F65&lt;&gt;""),AND(E65="Not met",G65&lt;&gt;""),AND(E65="Unsure",G65&lt;&gt;""),AND(E65="No",G65&lt;&gt;""),AND(E65="No, submission is in draft",G65&lt;&gt;""))),1,0))</f>
        <v>#REF!</v>
      </c>
      <c r="W65" s="56" t="b">
        <f>IF(AND('Cover Sheet'!$B$19="Non-Risk",$R65=1),TRUE,FALSE)</f>
        <v>0</v>
      </c>
      <c r="X65" s="56"/>
      <c r="Y65" s="56"/>
      <c r="Z65" s="56"/>
      <c r="AA65" s="56"/>
      <c r="AB65" s="56"/>
      <c r="AC65" s="56"/>
      <c r="AD65" s="56"/>
      <c r="AE65" s="56"/>
      <c r="AF65" s="44" t="s">
        <v>2056</v>
      </c>
      <c r="AG65" s="98">
        <v>1</v>
      </c>
      <c r="AH65" s="75" t="str">
        <f>A11</f>
        <v>I.J.1.03</v>
      </c>
      <c r="AI65" s="44" t="str">
        <f>C11</f>
        <v>The contract requires that the state, CMS, the OIG, the Comptroller General, and their designees be allowed to inspect the premises, physical facilities, and equipment where Medicaid-related activities are conducted at any time.</v>
      </c>
      <c r="AJ65" s="57" t="b">
        <f t="shared" si="35"/>
        <v>1</v>
      </c>
      <c r="AK65" s="57">
        <f t="shared" si="36"/>
        <v>1</v>
      </c>
      <c r="AM65" s="69" t="str">
        <f t="shared" si="33"/>
        <v/>
      </c>
      <c r="AN65" s="69" t="e">
        <f>IF(E11 &lt;&gt;0, E11, IF(OR(#REF!=TRUE,#REF!= TRUE),"N/A", 0))</f>
        <v>#REF!</v>
      </c>
      <c r="AO65" s="69" t="e">
        <f>IF(F11 &lt;&gt;0, F11, IF(OR(#REF!=TRUE,#REF!= TRUE),"N/A", 0))</f>
        <v>#REF!</v>
      </c>
      <c r="AP65" s="69" t="e">
        <f>IF(G11 &lt;&gt;0, G11, IF(OR(#REF!=TRUE,#REF!= TRUE),"N/A", 0))</f>
        <v>#REF!</v>
      </c>
      <c r="AQ65" s="69" t="e">
        <f>IF(H11 &lt;&gt;0, H11, IF(OR(#REF!=TRUE,#REF!= TRUE),"N/A", 0))</f>
        <v>#REF!</v>
      </c>
      <c r="AR65" s="69" t="e">
        <f>IF(OR(AND($H$6="Both",OR(AND(AG65=0,OR(NOT(ISBLANK(E65)),NOT(ISBLANK(F65)),NOT(ISBLANK(G65)),NOT(ISBLANK(H65)))),AND(AG65=1,#REF!="TRUE",OR(AN65&lt;&gt;0,AO65&lt;&gt;0,AP65&lt;&gt;0,AQ65&lt;&gt;0)),AND(AG65=1,#REF!="FALSE",OR(NOT(ISBLANK(E65)),NOT(ISBLANK(F65)),NOT(ISBLANK(G65)),NOT(ISBLANK(H65)))))),AND($H$6="CHIP",OR(NOT(ISBLANK(E65)),NOT(ISBLANK(F65)),NOT(ISBLANK(G65)),NOT(ISBLANK(H65)))),V65=1),1,0)</f>
        <v>#REF!</v>
      </c>
      <c r="AS65" s="69" t="e">
        <f>IF(AND(OR(OR(#REF!=TRUE,#REF!=TRUE),AND($H$6="Both",OR(AND(AG65=1,#REF!="TRUE",AT65=1,OR(AN65="Yes",AN65="N/A",AN65="Met")),AND(#REF!="FALSE",OR(AND(E65="Yes",NOT(ISBLANK(F65))),AND(E65="N/A",NOT(ISBLANK(H65))),AND(E65="Met",NOT(ISBLANK(F65))))))),AND($H$6="CHIP",OR(AND(E65="Yes",NOT(ISBLANK(F65))),AND(E65="N/A",NOT(ISBLANK(H65))),AND(E65="Met",NOT(ISBLANK(F65)))))),V65=1),1,0)</f>
        <v>#REF!</v>
      </c>
      <c r="AT65" s="69" t="e">
        <f t="shared" si="37"/>
        <v>#REF!</v>
      </c>
    </row>
    <row r="66" spans="1:46" ht="64.5" hidden="1" customHeight="1" x14ac:dyDescent="0.25">
      <c r="A66" s="294" t="s">
        <v>2186</v>
      </c>
      <c r="B66" s="295" t="s">
        <v>2183</v>
      </c>
      <c r="C66" s="295" t="str">
        <f t="shared" si="34"/>
        <v>The contract requires that the state, CMS, the OIG, the Comptroller General and their designees have the right to audit records or documents of the MCP for 10 years from the final date of the contract period or from the date of completion of any audit, whichever is later.  [If there is no additional information related to the CHIP contract, this information only needs to be entered in Section I.J.1.04.]</v>
      </c>
      <c r="D66" s="296"/>
      <c r="E66" s="295" t="s">
        <v>311</v>
      </c>
      <c r="F66" s="295" t="s">
        <v>319</v>
      </c>
      <c r="G66" s="295" t="s">
        <v>319</v>
      </c>
      <c r="H66" s="367" t="s">
        <v>319</v>
      </c>
      <c r="I66" s="92" t="s">
        <v>168</v>
      </c>
      <c r="J66" s="92"/>
      <c r="K66" s="92" t="s">
        <v>185</v>
      </c>
      <c r="L66" s="71" t="s">
        <v>190</v>
      </c>
      <c r="M66" s="71" t="s">
        <v>195</v>
      </c>
      <c r="N66" s="71" t="s">
        <v>345</v>
      </c>
      <c r="O66" s="71" t="s">
        <v>200</v>
      </c>
      <c r="P66" s="71" t="s">
        <v>380</v>
      </c>
      <c r="Q66" s="71" t="e">
        <f>IF(OR(AND($C$2="Base contract",$C$3="No, section requirements must be reviewed",#REF!= FALSE,#REF!=FALSE),AND($C$2="Contract amendment",$C$3="No, section requirements must be reviewed",#REF!=FALSE,#REF!=FALSE)),"MUNN")</f>
        <v>#REF!</v>
      </c>
      <c r="R66" s="71"/>
      <c r="S66" s="64">
        <v>43282</v>
      </c>
      <c r="T66" s="64"/>
      <c r="U66" s="64"/>
      <c r="V66" s="97" t="e">
        <f>IF(OR(AND(AG66=1,#REF!="TRUE",AT66=1),#REF!=TRUE,#REF!=TRUE),1,IF(AND(OR(AND(AG66=1,#REF!="FALSE"),AND(AG66&lt;&gt;1,#REF!="FALSE")),OR(AND(E66="Yes",F66&lt;&gt;""),AND(E66="N/A",H66&lt;&gt;""),AND(E66="Met",F66&lt;&gt;""),AND(E66="Not met",G66&lt;&gt;""),AND(E66="Unsure",G66&lt;&gt;""),AND(E66="No",G66&lt;&gt;""),AND(E66="No, submission is in draft",G66&lt;&gt;""))),1,0))</f>
        <v>#REF!</v>
      </c>
      <c r="W66" s="56" t="b">
        <f>IF(AND('Cover Sheet'!$B$19="Non-Risk",$R66=1),TRUE,FALSE)</f>
        <v>0</v>
      </c>
      <c r="X66" s="56"/>
      <c r="Y66" s="56"/>
      <c r="Z66" s="56"/>
      <c r="AA66" s="56"/>
      <c r="AB66" s="56"/>
      <c r="AC66" s="56"/>
      <c r="AD66" s="56"/>
      <c r="AE66" s="56"/>
      <c r="AF66" s="44" t="s">
        <v>2058</v>
      </c>
      <c r="AG66" s="98">
        <v>1</v>
      </c>
      <c r="AH66" s="75" t="str">
        <f>A12</f>
        <v>I.J.1.04</v>
      </c>
      <c r="AI66" s="44" t="str">
        <f>C12</f>
        <v>The contract requires that the state, CMS, the OIG, the Comptroller General and their designees have the right to audit records or documents of the MCP for 10 years from the final date of the contract period or from the date of completion of any audit, whichever is later.</v>
      </c>
      <c r="AJ66" s="57" t="b">
        <f t="shared" si="35"/>
        <v>1</v>
      </c>
      <c r="AK66" s="57">
        <f t="shared" si="36"/>
        <v>1</v>
      </c>
      <c r="AM66" s="69" t="str">
        <f t="shared" si="33"/>
        <v/>
      </c>
      <c r="AN66" s="69" t="e">
        <f>IF(E12 &lt;&gt;0, E12, IF(OR(#REF!=TRUE,#REF!= TRUE),"N/A", 0))</f>
        <v>#REF!</v>
      </c>
      <c r="AO66" s="69" t="e">
        <f>IF(F12 &lt;&gt;0, F12, IF(OR(#REF!=TRUE,#REF!= TRUE),"N/A", 0))</f>
        <v>#REF!</v>
      </c>
      <c r="AP66" s="69" t="e">
        <f>IF(G12 &lt;&gt;0, G12, IF(OR(#REF!=TRUE,#REF!= TRUE),"N/A", 0))</f>
        <v>#REF!</v>
      </c>
      <c r="AQ66" s="69" t="e">
        <f>IF(H12 &lt;&gt;0, H12, IF(OR(#REF!=TRUE,#REF!= TRUE),"N/A", 0))</f>
        <v>#REF!</v>
      </c>
      <c r="AR66" s="69" t="e">
        <f>IF(OR(AND($H$6="Both",OR(AND(AG66=0,OR(NOT(ISBLANK(E66)),NOT(ISBLANK(F66)),NOT(ISBLANK(G66)),NOT(ISBLANK(H66)))),AND(AG66=1,#REF!="TRUE",OR(AN66&lt;&gt;0,AO66&lt;&gt;0,AP66&lt;&gt;0,AQ66&lt;&gt;0)),AND(AG66=1,#REF!="FALSE",OR(NOT(ISBLANK(E66)),NOT(ISBLANK(F66)),NOT(ISBLANK(G66)),NOT(ISBLANK(H66)))))),AND($H$6="CHIP",OR(NOT(ISBLANK(E66)),NOT(ISBLANK(F66)),NOT(ISBLANK(G66)),NOT(ISBLANK(H66)))),V66=1),1,0)</f>
        <v>#REF!</v>
      </c>
      <c r="AS66" s="69" t="e">
        <f>IF(AND(OR(OR(#REF!=TRUE,#REF!=TRUE),AND($H$6="Both",OR(AND(AG66=1,#REF!="TRUE",AT66=1,OR(AN66="Yes",AN66="N/A",AN66="Met")),AND(#REF!="FALSE",OR(AND(E66="Yes",NOT(ISBLANK(F66))),AND(E66="N/A",NOT(ISBLANK(H66))),AND(E66="Met",NOT(ISBLANK(F66))))))),AND($H$6="CHIP",OR(AND(E66="Yes",NOT(ISBLANK(F66))),AND(E66="N/A",NOT(ISBLANK(H66))),AND(E66="Met",NOT(ISBLANK(F66)))))),V66=1),1,0)</f>
        <v>#REF!</v>
      </c>
      <c r="AT66" s="69" t="e">
        <f t="shared" si="37"/>
        <v>#REF!</v>
      </c>
    </row>
    <row r="67" spans="1:46" ht="64.5" hidden="1" customHeight="1" x14ac:dyDescent="0.25">
      <c r="A67" s="294" t="s">
        <v>2187</v>
      </c>
      <c r="B67" s="295" t="s">
        <v>2183</v>
      </c>
      <c r="C67" s="295" t="str">
        <f t="shared" si="34"/>
        <v>The contract requires that the state, CMS, the OIG, the Comptroller General and their designees have the right to audit records or documents of the MCP’s subcontractors for 10 years from the final date of the contract period or from the date of completion of any audit, whichever is later.  [If there is no additional information related to the CHIP contract, this information only needs to be entered in Section I.J.1.05.]</v>
      </c>
      <c r="D67" s="296"/>
      <c r="E67" s="295" t="s">
        <v>311</v>
      </c>
      <c r="F67" s="295" t="s">
        <v>319</v>
      </c>
      <c r="G67" s="295" t="s">
        <v>319</v>
      </c>
      <c r="H67" s="367" t="s">
        <v>319</v>
      </c>
      <c r="I67" s="92" t="s">
        <v>168</v>
      </c>
      <c r="J67" s="92"/>
      <c r="K67" s="92" t="s">
        <v>185</v>
      </c>
      <c r="L67" s="71" t="s">
        <v>190</v>
      </c>
      <c r="M67" s="71" t="s">
        <v>195</v>
      </c>
      <c r="N67" s="71" t="s">
        <v>345</v>
      </c>
      <c r="O67" s="71" t="s">
        <v>200</v>
      </c>
      <c r="P67" s="71" t="s">
        <v>380</v>
      </c>
      <c r="Q67" s="71" t="e">
        <f>IF(OR(AND($C$2="Base contract",$C$3="No, section requirements must be reviewed",#REF!= FALSE,#REF!=FALSE),AND($C$2="Contract amendment",$C$3="No, section requirements must be reviewed",#REF!=FALSE,#REF!=FALSE)),"MUNN")</f>
        <v>#REF!</v>
      </c>
      <c r="R67" s="71"/>
      <c r="S67" s="64">
        <v>43282</v>
      </c>
      <c r="T67" s="64"/>
      <c r="U67" s="64"/>
      <c r="V67" s="97" t="e">
        <f>IF(OR(AND(AG67=1,#REF!="TRUE",AT67=1),#REF!=TRUE,#REF!=TRUE),1,IF(AND(OR(AND(AG67=1,#REF!="FALSE"),AND(AG67&lt;&gt;1,#REF!="FALSE")),OR(AND(E67="Yes",F67&lt;&gt;""),AND(E67="N/A",H67&lt;&gt;""),AND(E67="Met",F67&lt;&gt;""),AND(E67="Not met",G67&lt;&gt;""),AND(E67="Unsure",G67&lt;&gt;""),AND(E67="No",G67&lt;&gt;""),AND(E67="No, submission is in draft",G67&lt;&gt;""))),1,0))</f>
        <v>#REF!</v>
      </c>
      <c r="W67" s="56" t="b">
        <f>IF(AND('Cover Sheet'!$B$19="Non-Risk",$R67=1),TRUE,FALSE)</f>
        <v>0</v>
      </c>
      <c r="X67" s="56"/>
      <c r="Y67" s="56"/>
      <c r="Z67" s="56"/>
      <c r="AA67" s="56"/>
      <c r="AB67" s="56"/>
      <c r="AC67" s="56"/>
      <c r="AD67" s="56"/>
      <c r="AE67" s="56"/>
      <c r="AF67" s="44" t="s">
        <v>2060</v>
      </c>
      <c r="AG67" s="98">
        <v>1</v>
      </c>
      <c r="AH67" s="75" t="str">
        <f>A13</f>
        <v>I.J.1.05</v>
      </c>
      <c r="AI67" s="44" t="str">
        <f>C13</f>
        <v>The contract requires that the state, CMS, the OIG, the Comptroller General and their designees have the right to audit records or documents of the MCP’s subcontractors for 10 years from the final date of the contract period or from the date of completion of any audit, whichever is later.</v>
      </c>
      <c r="AJ67" s="57" t="b">
        <f t="shared" si="35"/>
        <v>1</v>
      </c>
      <c r="AK67" s="57">
        <f t="shared" si="36"/>
        <v>1</v>
      </c>
      <c r="AM67" s="69" t="str">
        <f t="shared" si="33"/>
        <v/>
      </c>
      <c r="AN67" s="69" t="e">
        <f>IF(E13 &lt;&gt;0, E13, IF(OR(#REF!=TRUE,#REF!= TRUE),"N/A", 0))</f>
        <v>#REF!</v>
      </c>
      <c r="AO67" s="69" t="e">
        <f>IF(F13 &lt;&gt;0, F13, IF(OR(#REF!=TRUE,#REF!= TRUE),"N/A", 0))</f>
        <v>#REF!</v>
      </c>
      <c r="AP67" s="69" t="e">
        <f>IF(G13 &lt;&gt;0, G13, IF(OR(#REF!=TRUE,#REF!= TRUE),"N/A", 0))</f>
        <v>#REF!</v>
      </c>
      <c r="AQ67" s="69" t="e">
        <f>IF(H13 &lt;&gt;0, H13, IF(OR(#REF!=TRUE,#REF!= TRUE),"N/A", 0))</f>
        <v>#REF!</v>
      </c>
      <c r="AR67" s="69" t="e">
        <f>IF(OR(AND($H$6="Both",OR(AND(AG67=0,OR(NOT(ISBLANK(E67)),NOT(ISBLANK(F67)),NOT(ISBLANK(G67)),NOT(ISBLANK(H67)))),AND(AG67=1,#REF!="TRUE",OR(AN67&lt;&gt;0,AO67&lt;&gt;0,AP67&lt;&gt;0,AQ67&lt;&gt;0)),AND(AG67=1,#REF!="FALSE",OR(NOT(ISBLANK(E67)),NOT(ISBLANK(F67)),NOT(ISBLANK(G67)),NOT(ISBLANK(H67)))))),AND($H$6="CHIP",OR(NOT(ISBLANK(E67)),NOT(ISBLANK(F67)),NOT(ISBLANK(G67)),NOT(ISBLANK(H67)))),V67=1),1,0)</f>
        <v>#REF!</v>
      </c>
      <c r="AS67" s="69" t="e">
        <f>IF(AND(OR(OR(#REF!=TRUE,#REF!=TRUE),AND($H$6="Both",OR(AND(AG67=1,#REF!="TRUE",AT67=1,OR(AN67="Yes",AN67="N/A",AN67="Met")),AND(#REF!="FALSE",OR(AND(E67="Yes",NOT(ISBLANK(F67))),AND(E67="N/A",NOT(ISBLANK(H67))),AND(E67="Met",NOT(ISBLANK(F67))))))),AND($H$6="CHIP",OR(AND(E67="Yes",NOT(ISBLANK(F67))),AND(E67="N/A",NOT(ISBLANK(H67))),AND(E67="Met",NOT(ISBLANK(F67)))))),V67=1),1,0)</f>
        <v>#REF!</v>
      </c>
      <c r="AT67" s="69" t="e">
        <f t="shared" si="37"/>
        <v>#REF!</v>
      </c>
    </row>
    <row r="68" spans="1:46" ht="77.25" hidden="1" customHeight="1" x14ac:dyDescent="0.25">
      <c r="A68" s="294" t="s">
        <v>2188</v>
      </c>
      <c r="B68" s="370" t="s">
        <v>2189</v>
      </c>
      <c r="C68" s="370" t="str">
        <f t="shared" si="34"/>
        <v>The contract requires that the MCP and the MCP’s subcontractors retain, as applicable, enrollee grievance and appeal records in 42 CFR 438.416, base data in 42 CFR 438.5(c), MLR reports in 42 CFR 438.8(k), and the data, information, and documentation specified in 42 CFR 438.604 (except 438.604(a)(2)), 438.606, 438.608, and 438.610 for a period of no less than 10 years.  [If there is no additional information related to the CHIP contract, this information only needs to be entered in Section I.J.1.07 .]</v>
      </c>
      <c r="D68" s="341">
        <v>2</v>
      </c>
      <c r="E68" s="255" t="s">
        <v>311</v>
      </c>
      <c r="F68" s="255" t="s">
        <v>319</v>
      </c>
      <c r="G68" s="255" t="s">
        <v>319</v>
      </c>
      <c r="H68" s="369" t="s">
        <v>319</v>
      </c>
      <c r="I68" s="92" t="s">
        <v>168</v>
      </c>
      <c r="J68" s="92"/>
      <c r="K68" s="92" t="s">
        <v>185</v>
      </c>
      <c r="L68" s="71" t="s">
        <v>190</v>
      </c>
      <c r="M68" s="71" t="s">
        <v>195</v>
      </c>
      <c r="N68" s="71"/>
      <c r="O68" s="71"/>
      <c r="P68" s="71" t="s">
        <v>380</v>
      </c>
      <c r="Q68" s="71" t="e">
        <f>IF(OR(AND($C$2="Base contract",$C$3="No, section requirements must be reviewed",#REF!= FALSE,#REF!=FALSE),AND($C$2="Contract amendment",$C$3="No, section requirements must be reviewed",#REF!=FALSE,#REF!=FALSE)),"MUNN")</f>
        <v>#REF!</v>
      </c>
      <c r="R68" s="71"/>
      <c r="S68" s="64">
        <v>43282</v>
      </c>
      <c r="T68" s="64"/>
      <c r="U68" s="64"/>
      <c r="V68" s="97" t="e">
        <f>IF(OR(AND(AG68=1,#REF!="TRUE",AT68=1),#REF!=TRUE,#REF!=TRUE),1,IF(AND(OR(AND(AG68=1,#REF!="FALSE"),AND(AG68&lt;&gt;1,#REF!="FALSE")),OR(AND(E68="Yes",F68&lt;&gt;""),AND(E68="N/A",H68&lt;&gt;""),AND(E68="Met",F68&lt;&gt;""),AND(E68="Not met",G68&lt;&gt;""),AND(E68="Unsure",G68&lt;&gt;""),AND(E68="No",G68&lt;&gt;""),AND(E68="No, submission is in draft",G68&lt;&gt;""))),1,0))</f>
        <v>#REF!</v>
      </c>
      <c r="W68" s="56" t="b">
        <f>IF(AND('Cover Sheet'!$B$19="Non-Risk",$R68=1),TRUE,FALSE)</f>
        <v>0</v>
      </c>
      <c r="X68" s="56"/>
      <c r="Y68" s="56"/>
      <c r="Z68" s="56"/>
      <c r="AA68" s="56"/>
      <c r="AB68" s="56"/>
      <c r="AC68" s="56"/>
      <c r="AD68" s="56"/>
      <c r="AE68" s="56"/>
      <c r="AF68" s="44" t="s">
        <v>2190</v>
      </c>
      <c r="AG68" s="98">
        <v>1</v>
      </c>
      <c r="AH68" s="75" t="str">
        <f>A15</f>
        <v xml:space="preserve">I.J.1.07 </v>
      </c>
      <c r="AI68" s="44" t="str">
        <f>C15</f>
        <v>The contract requires that the MCP and the MCP’s subcontractors retain, as applicable, enrollee grievance and appeal records in 42 CFR 438.416, base data in 42 CFR 438.5(c), MLR reports in 42 CFR 438.8(k), and the data, information, and documentation specified in 42 CFR 438.604, 438.606, 438.608, and 438.610 for a period of no less than 10 years.</v>
      </c>
      <c r="AJ68" s="57" t="b">
        <f t="shared" si="35"/>
        <v>0</v>
      </c>
      <c r="AK68" s="57">
        <f t="shared" si="36"/>
        <v>1</v>
      </c>
      <c r="AM68" s="69" t="str">
        <f t="shared" si="33"/>
        <v/>
      </c>
      <c r="AN68" s="69" t="e">
        <f>IF(E15 &lt;&gt;0, E15, IF(OR(#REF!=TRUE,#REF!= TRUE),"N/A", 0))</f>
        <v>#REF!</v>
      </c>
      <c r="AO68" s="69" t="e">
        <f>IF(F15 &lt;&gt;0, F15, IF(OR(#REF!=TRUE,#REF!= TRUE),"N/A", 0))</f>
        <v>#REF!</v>
      </c>
      <c r="AP68" s="69" t="e">
        <f>IF(G15 &lt;&gt;0, G15, IF(OR(#REF!=TRUE,#REF!= TRUE),"N/A", 0))</f>
        <v>#REF!</v>
      </c>
      <c r="AQ68" s="69" t="e">
        <f>IF(H15 &lt;&gt;0, H15, IF(OR(#REF!=TRUE,#REF!= TRUE),"N/A", 0))</f>
        <v>#REF!</v>
      </c>
      <c r="AR68" s="69" t="e">
        <f>IF(OR(AND($H$6="Both",OR(AND(AG68=0,OR(NOT(ISBLANK(E68)),NOT(ISBLANK(F68)),NOT(ISBLANK(G68)),NOT(ISBLANK(H68)))),AND(AG68=1,#REF!="TRUE",OR(AN68&lt;&gt;0,AO68&lt;&gt;0,AP68&lt;&gt;0,AQ68&lt;&gt;0)),AND(AG68=1,#REF!="FALSE",OR(NOT(ISBLANK(E68)),NOT(ISBLANK(F68)),NOT(ISBLANK(G68)),NOT(ISBLANK(H68)))))),AND($H$6="CHIP",OR(NOT(ISBLANK(E68)),NOT(ISBLANK(F68)),NOT(ISBLANK(G68)),NOT(ISBLANK(H68)))),V68=1),1,0)</f>
        <v>#REF!</v>
      </c>
      <c r="AS68" s="69" t="e">
        <f>IF(AND(OR(OR(#REF!=TRUE,#REF!=TRUE),AND($H$6="Both",OR(AND(AG68=1,#REF!="TRUE",AT68=1,OR(AN68="Yes",AN68="N/A",AN68="Met")),AND(#REF!="FALSE",OR(AND(E68="Yes",NOT(ISBLANK(F68))),AND(E68="N/A",NOT(ISBLANK(H68))),AND(E68="Met",NOT(ISBLANK(F68))))))),AND($H$6="CHIP",OR(AND(E68="Yes",NOT(ISBLANK(F68))),AND(E68="N/A",NOT(ISBLANK(H68))),AND(E68="Met",NOT(ISBLANK(F68)))))),V68=1),1,0)</f>
        <v>#REF!</v>
      </c>
      <c r="AT68" s="69" t="e">
        <f t="shared" si="37"/>
        <v>#REF!</v>
      </c>
    </row>
    <row r="69" spans="1:46" ht="15.75" hidden="1" customHeight="1" x14ac:dyDescent="0.25">
      <c r="A69" s="357"/>
      <c r="B69" s="358"/>
      <c r="C69" s="359" t="s">
        <v>2191</v>
      </c>
      <c r="D69" s="360"/>
      <c r="E69" s="361"/>
      <c r="F69" s="361"/>
      <c r="G69" s="361"/>
      <c r="H69" s="362"/>
      <c r="I69" s="74"/>
      <c r="J69" s="74"/>
      <c r="K69" s="74"/>
      <c r="L69" s="87"/>
      <c r="M69" s="87"/>
      <c r="S69" s="116"/>
      <c r="T69" s="116"/>
      <c r="U69" s="116"/>
      <c r="V69" s="126"/>
      <c r="W69" s="68"/>
      <c r="X69" s="68"/>
      <c r="Y69" s="68"/>
      <c r="Z69" s="68"/>
      <c r="AA69" s="68"/>
      <c r="AB69" s="68"/>
      <c r="AC69" s="68"/>
      <c r="AD69" s="68"/>
      <c r="AE69" s="68"/>
      <c r="AF69" s="109"/>
      <c r="AG69" s="110"/>
      <c r="AI69" s="109"/>
    </row>
    <row r="70" spans="1:46" ht="140.25" hidden="1" customHeight="1" x14ac:dyDescent="0.25">
      <c r="A70" s="294" t="s">
        <v>2192</v>
      </c>
      <c r="B70" s="295" t="s">
        <v>2193</v>
      </c>
      <c r="C70" s="295" t="str">
        <f t="shared" si="34"/>
        <v>The contract requires the MCP to comply with all applicable Federal and state laws and regulations including:
• Title VI of the CRA of 1964.
• The Age Discrimination Act of 1975.
• The Rehabilitation Act of 1973.
• Title IX of the Education Amendments of 1972 (regarding education programs and activities).
• The Americans with Disabilities Act.
• Section 1557 of the ACA.
  [If there is no additional information related to the CHIP contract, this information only needs to be entered in Section I.J.2.01 .]</v>
      </c>
      <c r="D70" s="296"/>
      <c r="E70" s="295" t="s">
        <v>311</v>
      </c>
      <c r="F70" s="295" t="s">
        <v>319</v>
      </c>
      <c r="G70" s="295" t="s">
        <v>319</v>
      </c>
      <c r="H70" s="367" t="s">
        <v>319</v>
      </c>
      <c r="I70" s="92" t="s">
        <v>168</v>
      </c>
      <c r="J70" s="92"/>
      <c r="K70" s="92" t="s">
        <v>185</v>
      </c>
      <c r="L70" s="71" t="s">
        <v>190</v>
      </c>
      <c r="M70" s="71" t="s">
        <v>195</v>
      </c>
      <c r="N70" s="71" t="s">
        <v>345</v>
      </c>
      <c r="O70" s="71" t="s">
        <v>200</v>
      </c>
      <c r="P70" s="71" t="s">
        <v>380</v>
      </c>
      <c r="Q70" s="71" t="e">
        <f>IF(OR(AND($C$2="Base contract",$C$3="No, section requirements must be reviewed",#REF!= FALSE,#REF!=FALSE),AND($C$2="Contract amendment",$C$3="No, section requirements must be reviewed",#REF!=FALSE,#REF!=FALSE)),"MUNN")</f>
        <v>#REF!</v>
      </c>
      <c r="R70" s="71"/>
      <c r="S70" s="64">
        <v>43282</v>
      </c>
      <c r="T70" s="64"/>
      <c r="U70" s="64"/>
      <c r="V70" s="97" t="e">
        <f>IF(OR(AND(AG70=1,#REF!="TRUE",AT70=1),#REF!=TRUE,#REF!=TRUE),1,IF(AND(OR(AND(AG70=1,#REF!="FALSE"),AND(AG70&lt;&gt;1,#REF!="FALSE")),OR(AND(E70="Yes",F70&lt;&gt;""),AND(E70="N/A",H70&lt;&gt;""),AND(E70="Met",F70&lt;&gt;""),AND(E70="Not met",G70&lt;&gt;""),AND(E70="Unsure",G70&lt;&gt;""),AND(E70="No",G70&lt;&gt;""),AND(E70="No, submission is in draft",G70&lt;&gt;""))),1,0))</f>
        <v>#REF!</v>
      </c>
      <c r="W70" s="56" t="b">
        <f>IF(AND('Cover Sheet'!$B$19="Non-Risk",$R70=1),TRUE,FALSE)</f>
        <v>0</v>
      </c>
      <c r="X70" s="56"/>
      <c r="Y70" s="56"/>
      <c r="Z70" s="56"/>
      <c r="AA70" s="56"/>
      <c r="AB70" s="56"/>
      <c r="AC70" s="56"/>
      <c r="AD70" s="56"/>
      <c r="AE70" s="56"/>
      <c r="AF70" s="44" t="s">
        <v>2194</v>
      </c>
      <c r="AG70" s="98">
        <v>1</v>
      </c>
      <c r="AH70" s="75" t="str">
        <f>A17</f>
        <v xml:space="preserve">I.J.2.01 </v>
      </c>
      <c r="AI70" s="44" t="str">
        <f>C17</f>
        <v xml:space="preserve">The contract requires the MCP to comply with all applicable federal and state laws and regulations including:
• Title VI of the Civil Rights Act of 1964
• The Age Discrimination Act of 1975
• The Rehabilitation Act of 1973
• Title IX of the Education Amendments of 1972 (regarding education programs and activities)
• The Americans with Disabilities Act
• Section 1557 of the Patient Protection and Affordable Care Act (ACA)
</v>
      </c>
      <c r="AJ70" s="57" t="b">
        <f t="shared" si="35"/>
        <v>0</v>
      </c>
      <c r="AK70" s="57">
        <f t="shared" si="36"/>
        <v>1</v>
      </c>
      <c r="AM70" s="69" t="str">
        <f>IF(AL70=1,1,"")</f>
        <v/>
      </c>
      <c r="AN70" s="69" t="e">
        <f>IF(E17 &lt;&gt;0, E17, IF(OR(#REF!=TRUE,#REF!= TRUE),"N/A", 0))</f>
        <v>#REF!</v>
      </c>
      <c r="AO70" s="69" t="e">
        <f>IF(F17 &lt;&gt;0,F17, IF(OR(#REF!=TRUE,#REF!= TRUE),"N/A", 0))</f>
        <v>#REF!</v>
      </c>
      <c r="AP70" s="69" t="e">
        <f>IF(G17 &lt;&gt;0, G17, IF(OR(#REF!=TRUE,#REF!= TRUE),"N/A", 0))</f>
        <v>#REF!</v>
      </c>
      <c r="AQ70" s="69" t="e">
        <f>IF(H17 &lt;&gt;0, H17, IF(OR(#REF!=TRUE,#REF!= TRUE),"N/A", 0))</f>
        <v>#REF!</v>
      </c>
      <c r="AR70" s="69" t="e">
        <f>IF(OR(AND($H$6="Both",OR(AND(AG70=0,OR(NOT(ISBLANK(E70)),NOT(ISBLANK(F70)),NOT(ISBLANK(G70)),NOT(ISBLANK(H70)))),AND(AG70=1,#REF!="TRUE",OR(AN70&lt;&gt;0,AO70&lt;&gt;0,AP70&lt;&gt;0,AQ70&lt;&gt;0)),AND(AG70=1,#REF!="FALSE",OR(NOT(ISBLANK(E70)),NOT(ISBLANK(F70)),NOT(ISBLANK(G70)),NOT(ISBLANK(H70)))))),AND($H$6="CHIP",OR(NOT(ISBLANK(E70)),NOT(ISBLANK(F70)),NOT(ISBLANK(G70)),NOT(ISBLANK(H70)))),V70=1),1,0)</f>
        <v>#REF!</v>
      </c>
      <c r="AS70" s="69" t="e">
        <f>IF(AND(OR(OR(#REF!=TRUE,#REF!=TRUE),AND($H$6="Both",OR(AND(AG70=1,#REF!="TRUE",AT70=1,OR(AN70="Yes",AN70="N/A",AN70="Met")),AND(#REF!="FALSE",OR(AND(E70="Yes",NOT(ISBLANK(F70))),AND(E70="N/A",NOT(ISBLANK(H70))),AND(E70="Met",NOT(ISBLANK(F70))))))),AND($H$6="CHIP",OR(AND(E70="Yes",NOT(ISBLANK(F70))),AND(E70="N/A",NOT(ISBLANK(H70))),AND(E70="Met",NOT(ISBLANK(F70)))))),V70=1),1,0)</f>
        <v>#REF!</v>
      </c>
      <c r="AT70" s="69" t="e">
        <f t="shared" si="37"/>
        <v>#REF!</v>
      </c>
    </row>
    <row r="71" spans="1:46" ht="51.75" hidden="1" customHeight="1" x14ac:dyDescent="0.25">
      <c r="A71" s="308" t="s">
        <v>2195</v>
      </c>
      <c r="B71" s="309" t="s">
        <v>2196</v>
      </c>
      <c r="C71" s="339" t="str">
        <f t="shared" si="34"/>
        <v>The contract requires the MCP to comply with any applicable Federal and state laws that pertain to enrollee rights and ensure that its employees and contracted providers observe and protect those rights.   [If there is no additional information related to the CHIP contract, this information only needs to be entered in Section I.J.2.02 .]</v>
      </c>
      <c r="D71" s="310"/>
      <c r="E71" s="309" t="s">
        <v>311</v>
      </c>
      <c r="F71" s="309" t="s">
        <v>319</v>
      </c>
      <c r="G71" s="309" t="s">
        <v>319</v>
      </c>
      <c r="H71" s="371" t="s">
        <v>319</v>
      </c>
      <c r="I71" s="92" t="s">
        <v>168</v>
      </c>
      <c r="J71" s="92"/>
      <c r="K71" s="92" t="s">
        <v>185</v>
      </c>
      <c r="L71" s="71" t="s">
        <v>190</v>
      </c>
      <c r="M71" s="71" t="s">
        <v>195</v>
      </c>
      <c r="N71" s="71" t="s">
        <v>345</v>
      </c>
      <c r="O71" s="71" t="s">
        <v>200</v>
      </c>
      <c r="P71" s="71" t="s">
        <v>380</v>
      </c>
      <c r="Q71" s="71" t="e">
        <f>IF(OR(AND($C$2="Base contract",$C$3="No, section requirements must be reviewed",#REF!= FALSE,#REF!=FALSE),AND($C$2="Contract amendment",$C$3="No, section requirements must be reviewed",#REF!=FALSE,#REF!=FALSE)),"MUNN")</f>
        <v>#REF!</v>
      </c>
      <c r="R71" s="71"/>
      <c r="S71" s="64">
        <v>43282</v>
      </c>
      <c r="T71" s="64"/>
      <c r="U71" s="64"/>
      <c r="V71" s="97" t="e">
        <f>IF(OR(AND(AG71=1,#REF!="TRUE",AT71=1),#REF!=TRUE,#REF!=TRUE),1,IF(AND(OR(AND(AG71=1,#REF!="FALSE"),AND(AG71&lt;&gt;1,#REF!="FALSE")),OR(AND(E71="Yes",F71&lt;&gt;""),AND(E71="N/A",H71&lt;&gt;""),AND(E71="Met",F71&lt;&gt;""),AND(E71="Not met",G71&lt;&gt;""),AND(E71="Unsure",G71&lt;&gt;""),AND(E71="No",G71&lt;&gt;""),AND(E71="No, submission is in draft",G71&lt;&gt;""))),1,0))</f>
        <v>#REF!</v>
      </c>
      <c r="W71" s="56" t="b">
        <f>IF(AND('Cover Sheet'!$B$19="Non-Risk",$R71=1),TRUE,FALSE)</f>
        <v>0</v>
      </c>
      <c r="X71" s="56"/>
      <c r="Y71" s="56"/>
      <c r="Z71" s="56"/>
      <c r="AA71" s="56"/>
      <c r="AB71" s="56"/>
      <c r="AC71" s="56"/>
      <c r="AD71" s="56"/>
      <c r="AE71" s="56"/>
      <c r="AF71" s="44" t="s">
        <v>2197</v>
      </c>
      <c r="AG71" s="98">
        <v>1</v>
      </c>
      <c r="AH71" s="75" t="str">
        <f>A18</f>
        <v xml:space="preserve">I.J.2.02 </v>
      </c>
      <c r="AI71" s="44" t="str">
        <f>C18</f>
        <v xml:space="preserve">The contract requires the MCP to comply with any applicable federal and state laws that pertain to enrollee rights and ensure that its employees and contracted providers observe and protect those rights. </v>
      </c>
      <c r="AJ71" s="57" t="b">
        <f t="shared" si="35"/>
        <v>1</v>
      </c>
      <c r="AK71" s="57">
        <f t="shared" si="36"/>
        <v>1</v>
      </c>
      <c r="AM71" s="69" t="str">
        <f>IF(AL71=1,1,"")</f>
        <v/>
      </c>
      <c r="AN71" s="69" t="e">
        <f>IF(E18 &lt;&gt;0, E18, IF(OR(#REF!=TRUE,#REF!= TRUE),"N/A", 0))</f>
        <v>#REF!</v>
      </c>
      <c r="AO71" s="69" t="e">
        <f>IF(F18 &lt;&gt;0,F18, IF(OR(#REF!=TRUE,#REF!= TRUE),"N/A", 0))</f>
        <v>#REF!</v>
      </c>
      <c r="AP71" s="69" t="e">
        <f>IF(G18 &lt;&gt;0, G18, IF(OR(#REF!=TRUE,#REF!= TRUE),"N/A", 0))</f>
        <v>#REF!</v>
      </c>
      <c r="AQ71" s="69" t="e">
        <f>IF(H18 &lt;&gt;0, H18, IF(OR(#REF!=TRUE,#REF!= TRUE),"N/A", 0))</f>
        <v>#REF!</v>
      </c>
      <c r="AR71" s="69" t="e">
        <f>IF(OR(AND($H$6="Both",OR(AND(AG71=0,OR(NOT(ISBLANK(E71)),NOT(ISBLANK(F71)),NOT(ISBLANK(G71)),NOT(ISBLANK(H71)))),AND(AG71=1,#REF!="TRUE",OR(AN71&lt;&gt;0,AO71&lt;&gt;0,AP71&lt;&gt;0,AQ71&lt;&gt;0)),AND(AG71=1,#REF!="FALSE",OR(NOT(ISBLANK(E71)),NOT(ISBLANK(F71)),NOT(ISBLANK(G71)),NOT(ISBLANK(H71)))))),AND($H$6="CHIP",OR(NOT(ISBLANK(E71)),NOT(ISBLANK(F71)),NOT(ISBLANK(G71)),NOT(ISBLANK(H71)))),V71=1),1,0)</f>
        <v>#REF!</v>
      </c>
      <c r="AS71" s="69" t="e">
        <f>IF(AND(OR(OR(#REF!=TRUE,#REF!=TRUE),AND($H$6="Both",OR(AND(AG71=1,#REF!="TRUE",AT71=1,OR(AN71="Yes",AN71="N/A",AN71="Met")),AND(#REF!="FALSE",OR(AND(E71="Yes",NOT(ISBLANK(F71))),AND(E71="N/A",NOT(ISBLANK(H71))),AND(E71="Met",NOT(ISBLANK(F71))))))),AND($H$6="CHIP",OR(AND(E71="Yes",NOT(ISBLANK(F71))),AND(E71="N/A",NOT(ISBLANK(H71))),AND(E71="Met",NOT(ISBLANK(F71)))))),V71=1),1,0)</f>
        <v>#REF!</v>
      </c>
      <c r="AT71" s="69" t="e">
        <f t="shared" si="37"/>
        <v>#REF!</v>
      </c>
    </row>
    <row r="72" spans="1:46" ht="15.75" hidden="1" customHeight="1" x14ac:dyDescent="0.25">
      <c r="A72" s="357"/>
      <c r="B72" s="358"/>
      <c r="C72" s="372" t="s">
        <v>2198</v>
      </c>
      <c r="D72" s="373"/>
      <c r="E72" s="374"/>
      <c r="F72" s="374"/>
      <c r="G72" s="374"/>
      <c r="H72" s="375"/>
      <c r="I72" s="74"/>
      <c r="J72" s="74"/>
      <c r="K72" s="74"/>
      <c r="L72" s="87"/>
      <c r="M72" s="87"/>
      <c r="S72" s="116"/>
      <c r="T72" s="116"/>
      <c r="U72" s="116"/>
      <c r="V72" s="126"/>
      <c r="W72" s="68"/>
      <c r="X72" s="68"/>
      <c r="Y72" s="68"/>
      <c r="Z72" s="68"/>
      <c r="AA72" s="68"/>
      <c r="AB72" s="68"/>
      <c r="AC72" s="68"/>
      <c r="AD72" s="68"/>
      <c r="AE72" s="68"/>
      <c r="AF72" s="109"/>
      <c r="AG72" s="110"/>
      <c r="AI72" s="109"/>
    </row>
    <row r="73" spans="1:46" ht="76.5" hidden="1" customHeight="1" x14ac:dyDescent="0.25">
      <c r="A73" s="254" t="s">
        <v>2199</v>
      </c>
      <c r="B73" s="255" t="s">
        <v>2200</v>
      </c>
      <c r="C73" s="376" t="s">
        <v>2201</v>
      </c>
      <c r="D73" s="256">
        <v>3</v>
      </c>
      <c r="E73" s="255" t="s">
        <v>311</v>
      </c>
      <c r="F73" s="255" t="s">
        <v>319</v>
      </c>
      <c r="G73" s="255" t="s">
        <v>319</v>
      </c>
      <c r="H73" s="369" t="s">
        <v>319</v>
      </c>
      <c r="I73" s="92" t="s">
        <v>168</v>
      </c>
      <c r="J73" s="92"/>
      <c r="K73" s="92" t="s">
        <v>185</v>
      </c>
      <c r="L73" s="71" t="s">
        <v>190</v>
      </c>
      <c r="M73" s="71" t="s">
        <v>195</v>
      </c>
      <c r="N73" s="71"/>
      <c r="O73" s="71"/>
      <c r="P73" s="71" t="s">
        <v>380</v>
      </c>
      <c r="Q73" s="71" t="e">
        <f>IF(OR(AND($C$2="Base contract",$C$3="No, section requirements must be reviewed",#REF!= FALSE,#REF!=FALSE),AND($C$2="Contract amendment",$C$3="No, section requirements must be reviewed",#REF!=FALSE,#REF!=FALSE)),"MUNN")</f>
        <v>#REF!</v>
      </c>
      <c r="R73" s="71"/>
      <c r="S73" s="64">
        <v>43282</v>
      </c>
      <c r="T73" s="64"/>
      <c r="U73" s="64"/>
      <c r="V73" s="97" t="e">
        <f>IF(OR(AND(AG73=1,#REF!="TRUE",AT73=1),#REF!=TRUE,#REF!=TRUE),1,IF(AND(OR(AND(AG73=1,#REF!="FALSE"),AND(AG73&lt;&gt;1,#REF!="FALSE")),OR(AND(E73="Yes",F73&lt;&gt;""),AND(E73="N/A",H73&lt;&gt;""),AND(E73="Met",F73&lt;&gt;""),AND(E73="Not met",G73&lt;&gt;""),AND(E73="Unsure",G73&lt;&gt;""),AND(E73="No",G73&lt;&gt;""),AND(E73="No, submission is in draft",G73&lt;&gt;""))),1,0))</f>
        <v>#REF!</v>
      </c>
      <c r="W73" s="56" t="b">
        <f>IF(AND('Cover Sheet'!$B$19="Non-Risk",$R73=1),TRUE,FALSE)</f>
        <v>0</v>
      </c>
      <c r="X73" s="56"/>
      <c r="Y73" s="56"/>
      <c r="Z73" s="56"/>
      <c r="AA73" s="56"/>
      <c r="AB73" s="56"/>
      <c r="AC73" s="56"/>
      <c r="AD73" s="56"/>
      <c r="AE73" s="56"/>
      <c r="AF73" s="79"/>
      <c r="AG73" s="98">
        <v>0</v>
      </c>
      <c r="AH73" s="108"/>
      <c r="AI73" s="79"/>
      <c r="AJ73" s="57" t="str">
        <f t="shared" si="35"/>
        <v/>
      </c>
      <c r="AK73" s="57">
        <f t="shared" si="36"/>
        <v>0</v>
      </c>
      <c r="AM73" s="69" t="str">
        <f t="shared" ref="AM73:AM104" si="38">IF(AL73=1,1,"")</f>
        <v/>
      </c>
      <c r="AR73" s="69" t="e">
        <f>IF(OR(AND($H$6="Both",OR(AND(AG73=0,OR(NOT(ISBLANK(E73)),NOT(ISBLANK(F73)),NOT(ISBLANK(G73)),NOT(ISBLANK(H73)))),AND(AG73=1,#REF!="TRUE",OR(AN73&lt;&gt;0,AO73&lt;&gt;0,AP73&lt;&gt;0,AQ73&lt;&gt;0)),AND(AG73=1,#REF!="FALSE",OR(NOT(ISBLANK(E73)),NOT(ISBLANK(F73)),NOT(ISBLANK(G73)),NOT(ISBLANK(H73)))))),AND($H$6="CHIP",OR(NOT(ISBLANK(E73)),NOT(ISBLANK(F73)),NOT(ISBLANK(G73)),NOT(ISBLANK(H73)))),V73=1),1,0)</f>
        <v>#REF!</v>
      </c>
      <c r="AS73" s="69" t="e">
        <f>IF(AND(OR(OR(#REF!=TRUE,#REF!=TRUE),AND($H$6="Both",OR(AND(AG73=1,#REF!="TRUE",AT73=1,OR(AN73="Yes",AN73="N/A",AN73="Met")),AND(#REF!="FALSE",OR(AND(E73="Yes",NOT(ISBLANK(F73))),AND(E73="N/A",NOT(ISBLANK(H73))),AND(E73="Met",NOT(ISBLANK(F73))))))),AND($H$6="CHIP",OR(AND(E73="Yes",NOT(ISBLANK(F73))),AND(E73="N/A",NOT(ISBLANK(H73))),AND(E73="Met",NOT(ISBLANK(F73)))))),V73=1),1,0)</f>
        <v>#REF!</v>
      </c>
      <c r="AT73" s="69">
        <f t="shared" si="37"/>
        <v>0</v>
      </c>
    </row>
    <row r="74" spans="1:46" ht="76.5" hidden="1" customHeight="1" x14ac:dyDescent="0.25">
      <c r="A74" s="263" t="s">
        <v>2202</v>
      </c>
      <c r="B74" s="261" t="s">
        <v>2203</v>
      </c>
      <c r="C74" s="377" t="s">
        <v>2201</v>
      </c>
      <c r="D74" s="378">
        <v>3</v>
      </c>
      <c r="E74" s="255" t="s">
        <v>311</v>
      </c>
      <c r="F74" s="255" t="s">
        <v>319</v>
      </c>
      <c r="G74" s="255" t="s">
        <v>319</v>
      </c>
      <c r="H74" s="369" t="s">
        <v>319</v>
      </c>
      <c r="I74" s="92"/>
      <c r="J74" s="92"/>
      <c r="K74" s="92"/>
      <c r="L74" s="71"/>
      <c r="M74" s="71"/>
      <c r="N74" s="67"/>
      <c r="O74" s="71" t="s">
        <v>200</v>
      </c>
      <c r="P74" s="71" t="s">
        <v>380</v>
      </c>
      <c r="Q74" s="71" t="e">
        <f>IF(OR(AND($C$2="Base contract",$C$3="No, section requirements must be reviewed",#REF!= FALSE,#REF!=FALSE),AND($C$2="Contract amendment",$C$3="No, section requirements must be reviewed",#REF!=FALSE,#REF!=FALSE)),"MUNN")</f>
        <v>#REF!</v>
      </c>
      <c r="R74" s="71"/>
      <c r="S74" s="64">
        <v>44179</v>
      </c>
      <c r="T74" s="64"/>
      <c r="U74" s="64"/>
      <c r="V74" s="97" t="e">
        <f>IF(OR(AND(AG74=1,#REF!="TRUE",AT74=1),#REF!=TRUE,#REF!=TRUE),1,IF(AND(OR(AND(AG74=1,#REF!="FALSE"),AND(AG74&lt;&gt;1,#REF!="FALSE")),OR(AND(E74="Yes",F74&lt;&gt;""),AND(E74="N/A",H74&lt;&gt;""),AND(E74="Met",F74&lt;&gt;""),AND(E74="Not met",G74&lt;&gt;""),AND(E74="Unsure",G74&lt;&gt;""),AND(E74="No",G74&lt;&gt;""),AND(E74="No, submission is in draft",G74&lt;&gt;""))),1,0))</f>
        <v>#REF!</v>
      </c>
      <c r="W74" s="56" t="b">
        <f>IF(AND('Cover Sheet'!$B$19="Non-Risk",$R74=1),TRUE,FALSE)</f>
        <v>0</v>
      </c>
      <c r="X74" s="56"/>
      <c r="Y74" s="56"/>
      <c r="Z74" s="56"/>
      <c r="AA74" s="56"/>
      <c r="AB74" s="56"/>
      <c r="AC74" s="56"/>
      <c r="AD74" s="56"/>
      <c r="AE74" s="56"/>
      <c r="AF74" s="79"/>
      <c r="AG74" s="98">
        <v>0</v>
      </c>
      <c r="AH74" s="108"/>
      <c r="AI74" s="79"/>
      <c r="AJ74" s="57" t="str">
        <f t="shared" si="35"/>
        <v/>
      </c>
      <c r="AK74" s="57">
        <f>IF($AG$2=1, IF(AG74=1,1,0),0)</f>
        <v>0</v>
      </c>
      <c r="AM74" s="69" t="str">
        <f t="shared" si="38"/>
        <v/>
      </c>
      <c r="AR74" s="69" t="e">
        <f>IF(OR(AND($H$6="Both",OR(AND(AG74=0,OR(NOT(ISBLANK(E74)),NOT(ISBLANK(F74)),NOT(ISBLANK(G74)),NOT(ISBLANK(H74)))),AND(AG74=1,#REF!="TRUE",OR(AN74&lt;&gt;0,AO74&lt;&gt;0,AP74&lt;&gt;0,AQ74&lt;&gt;0)),AND(AG74=1,#REF!="FALSE",OR(NOT(ISBLANK(E74)),NOT(ISBLANK(F74)),NOT(ISBLANK(G74)),NOT(ISBLANK(H74)))))),AND($H$6="CHIP",OR(NOT(ISBLANK(E74)),NOT(ISBLANK(F74)),NOT(ISBLANK(G74)),NOT(ISBLANK(H74)))),V74=1),1,0)</f>
        <v>#REF!</v>
      </c>
      <c r="AS74" s="69" t="e">
        <f>IF(AND(OR(OR(#REF!=TRUE,#REF!=TRUE),AND($H$6="Both",OR(AND(AG74=1,#REF!="TRUE",AT74=1,OR(AN74="Yes",AN74="N/A",AN74="Met")),AND(#REF!="FALSE",OR(AND(E74="Yes",NOT(ISBLANK(F74))),AND(E74="N/A",NOT(ISBLANK(H74))),AND(E74="Met",NOT(ISBLANK(F74))))))),AND($H$6="CHIP",OR(AND(E74="Yes",NOT(ISBLANK(F74))),AND(E74="N/A",NOT(ISBLANK(H74))),AND(E74="Met",NOT(ISBLANK(F74)))))),V74=1),1,0)</f>
        <v>#REF!</v>
      </c>
      <c r="AT74" s="69">
        <f t="shared" si="37"/>
        <v>0</v>
      </c>
    </row>
    <row r="75" spans="1:46" ht="78.75" hidden="1" customHeight="1" x14ac:dyDescent="0.25">
      <c r="A75" s="294" t="s">
        <v>2204</v>
      </c>
      <c r="B75" s="295" t="s">
        <v>2205</v>
      </c>
      <c r="C75" s="377" t="s">
        <v>2206</v>
      </c>
      <c r="D75" s="296">
        <v>3</v>
      </c>
      <c r="E75" s="295" t="s">
        <v>311</v>
      </c>
      <c r="F75" s="295" t="s">
        <v>319</v>
      </c>
      <c r="G75" s="295" t="s">
        <v>319</v>
      </c>
      <c r="H75" s="367" t="s">
        <v>319</v>
      </c>
      <c r="I75" s="92" t="s">
        <v>168</v>
      </c>
      <c r="J75" s="92"/>
      <c r="K75" s="92" t="s">
        <v>185</v>
      </c>
      <c r="L75" s="71" t="s">
        <v>190</v>
      </c>
      <c r="M75" s="71" t="s">
        <v>195</v>
      </c>
      <c r="N75" s="71"/>
      <c r="O75" s="71"/>
      <c r="P75" s="71" t="s">
        <v>380</v>
      </c>
      <c r="Q75" s="71" t="e">
        <f>IF(OR(AND($C$2="Base contract",$C$3="No, section requirements must be reviewed",#REF!= FALSE,#REF!=FALSE),AND($C$2="Contract amendment",$C$3="No, section requirements must be reviewed",#REF!=FALSE,#REF!=FALSE)),"MUNN")</f>
        <v>#REF!</v>
      </c>
      <c r="R75" s="71"/>
      <c r="S75" s="64">
        <v>43282</v>
      </c>
      <c r="T75" s="64"/>
      <c r="U75" s="64"/>
      <c r="V75" s="97" t="e">
        <f>IF(OR(AND(AG75=1,#REF!="TRUE",AT75=1),#REF!=TRUE,#REF!=TRUE),1,IF(AND(OR(AND(AG75=1,#REF!="FALSE"),AND(AG75&lt;&gt;1,#REF!="FALSE")),OR(AND(E75="Yes",F75&lt;&gt;""),AND(E75="N/A",H75&lt;&gt;""),AND(E75="Met",F75&lt;&gt;""),AND(E75="Not met",G75&lt;&gt;""),AND(E75="Unsure",G75&lt;&gt;""),AND(E75="No",G75&lt;&gt;""),AND(E75="No, submission is in draft",G75&lt;&gt;""))),1,0))</f>
        <v>#REF!</v>
      </c>
      <c r="W75" s="56" t="b">
        <f>IF(AND('Cover Sheet'!$B$19="Non-Risk",$R75=1),TRUE,FALSE)</f>
        <v>0</v>
      </c>
      <c r="X75" s="56"/>
      <c r="Y75" s="56"/>
      <c r="Z75" s="56"/>
      <c r="AA75" s="56"/>
      <c r="AB75" s="56"/>
      <c r="AC75" s="56"/>
      <c r="AD75" s="56"/>
      <c r="AE75" s="56"/>
      <c r="AF75" s="79"/>
      <c r="AG75" s="98">
        <v>0</v>
      </c>
      <c r="AH75" s="108"/>
      <c r="AI75" s="79"/>
      <c r="AJ75" s="57" t="str">
        <f t="shared" si="35"/>
        <v/>
      </c>
      <c r="AK75" s="57">
        <f t="shared" si="36"/>
        <v>0</v>
      </c>
      <c r="AM75" s="69" t="str">
        <f t="shared" si="38"/>
        <v/>
      </c>
      <c r="AR75" s="69" t="e">
        <f>IF(OR(AND($H$6="Both",OR(AND(AG75=0,OR(NOT(ISBLANK(E75)),NOT(ISBLANK(F75)),NOT(ISBLANK(G75)),NOT(ISBLANK(H75)))),AND(AG75=1,#REF!="TRUE",OR(AN75&lt;&gt;0,AO75&lt;&gt;0,AP75&lt;&gt;0,AQ75&lt;&gt;0)),AND(AG75=1,#REF!="FALSE",OR(NOT(ISBLANK(E75)),NOT(ISBLANK(F75)),NOT(ISBLANK(G75)),NOT(ISBLANK(H75)))))),AND($H$6="CHIP",OR(NOT(ISBLANK(E75)),NOT(ISBLANK(F75)),NOT(ISBLANK(G75)),NOT(ISBLANK(H75)))),V75=1),1,0)</f>
        <v>#REF!</v>
      </c>
      <c r="AS75" s="69" t="e">
        <f>IF(AND(OR(OR(#REF!=TRUE,#REF!=TRUE),AND($H$6="Both",OR(AND(AG75=1,#REF!="TRUE",AT75=1,OR(AN75="Yes",AN75="N/A",AN75="Met")),AND(#REF!="FALSE",OR(AND(E75="Yes",NOT(ISBLANK(F75))),AND(E75="N/A",NOT(ISBLANK(H75))),AND(E75="Met",NOT(ISBLANK(F75))))))),AND($H$6="CHIP",OR(AND(E75="Yes",NOT(ISBLANK(F75))),AND(E75="N/A",NOT(ISBLANK(H75))),AND(E75="Met",NOT(ISBLANK(F75)))))),V75=1),1,0)</f>
        <v>#REF!</v>
      </c>
      <c r="AT75" s="69">
        <f t="shared" si="37"/>
        <v>0</v>
      </c>
    </row>
    <row r="76" spans="1:46" ht="76.5" hidden="1" customHeight="1" x14ac:dyDescent="0.25">
      <c r="A76" s="330" t="s">
        <v>2204</v>
      </c>
      <c r="B76" s="263" t="s">
        <v>2207</v>
      </c>
      <c r="C76" s="377" t="s">
        <v>2206</v>
      </c>
      <c r="D76" s="378">
        <v>3</v>
      </c>
      <c r="E76" s="295" t="s">
        <v>311</v>
      </c>
      <c r="F76" s="295" t="s">
        <v>319</v>
      </c>
      <c r="G76" s="295" t="s">
        <v>319</v>
      </c>
      <c r="H76" s="367" t="s">
        <v>319</v>
      </c>
      <c r="I76" s="92"/>
      <c r="J76" s="92"/>
      <c r="K76" s="92"/>
      <c r="L76" s="71"/>
      <c r="M76" s="71"/>
      <c r="N76" s="67"/>
      <c r="O76" s="71" t="s">
        <v>200</v>
      </c>
      <c r="P76" s="71" t="s">
        <v>380</v>
      </c>
      <c r="Q76" s="71" t="e">
        <f>IF(OR(AND($C$2="Base contract",$C$3="No, section requirements must be reviewed",#REF!= FALSE,#REF!=FALSE),AND($C$2="Contract amendment",$C$3="No, section requirements must be reviewed",#REF!=FALSE,#REF!=FALSE)),"MUNN")</f>
        <v>#REF!</v>
      </c>
      <c r="R76" s="71"/>
      <c r="S76" s="64">
        <v>44179</v>
      </c>
      <c r="T76" s="64"/>
      <c r="U76" s="64"/>
      <c r="V76" s="97" t="e">
        <f>IF(OR(AND(AG76=1,#REF!="TRUE",AT76=1),#REF!=TRUE,#REF!=TRUE),1,IF(AND(OR(AND(AG76=1,#REF!="FALSE"),AND(AG76&lt;&gt;1,#REF!="FALSE")),OR(AND(E76="Yes",F76&lt;&gt;""),AND(E76="N/A",H76&lt;&gt;""),AND(E76="Met",F76&lt;&gt;""),AND(E76="Not met",G76&lt;&gt;""),AND(E76="Unsure",G76&lt;&gt;""),AND(E76="No",G76&lt;&gt;""),AND(E76="No, submission is in draft",G76&lt;&gt;""))),1,0))</f>
        <v>#REF!</v>
      </c>
      <c r="W76" s="56" t="b">
        <f>IF(AND('Cover Sheet'!$B$19="Non-Risk",$R76=1),TRUE,FALSE)</f>
        <v>0</v>
      </c>
      <c r="X76" s="56"/>
      <c r="Y76" s="56"/>
      <c r="Z76" s="56"/>
      <c r="AA76" s="56"/>
      <c r="AB76" s="56"/>
      <c r="AC76" s="56"/>
      <c r="AD76" s="56"/>
      <c r="AE76" s="56"/>
      <c r="AF76" s="79"/>
      <c r="AG76" s="98">
        <v>0</v>
      </c>
      <c r="AH76" s="108"/>
      <c r="AI76" s="79"/>
      <c r="AJ76" s="57" t="str">
        <f t="shared" si="35"/>
        <v/>
      </c>
      <c r="AK76" s="57">
        <f>IF($AG$2=1, IF(AG76=1,1,0),0)</f>
        <v>0</v>
      </c>
      <c r="AM76" s="69" t="str">
        <f t="shared" si="38"/>
        <v/>
      </c>
      <c r="AR76" s="69" t="e">
        <f>IF(OR(AND($H$6="Both",OR(AND(AG76=0,OR(NOT(ISBLANK(E76)),NOT(ISBLANK(F76)),NOT(ISBLANK(G76)),NOT(ISBLANK(H76)))),AND(AG76=1,#REF!="TRUE",OR(AN76&lt;&gt;0,AO76&lt;&gt;0,AP76&lt;&gt;0,AQ76&lt;&gt;0)),AND(AG76=1,#REF!="FALSE",OR(NOT(ISBLANK(E76)),NOT(ISBLANK(F76)),NOT(ISBLANK(G76)),NOT(ISBLANK(H76)))))),AND($H$6="CHIP",OR(NOT(ISBLANK(E76)),NOT(ISBLANK(F76)),NOT(ISBLANK(G76)),NOT(ISBLANK(H76)))),V76=1),1,0)</f>
        <v>#REF!</v>
      </c>
      <c r="AS76" s="69" t="e">
        <f>IF(AND(OR(OR(#REF!=TRUE,#REF!=TRUE),AND($H$6="Both",OR(AND(AG76=1,#REF!="TRUE",AT76=1,OR(AN76="Yes",AN76="N/A",AN76="Met")),AND(#REF!="FALSE",OR(AND(E76="Yes",NOT(ISBLANK(F76))),AND(E76="N/A",NOT(ISBLANK(H76))),AND(E76="Met",NOT(ISBLANK(F76))))))),AND($H$6="CHIP",OR(AND(E76="Yes",NOT(ISBLANK(F76))),AND(E76="N/A",NOT(ISBLANK(H76))),AND(E76="Met",NOT(ISBLANK(F76)))))),V76=1),1,0)</f>
        <v>#REF!</v>
      </c>
      <c r="AT76" s="69">
        <f t="shared" si="37"/>
        <v>0</v>
      </c>
    </row>
    <row r="77" spans="1:46" ht="102" hidden="1" customHeight="1" x14ac:dyDescent="0.25">
      <c r="A77" s="294" t="s">
        <v>2208</v>
      </c>
      <c r="B77" s="295" t="s">
        <v>2209</v>
      </c>
      <c r="C77" s="377" t="s">
        <v>2210</v>
      </c>
      <c r="D77" s="296">
        <v>3</v>
      </c>
      <c r="E77" s="295" t="s">
        <v>311</v>
      </c>
      <c r="F77" s="295" t="s">
        <v>319</v>
      </c>
      <c r="G77" s="295" t="s">
        <v>319</v>
      </c>
      <c r="H77" s="367" t="s">
        <v>319</v>
      </c>
      <c r="I77" s="92" t="s">
        <v>168</v>
      </c>
      <c r="J77" s="92"/>
      <c r="K77" s="92" t="s">
        <v>185</v>
      </c>
      <c r="L77" s="71" t="s">
        <v>190</v>
      </c>
      <c r="M77" s="71" t="s">
        <v>195</v>
      </c>
      <c r="N77" s="71"/>
      <c r="O77" s="71"/>
      <c r="P77" s="71" t="s">
        <v>380</v>
      </c>
      <c r="Q77" s="71" t="e">
        <f>IF(OR(AND($C$2="Base contract",$C$3="No, section requirements must be reviewed",#REF!= FALSE,#REF!=FALSE),AND($C$2="Contract amendment",$C$3="No, section requirements must be reviewed",#REF!=FALSE,#REF!=FALSE)),"MUNN")</f>
        <v>#REF!</v>
      </c>
      <c r="R77" s="71"/>
      <c r="S77" s="64">
        <v>43282</v>
      </c>
      <c r="T77" s="64"/>
      <c r="U77" s="64"/>
      <c r="V77" s="97" t="e">
        <f>IF(OR(AND(AG77=1,#REF!="TRUE",AT77=1),#REF!=TRUE,#REF!=TRUE),1,IF(AND(OR(AND(AG77=1,#REF!="FALSE"),AND(AG77&lt;&gt;1,#REF!="FALSE")),OR(AND(E77="Yes",F77&lt;&gt;""),AND(E77="N/A",H77&lt;&gt;""),AND(E77="Met",F77&lt;&gt;""),AND(E77="Not met",G77&lt;&gt;""),AND(E77="Unsure",G77&lt;&gt;""),AND(E77="No",G77&lt;&gt;""),AND(E77="No, submission is in draft",G77&lt;&gt;""))),1,0))</f>
        <v>#REF!</v>
      </c>
      <c r="W77" s="56" t="b">
        <f>IF(AND('Cover Sheet'!$B$19="Non-Risk",$R77=1),TRUE,FALSE)</f>
        <v>0</v>
      </c>
      <c r="X77" s="56"/>
      <c r="Y77" s="56"/>
      <c r="Z77" s="56"/>
      <c r="AA77" s="56"/>
      <c r="AB77" s="56"/>
      <c r="AC77" s="56"/>
      <c r="AD77" s="56"/>
      <c r="AE77" s="56"/>
      <c r="AF77" s="79"/>
      <c r="AG77" s="98">
        <v>0</v>
      </c>
      <c r="AH77" s="108"/>
      <c r="AI77" s="79"/>
      <c r="AJ77" s="57" t="str">
        <f t="shared" si="35"/>
        <v/>
      </c>
      <c r="AK77" s="57">
        <f t="shared" si="36"/>
        <v>0</v>
      </c>
      <c r="AM77" s="69" t="str">
        <f t="shared" si="38"/>
        <v/>
      </c>
      <c r="AR77" s="69" t="e">
        <f>IF(OR(AND($H$6="Both",OR(AND(AG77=0,OR(NOT(ISBLANK(E77)),NOT(ISBLANK(F77)),NOT(ISBLANK(G77)),NOT(ISBLANK(H77)))),AND(AG77=1,#REF!="TRUE",OR(AN77&lt;&gt;0,AO77&lt;&gt;0,AP77&lt;&gt;0,AQ77&lt;&gt;0)),AND(AG77=1,#REF!="FALSE",OR(NOT(ISBLANK(E77)),NOT(ISBLANK(F77)),NOT(ISBLANK(G77)),NOT(ISBLANK(H77)))))),AND($H$6="CHIP",OR(NOT(ISBLANK(E77)),NOT(ISBLANK(F77)),NOT(ISBLANK(G77)),NOT(ISBLANK(H77)))),V77=1),1,0)</f>
        <v>#REF!</v>
      </c>
      <c r="AS77" s="69" t="e">
        <f>IF(AND(OR(OR(#REF!=TRUE,#REF!=TRUE),AND($H$6="Both",OR(AND(AG77=1,#REF!="TRUE",AT77=1,OR(AN77="Yes",AN77="N/A",AN77="Met")),AND(#REF!="FALSE",OR(AND(E77="Yes",NOT(ISBLANK(F77))),AND(E77="N/A",NOT(ISBLANK(H77))),AND(E77="Met",NOT(ISBLANK(F77))))))),AND($H$6="CHIP",OR(AND(E77="Yes",NOT(ISBLANK(F77))),AND(E77="N/A",NOT(ISBLANK(H77))),AND(E77="Met",NOT(ISBLANK(F77)))))),V77=1),1,0)</f>
        <v>#REF!</v>
      </c>
      <c r="AT77" s="69">
        <f t="shared" si="37"/>
        <v>0</v>
      </c>
    </row>
    <row r="78" spans="1:46" ht="102" hidden="1" customHeight="1" x14ac:dyDescent="0.25">
      <c r="A78" s="263" t="s">
        <v>2208</v>
      </c>
      <c r="B78" s="263" t="s">
        <v>2211</v>
      </c>
      <c r="C78" s="379" t="s">
        <v>2210</v>
      </c>
      <c r="D78" s="380">
        <v>3</v>
      </c>
      <c r="E78" s="295" t="s">
        <v>311</v>
      </c>
      <c r="F78" s="295" t="s">
        <v>319</v>
      </c>
      <c r="G78" s="295" t="s">
        <v>319</v>
      </c>
      <c r="H78" s="367" t="s">
        <v>319</v>
      </c>
      <c r="I78" s="92"/>
      <c r="J78" s="92"/>
      <c r="K78" s="92"/>
      <c r="L78" s="71"/>
      <c r="M78" s="71"/>
      <c r="N78" s="71"/>
      <c r="O78" s="71" t="s">
        <v>200</v>
      </c>
      <c r="P78" s="71" t="s">
        <v>380</v>
      </c>
      <c r="Q78" s="71" t="e">
        <f>IF(OR(AND($C$2="Base contract",$C$3="No, section requirements must be reviewed",#REF!= FALSE,#REF!=FALSE),AND($C$2="Contract amendment",$C$3="No, section requirements must be reviewed",#REF!=FALSE,#REF!=FALSE)),"MUNN")</f>
        <v>#REF!</v>
      </c>
      <c r="R78" s="71"/>
      <c r="S78" s="64">
        <v>44179</v>
      </c>
      <c r="T78" s="64"/>
      <c r="U78" s="64"/>
      <c r="V78" s="97" t="e">
        <f>IF(OR(AND(AG78=1,#REF!="TRUE",AT78=1),#REF!=TRUE,#REF!=TRUE),1,IF(AND(OR(AND(AG78=1,#REF!="FALSE"),AND(AG78&lt;&gt;1,#REF!="FALSE")),OR(AND(E78="Yes",F78&lt;&gt;""),AND(E78="N/A",H78&lt;&gt;""),AND(E78="Met",F78&lt;&gt;""),AND(E78="Not met",G78&lt;&gt;""),AND(E78="Unsure",G78&lt;&gt;""),AND(E78="No",G78&lt;&gt;""),AND(E78="No, submission is in draft",G78&lt;&gt;""))),1,0))</f>
        <v>#REF!</v>
      </c>
      <c r="W78" s="56" t="b">
        <f>IF(AND('Cover Sheet'!$B$19="Non-Risk",$R78=1),TRUE,FALSE)</f>
        <v>0</v>
      </c>
      <c r="X78" s="56"/>
      <c r="Y78" s="56"/>
      <c r="Z78" s="56"/>
      <c r="AA78" s="56"/>
      <c r="AB78" s="56"/>
      <c r="AC78" s="56"/>
      <c r="AD78" s="56"/>
      <c r="AE78" s="56"/>
      <c r="AF78" s="79"/>
      <c r="AG78" s="98">
        <v>0</v>
      </c>
      <c r="AH78" s="108"/>
      <c r="AI78" s="79"/>
      <c r="AJ78" s="57" t="str">
        <f t="shared" si="35"/>
        <v/>
      </c>
      <c r="AK78" s="57">
        <f>IF($AG$2=1, IF(AG78=1,1,0),0)</f>
        <v>0</v>
      </c>
      <c r="AM78" s="69" t="str">
        <f t="shared" si="38"/>
        <v/>
      </c>
      <c r="AR78" s="69" t="e">
        <f>IF(OR(AND($H$6="Both",OR(AND(AG78=0,OR(NOT(ISBLANK(E78)),NOT(ISBLANK(F78)),NOT(ISBLANK(G78)),NOT(ISBLANK(H78)))),AND(AG78=1,#REF!="TRUE",OR(AN78&lt;&gt;0,AO78&lt;&gt;0,AP78&lt;&gt;0,AQ78&lt;&gt;0)),AND(AG78=1,#REF!="FALSE",OR(NOT(ISBLANK(E78)),NOT(ISBLANK(F78)),NOT(ISBLANK(G78)),NOT(ISBLANK(H78)))))),AND($H$6="CHIP",OR(NOT(ISBLANK(E78)),NOT(ISBLANK(F78)),NOT(ISBLANK(G78)),NOT(ISBLANK(H78)))),V78=1),1,0)</f>
        <v>#REF!</v>
      </c>
      <c r="AS78" s="69" t="e">
        <f>IF(AND(OR(OR(#REF!=TRUE,#REF!=TRUE),AND($H$6="Both",OR(AND(AG78=1,#REF!="TRUE",AT78=1,OR(AN78="Yes",AN78="N/A",AN78="Met")),AND(#REF!="FALSE",OR(AND(E78="Yes",NOT(ISBLANK(F78))),AND(E78="N/A",NOT(ISBLANK(H78))),AND(E78="Met",NOT(ISBLANK(F78))))))),AND($H$6="CHIP",OR(AND(E78="Yes",NOT(ISBLANK(F78))),AND(E78="N/A",NOT(ISBLANK(H78))),AND(E78="Met",NOT(ISBLANK(F78)))))),V78=1),1,0)</f>
        <v>#REF!</v>
      </c>
      <c r="AT78" s="69">
        <f t="shared" si="37"/>
        <v>0</v>
      </c>
    </row>
    <row r="79" spans="1:46" ht="78" hidden="1" customHeight="1" x14ac:dyDescent="0.25">
      <c r="A79" s="294" t="s">
        <v>2212</v>
      </c>
      <c r="B79" s="295" t="s">
        <v>2213</v>
      </c>
      <c r="C79" s="377" t="s">
        <v>2214</v>
      </c>
      <c r="D79" s="296">
        <v>3</v>
      </c>
      <c r="E79" s="295" t="s">
        <v>311</v>
      </c>
      <c r="F79" s="295" t="s">
        <v>319</v>
      </c>
      <c r="G79" s="295" t="s">
        <v>319</v>
      </c>
      <c r="H79" s="367" t="s">
        <v>319</v>
      </c>
      <c r="I79" s="92" t="s">
        <v>168</v>
      </c>
      <c r="J79" s="92"/>
      <c r="K79" s="92" t="s">
        <v>185</v>
      </c>
      <c r="L79" s="71" t="s">
        <v>190</v>
      </c>
      <c r="M79" s="71" t="s">
        <v>195</v>
      </c>
      <c r="N79" s="71"/>
      <c r="O79" s="71"/>
      <c r="P79" s="71" t="s">
        <v>380</v>
      </c>
      <c r="Q79" s="71" t="e">
        <f>IF(OR(AND($C$2="Base contract",$C$3="No, section requirements must be reviewed",#REF!= FALSE,#REF!=FALSE),AND($C$2="Contract amendment",$C$3="No, section requirements must be reviewed",#REF!=FALSE,#REF!=FALSE)),"MUNN")</f>
        <v>#REF!</v>
      </c>
      <c r="R79" s="71"/>
      <c r="S79" s="64">
        <v>43282</v>
      </c>
      <c r="T79" s="64"/>
      <c r="U79" s="64"/>
      <c r="V79" s="97" t="e">
        <f>IF(OR(AND(AG79=1,#REF!="TRUE",AT79=1),#REF!=TRUE,#REF!=TRUE),1,IF(AND(OR(AND(AG79=1,#REF!="FALSE"),AND(AG79&lt;&gt;1,#REF!="FALSE")),OR(AND(E79="Yes",F79&lt;&gt;""),AND(E79="N/A",H79&lt;&gt;""),AND(E79="Met",F79&lt;&gt;""),AND(E79="Not met",G79&lt;&gt;""),AND(E79="Unsure",G79&lt;&gt;""),AND(E79="No",G79&lt;&gt;""),AND(E79="No, submission is in draft",G79&lt;&gt;""))),1,0))</f>
        <v>#REF!</v>
      </c>
      <c r="W79" s="56" t="b">
        <f>IF(AND('Cover Sheet'!$B$19="Non-Risk",$R79=1),TRUE,FALSE)</f>
        <v>0</v>
      </c>
      <c r="X79" s="56"/>
      <c r="Y79" s="56"/>
      <c r="Z79" s="56"/>
      <c r="AA79" s="56"/>
      <c r="AB79" s="56"/>
      <c r="AC79" s="56"/>
      <c r="AD79" s="56"/>
      <c r="AE79" s="56"/>
      <c r="AF79" s="79"/>
      <c r="AG79" s="98">
        <v>0</v>
      </c>
      <c r="AH79" s="108"/>
      <c r="AI79" s="79"/>
      <c r="AJ79" s="57" t="str">
        <f t="shared" si="35"/>
        <v/>
      </c>
      <c r="AK79" s="57">
        <f t="shared" si="36"/>
        <v>0</v>
      </c>
      <c r="AM79" s="69" t="str">
        <f t="shared" si="38"/>
        <v/>
      </c>
      <c r="AR79" s="69" t="e">
        <f>IF(OR(AND($H$6="Both",OR(AND(AG79=0,OR(NOT(ISBLANK(E79)),NOT(ISBLANK(F79)),NOT(ISBLANK(G79)),NOT(ISBLANK(H79)))),AND(AG79=1,#REF!="TRUE",OR(AN79&lt;&gt;0,AO79&lt;&gt;0,AP79&lt;&gt;0,AQ79&lt;&gt;0)),AND(AG79=1,#REF!="FALSE",OR(NOT(ISBLANK(E79)),NOT(ISBLANK(F79)),NOT(ISBLANK(G79)),NOT(ISBLANK(H79)))))),AND($H$6="CHIP",OR(NOT(ISBLANK(E79)),NOT(ISBLANK(F79)),NOT(ISBLANK(G79)),NOT(ISBLANK(H79)))),V79=1),1,0)</f>
        <v>#REF!</v>
      </c>
      <c r="AS79" s="69" t="e">
        <f>IF(AND(OR(OR(#REF!=TRUE,#REF!=TRUE),AND($H$6="Both",OR(AND(AG79=1,#REF!="TRUE",AT79=1,OR(AN79="Yes",AN79="N/A",AN79="Met")),AND(#REF!="FALSE",OR(AND(E79="Yes",NOT(ISBLANK(F79))),AND(E79="N/A",NOT(ISBLANK(H79))),AND(E79="Met",NOT(ISBLANK(F79))))))),AND($H$6="CHIP",OR(AND(E79="Yes",NOT(ISBLANK(F79))),AND(E79="N/A",NOT(ISBLANK(H79))),AND(E79="Met",NOT(ISBLANK(F79)))))),V79=1),1,0)</f>
        <v>#REF!</v>
      </c>
      <c r="AT79" s="69">
        <f t="shared" si="37"/>
        <v>0</v>
      </c>
    </row>
    <row r="80" spans="1:46" ht="72.75" hidden="1" customHeight="1" x14ac:dyDescent="0.25">
      <c r="A80" s="330" t="s">
        <v>2212</v>
      </c>
      <c r="B80" s="263" t="s">
        <v>2215</v>
      </c>
      <c r="C80" s="379" t="s">
        <v>2216</v>
      </c>
      <c r="D80" s="380">
        <v>3</v>
      </c>
      <c r="E80" s="295" t="s">
        <v>311</v>
      </c>
      <c r="F80" s="295" t="s">
        <v>319</v>
      </c>
      <c r="G80" s="295" t="s">
        <v>319</v>
      </c>
      <c r="H80" s="367" t="s">
        <v>319</v>
      </c>
      <c r="I80" s="92"/>
      <c r="J80" s="92"/>
      <c r="K80" s="92"/>
      <c r="L80" s="71"/>
      <c r="M80" s="71"/>
      <c r="N80" s="71"/>
      <c r="O80" s="71" t="s">
        <v>200</v>
      </c>
      <c r="P80" s="71" t="s">
        <v>380</v>
      </c>
      <c r="Q80" s="71" t="e">
        <f>IF(OR(AND($C$2="Base contract",$C$3="No, section requirements must be reviewed",#REF!= FALSE,#REF!=FALSE),AND($C$2="Contract amendment",$C$3="No, section requirements must be reviewed",#REF!=FALSE,#REF!=FALSE)),"MUNN")</f>
        <v>#REF!</v>
      </c>
      <c r="R80" s="71"/>
      <c r="S80" s="64">
        <v>44179</v>
      </c>
      <c r="T80" s="64"/>
      <c r="U80" s="64"/>
      <c r="V80" s="97" t="e">
        <f>IF(OR(AND(AG80=1,#REF!="TRUE",AT80=1),#REF!=TRUE,#REF!=TRUE),1,IF(AND(OR(AND(AG80=1,#REF!="FALSE"),AND(AG80&lt;&gt;1,#REF!="FALSE")),OR(AND(E80="Yes",F80&lt;&gt;""),AND(E80="N/A",H80&lt;&gt;""),AND(E80="Met",F80&lt;&gt;""),AND(E80="Not met",G80&lt;&gt;""),AND(E80="Unsure",G80&lt;&gt;""),AND(E80="No",G80&lt;&gt;""),AND(E80="No, submission is in draft",G80&lt;&gt;""))),1,0))</f>
        <v>#REF!</v>
      </c>
      <c r="W80" s="56" t="b">
        <f>IF(AND('Cover Sheet'!$B$19="Non-Risk",$R80=1),TRUE,FALSE)</f>
        <v>0</v>
      </c>
      <c r="X80" s="56"/>
      <c r="Y80" s="56"/>
      <c r="Z80" s="56"/>
      <c r="AA80" s="56"/>
      <c r="AB80" s="56"/>
      <c r="AC80" s="56"/>
      <c r="AD80" s="56"/>
      <c r="AE80" s="56"/>
      <c r="AF80" s="79"/>
      <c r="AG80" s="98">
        <v>0</v>
      </c>
      <c r="AH80" s="108"/>
      <c r="AI80" s="79"/>
      <c r="AJ80" s="57" t="str">
        <f t="shared" si="35"/>
        <v/>
      </c>
      <c r="AK80" s="57">
        <f>IF($AG$2=1, IF(AG80=1,1,0),0)</f>
        <v>0</v>
      </c>
      <c r="AM80" s="69" t="str">
        <f t="shared" si="38"/>
        <v/>
      </c>
      <c r="AR80" s="69" t="e">
        <f>IF(OR(AND($H$6="Both",OR(AND(AG80=0,OR(NOT(ISBLANK(E80)),NOT(ISBLANK(F80)),NOT(ISBLANK(G80)),NOT(ISBLANK(H80)))),AND(AG80=1,#REF!="TRUE",OR(AN80&lt;&gt;0,AO80&lt;&gt;0,AP80&lt;&gt;0,AQ80&lt;&gt;0)),AND(AG80=1,#REF!="FALSE",OR(NOT(ISBLANK(E80)),NOT(ISBLANK(F80)),NOT(ISBLANK(G80)),NOT(ISBLANK(H80)))))),AND($H$6="CHIP",OR(NOT(ISBLANK(E80)),NOT(ISBLANK(F80)),NOT(ISBLANK(G80)),NOT(ISBLANK(H80)))),V80=1),1,0)</f>
        <v>#REF!</v>
      </c>
      <c r="AS80" s="69" t="e">
        <f>IF(AND(OR(OR(#REF!=TRUE,#REF!=TRUE),AND($H$6="Both",OR(AND(AG80=1,#REF!="TRUE",AT80=1,OR(AN80="Yes",AN80="N/A",AN80="Met")),AND(#REF!="FALSE",OR(AND(E80="Yes",NOT(ISBLANK(F80))),AND(E80="N/A",NOT(ISBLANK(H80))),AND(E80="Met",NOT(ISBLANK(F80))))))),AND($H$6="CHIP",OR(AND(E80="Yes",NOT(ISBLANK(F80))),AND(E80="N/A",NOT(ISBLANK(H80))),AND(E80="Met",NOT(ISBLANK(F80)))))),V80=1),1,0)</f>
        <v>#REF!</v>
      </c>
      <c r="AT80" s="69">
        <f t="shared" si="37"/>
        <v>0</v>
      </c>
    </row>
    <row r="81" spans="1:46" ht="120.75" hidden="1" customHeight="1" x14ac:dyDescent="0.25">
      <c r="A81" s="294" t="s">
        <v>2217</v>
      </c>
      <c r="B81" s="295" t="s">
        <v>2218</v>
      </c>
      <c r="C81" s="377" t="s">
        <v>2219</v>
      </c>
      <c r="D81" s="296">
        <v>3</v>
      </c>
      <c r="E81" s="295" t="s">
        <v>311</v>
      </c>
      <c r="F81" s="295" t="s">
        <v>319</v>
      </c>
      <c r="G81" s="295" t="s">
        <v>319</v>
      </c>
      <c r="H81" s="367" t="s">
        <v>319</v>
      </c>
      <c r="I81" s="92" t="s">
        <v>168</v>
      </c>
      <c r="J81" s="92"/>
      <c r="K81" s="92" t="s">
        <v>185</v>
      </c>
      <c r="L81" s="71" t="s">
        <v>190</v>
      </c>
      <c r="M81" s="71" t="s">
        <v>195</v>
      </c>
      <c r="N81" s="71"/>
      <c r="O81" s="71"/>
      <c r="P81" s="71" t="s">
        <v>380</v>
      </c>
      <c r="Q81" s="71" t="e">
        <f>IF(OR(AND($C$2="Base contract",$C$3="No, section requirements must be reviewed",#REF!= FALSE,#REF!=FALSE),AND($C$2="Contract amendment",$C$3="No, section requirements must be reviewed",#REF!=FALSE,#REF!=FALSE)),"MUNN")</f>
        <v>#REF!</v>
      </c>
      <c r="R81" s="71"/>
      <c r="S81" s="64">
        <v>43282</v>
      </c>
      <c r="T81" s="64"/>
      <c r="U81" s="64"/>
      <c r="V81" s="97" t="e">
        <f>IF(OR(AND(AG81=1,#REF!="TRUE",AT81=1),#REF!=TRUE,#REF!=TRUE),1,IF(AND(OR(AND(AG81=1,#REF!="FALSE"),AND(AG81&lt;&gt;1,#REF!="FALSE")),OR(AND(E81="Yes",F81&lt;&gt;""),AND(E81="N/A",H81&lt;&gt;""),AND(E81="Met",F81&lt;&gt;""),AND(E81="Not met",G81&lt;&gt;""),AND(E81="Unsure",G81&lt;&gt;""),AND(E81="No",G81&lt;&gt;""),AND(E81="No, submission is in draft",G81&lt;&gt;""))),1,0))</f>
        <v>#REF!</v>
      </c>
      <c r="W81" s="56" t="b">
        <f>IF(AND('Cover Sheet'!$B$19="Non-Risk",$R81=1),TRUE,FALSE)</f>
        <v>0</v>
      </c>
      <c r="X81" s="56"/>
      <c r="Y81" s="56"/>
      <c r="Z81" s="56"/>
      <c r="AA81" s="56"/>
      <c r="AB81" s="56"/>
      <c r="AC81" s="56"/>
      <c r="AD81" s="56"/>
      <c r="AE81" s="56"/>
      <c r="AF81" s="79"/>
      <c r="AG81" s="98">
        <v>0</v>
      </c>
      <c r="AH81" s="108"/>
      <c r="AI81" s="79"/>
      <c r="AJ81" s="57" t="str">
        <f t="shared" si="35"/>
        <v/>
      </c>
      <c r="AK81" s="57">
        <f t="shared" si="36"/>
        <v>0</v>
      </c>
      <c r="AM81" s="69" t="str">
        <f t="shared" si="38"/>
        <v/>
      </c>
      <c r="AR81" s="69" t="e">
        <f>IF(OR(AND($H$6="Both",OR(AND(AG81=0,OR(NOT(ISBLANK(E81)),NOT(ISBLANK(F81)),NOT(ISBLANK(G81)),NOT(ISBLANK(H81)))),AND(AG81=1,#REF!="TRUE",OR(AN81&lt;&gt;0,AO81&lt;&gt;0,AP81&lt;&gt;0,AQ81&lt;&gt;0)),AND(AG81=1,#REF!="FALSE",OR(NOT(ISBLANK(E81)),NOT(ISBLANK(F81)),NOT(ISBLANK(G81)),NOT(ISBLANK(H81)))))),AND($H$6="CHIP",OR(NOT(ISBLANK(E81)),NOT(ISBLANK(F81)),NOT(ISBLANK(G81)),NOT(ISBLANK(H81)))),V81=1),1,0)</f>
        <v>#REF!</v>
      </c>
      <c r="AS81" s="69" t="e">
        <f>IF(AND(OR(OR(#REF!=TRUE,#REF!=TRUE),AND($H$6="Both",OR(AND(AG81=1,#REF!="TRUE",AT81=1,OR(AN81="Yes",AN81="N/A",AN81="Met")),AND(#REF!="FALSE",OR(AND(E81="Yes",NOT(ISBLANK(F81))),AND(E81="N/A",NOT(ISBLANK(H81))),AND(E81="Met",NOT(ISBLANK(F81))))))),AND($H$6="CHIP",OR(AND(E81="Yes",NOT(ISBLANK(F81))),AND(E81="N/A",NOT(ISBLANK(H81))),AND(E81="Met",NOT(ISBLANK(F81)))))),V81=1),1,0)</f>
        <v>#REF!</v>
      </c>
      <c r="AT81" s="69">
        <f t="shared" si="37"/>
        <v>0</v>
      </c>
    </row>
    <row r="82" spans="1:46" ht="114.75" hidden="1" customHeight="1" x14ac:dyDescent="0.25">
      <c r="A82" s="330" t="s">
        <v>2217</v>
      </c>
      <c r="B82" s="263" t="s">
        <v>2220</v>
      </c>
      <c r="C82" s="379" t="s">
        <v>2219</v>
      </c>
      <c r="D82" s="380">
        <v>3</v>
      </c>
      <c r="E82" s="295" t="s">
        <v>311</v>
      </c>
      <c r="F82" s="295" t="s">
        <v>319</v>
      </c>
      <c r="G82" s="295" t="s">
        <v>319</v>
      </c>
      <c r="H82" s="367" t="s">
        <v>319</v>
      </c>
      <c r="I82" s="92"/>
      <c r="J82" s="92"/>
      <c r="K82" s="92"/>
      <c r="L82" s="71"/>
      <c r="M82" s="71"/>
      <c r="N82" s="71"/>
      <c r="O82" s="71" t="s">
        <v>200</v>
      </c>
      <c r="P82" s="71" t="s">
        <v>380</v>
      </c>
      <c r="Q82" s="71" t="e">
        <f>IF(OR(AND($C$2="Base contract",$C$3="No, section requirements must be reviewed",#REF!= FALSE,#REF!=FALSE),AND($C$2="Contract amendment",$C$3="No, section requirements must be reviewed",#REF!=FALSE,#REF!=FALSE)),"MUNN")</f>
        <v>#REF!</v>
      </c>
      <c r="R82" s="71"/>
      <c r="S82" s="64">
        <v>44179</v>
      </c>
      <c r="T82" s="64"/>
      <c r="U82" s="64"/>
      <c r="V82" s="97" t="e">
        <f>IF(OR(AND(AG82=1,#REF!="TRUE",AT82=1),#REF!=TRUE,#REF!=TRUE),1,IF(AND(OR(AND(AG82=1,#REF!="FALSE"),AND(AG82&lt;&gt;1,#REF!="FALSE")),OR(AND(E82="Yes",F82&lt;&gt;""),AND(E82="N/A",H82&lt;&gt;""),AND(E82="Met",F82&lt;&gt;""),AND(E82="Not met",G82&lt;&gt;""),AND(E82="Unsure",G82&lt;&gt;""),AND(E82="No",G82&lt;&gt;""),AND(E82="No, submission is in draft",G82&lt;&gt;""))),1,0))</f>
        <v>#REF!</v>
      </c>
      <c r="W82" s="56" t="b">
        <f>IF(AND('Cover Sheet'!$B$19="Non-Risk",$R82=1),TRUE,FALSE)</f>
        <v>0</v>
      </c>
      <c r="X82" s="56"/>
      <c r="Y82" s="56"/>
      <c r="Z82" s="56"/>
      <c r="AA82" s="56"/>
      <c r="AB82" s="56"/>
      <c r="AC82" s="56"/>
      <c r="AD82" s="56"/>
      <c r="AE82" s="56"/>
      <c r="AF82" s="79"/>
      <c r="AG82" s="98">
        <v>0</v>
      </c>
      <c r="AH82" s="108"/>
      <c r="AI82" s="79"/>
      <c r="AJ82" s="57" t="str">
        <f t="shared" si="35"/>
        <v/>
      </c>
      <c r="AK82" s="57">
        <f>IF($AG$2=1, IF(AG82=1,1,0),0)</f>
        <v>0</v>
      </c>
      <c r="AM82" s="69" t="str">
        <f t="shared" si="38"/>
        <v/>
      </c>
      <c r="AR82" s="69" t="e">
        <f>IF(OR(AND($H$6="Both",OR(AND(AG82=0,OR(NOT(ISBLANK(E82)),NOT(ISBLANK(F82)),NOT(ISBLANK(G82)),NOT(ISBLANK(H82)))),AND(AG82=1,#REF!="TRUE",OR(AN82&lt;&gt;0,AO82&lt;&gt;0,AP82&lt;&gt;0,AQ82&lt;&gt;0)),AND(AG82=1,#REF!="FALSE",OR(NOT(ISBLANK(E82)),NOT(ISBLANK(F82)),NOT(ISBLANK(G82)),NOT(ISBLANK(H82)))))),AND($H$6="CHIP",OR(NOT(ISBLANK(E82)),NOT(ISBLANK(F82)),NOT(ISBLANK(G82)),NOT(ISBLANK(H82)))),V82=1),1,0)</f>
        <v>#REF!</v>
      </c>
      <c r="AS82" s="69" t="e">
        <f>IF(AND(OR(OR(#REF!=TRUE,#REF!=TRUE),AND($H$6="Both",OR(AND(AG82=1,#REF!="TRUE",AT82=1,OR(AN82="Yes",AN82="N/A",AN82="Met")),AND(#REF!="FALSE",OR(AND(E82="Yes",NOT(ISBLANK(F82))),AND(E82="N/A",NOT(ISBLANK(H82))),AND(E82="Met",NOT(ISBLANK(F82))))))),AND($H$6="CHIP",OR(AND(E82="Yes",NOT(ISBLANK(F82))),AND(E82="N/A",NOT(ISBLANK(H82))),AND(E82="Met",NOT(ISBLANK(F82)))))),V82=1),1,0)</f>
        <v>#REF!</v>
      </c>
      <c r="AT82" s="69">
        <f t="shared" si="37"/>
        <v>0</v>
      </c>
    </row>
    <row r="83" spans="1:46" ht="93.75" hidden="1" customHeight="1" x14ac:dyDescent="0.25">
      <c r="A83" s="294" t="s">
        <v>2221</v>
      </c>
      <c r="B83" s="295" t="s">
        <v>2222</v>
      </c>
      <c r="C83" s="377" t="s">
        <v>2223</v>
      </c>
      <c r="D83" s="296">
        <v>3</v>
      </c>
      <c r="E83" s="295" t="s">
        <v>311</v>
      </c>
      <c r="F83" s="295" t="s">
        <v>319</v>
      </c>
      <c r="G83" s="295" t="s">
        <v>319</v>
      </c>
      <c r="H83" s="367" t="s">
        <v>319</v>
      </c>
      <c r="I83" s="92" t="s">
        <v>168</v>
      </c>
      <c r="J83" s="92"/>
      <c r="K83" s="92" t="s">
        <v>185</v>
      </c>
      <c r="L83" s="71" t="s">
        <v>190</v>
      </c>
      <c r="M83" s="71" t="s">
        <v>195</v>
      </c>
      <c r="N83" s="71"/>
      <c r="O83" s="71"/>
      <c r="P83" s="71" t="s">
        <v>380</v>
      </c>
      <c r="Q83" s="71" t="e">
        <f>IF(OR(AND($C$2="Base contract",$C$3="No, section requirements must be reviewed",#REF!= FALSE,#REF!=FALSE),AND($C$2="Contract amendment",$C$3="No, section requirements must be reviewed",#REF!=FALSE,#REF!=FALSE)),"MUNN")</f>
        <v>#REF!</v>
      </c>
      <c r="R83" s="71"/>
      <c r="S83" s="64">
        <v>43282</v>
      </c>
      <c r="T83" s="64"/>
      <c r="U83" s="64"/>
      <c r="V83" s="97" t="e">
        <f>IF(OR(AND(AG83=1,#REF!="TRUE",AT83=1),#REF!=TRUE,#REF!=TRUE),1,IF(AND(OR(AND(AG83=1,#REF!="FALSE"),AND(AG83&lt;&gt;1,#REF!="FALSE")),OR(AND(E83="Yes",F83&lt;&gt;""),AND(E83="N/A",H83&lt;&gt;""),AND(E83="Met",F83&lt;&gt;""),AND(E83="Not met",G83&lt;&gt;""),AND(E83="Unsure",G83&lt;&gt;""),AND(E83="No",G83&lt;&gt;""),AND(E83="No, submission is in draft",G83&lt;&gt;""))),1,0))</f>
        <v>#REF!</v>
      </c>
      <c r="W83" s="56" t="b">
        <f>IF(AND('Cover Sheet'!$B$19="Non-Risk",$R83=1),TRUE,FALSE)</f>
        <v>0</v>
      </c>
      <c r="X83" s="56"/>
      <c r="Y83" s="56"/>
      <c r="Z83" s="56"/>
      <c r="AA83" s="56"/>
      <c r="AB83" s="56"/>
      <c r="AC83" s="56"/>
      <c r="AD83" s="56"/>
      <c r="AE83" s="56"/>
      <c r="AF83" s="79"/>
      <c r="AG83" s="98">
        <v>0</v>
      </c>
      <c r="AH83" s="108"/>
      <c r="AI83" s="79"/>
      <c r="AJ83" s="57" t="str">
        <f t="shared" si="35"/>
        <v/>
      </c>
      <c r="AK83" s="57">
        <f t="shared" si="36"/>
        <v>0</v>
      </c>
      <c r="AM83" s="69" t="str">
        <f t="shared" si="38"/>
        <v/>
      </c>
      <c r="AR83" s="69" t="e">
        <f>IF(OR(AND($H$6="Both",OR(AND(AG83=0,OR(NOT(ISBLANK(E83)),NOT(ISBLANK(F83)),NOT(ISBLANK(G83)),NOT(ISBLANK(H83)))),AND(AG83=1,#REF!="TRUE",OR(AN83&lt;&gt;0,AO83&lt;&gt;0,AP83&lt;&gt;0,AQ83&lt;&gt;0)),AND(AG83=1,#REF!="FALSE",OR(NOT(ISBLANK(E83)),NOT(ISBLANK(F83)),NOT(ISBLANK(G83)),NOT(ISBLANK(H83)))))),AND($H$6="CHIP",OR(NOT(ISBLANK(E83)),NOT(ISBLANK(F83)),NOT(ISBLANK(G83)),NOT(ISBLANK(H83)))),V83=1),1,0)</f>
        <v>#REF!</v>
      </c>
      <c r="AS83" s="69" t="e">
        <f>IF(AND(OR(OR(#REF!=TRUE,#REF!=TRUE),AND($H$6="Both",OR(AND(AG83=1,#REF!="TRUE",AT83=1,OR(AN83="Yes",AN83="N/A",AN83="Met")),AND(#REF!="FALSE",OR(AND(E83="Yes",NOT(ISBLANK(F83))),AND(E83="N/A",NOT(ISBLANK(H83))),AND(E83="Met",NOT(ISBLANK(F83))))))),AND($H$6="CHIP",OR(AND(E83="Yes",NOT(ISBLANK(F83))),AND(E83="N/A",NOT(ISBLANK(H83))),AND(E83="Met",NOT(ISBLANK(F83)))))),V83=1),1,0)</f>
        <v>#REF!</v>
      </c>
      <c r="AT83" s="69">
        <f t="shared" si="37"/>
        <v>0</v>
      </c>
    </row>
    <row r="84" spans="1:46" ht="89.25" hidden="1" customHeight="1" x14ac:dyDescent="0.25">
      <c r="A84" s="330" t="s">
        <v>2221</v>
      </c>
      <c r="B84" s="263" t="s">
        <v>2224</v>
      </c>
      <c r="C84" s="379" t="s">
        <v>2223</v>
      </c>
      <c r="D84" s="380">
        <v>3</v>
      </c>
      <c r="E84" s="295" t="s">
        <v>311</v>
      </c>
      <c r="F84" s="295" t="s">
        <v>319</v>
      </c>
      <c r="G84" s="295" t="s">
        <v>319</v>
      </c>
      <c r="H84" s="367" t="s">
        <v>319</v>
      </c>
      <c r="I84" s="92"/>
      <c r="J84" s="92"/>
      <c r="K84" s="92"/>
      <c r="L84" s="71"/>
      <c r="M84" s="71"/>
      <c r="N84" s="71"/>
      <c r="O84" s="71" t="s">
        <v>200</v>
      </c>
      <c r="P84" s="71" t="s">
        <v>380</v>
      </c>
      <c r="Q84" s="71" t="e">
        <f>IF(OR(AND($C$2="Base contract",$C$3="No, section requirements must be reviewed",#REF!= FALSE,#REF!=FALSE),AND($C$2="Contract amendment",$C$3="No, section requirements must be reviewed",#REF!=FALSE,#REF!=FALSE)),"MUNN")</f>
        <v>#REF!</v>
      </c>
      <c r="R84" s="71"/>
      <c r="S84" s="64">
        <v>44179</v>
      </c>
      <c r="T84" s="64"/>
      <c r="U84" s="64"/>
      <c r="V84" s="97" t="e">
        <f>IF(OR(AND(AG84=1,#REF!="TRUE",AT84=1),#REF!=TRUE,#REF!=TRUE),1,IF(AND(OR(AND(AG84=1,#REF!="FALSE"),AND(AG84&lt;&gt;1,#REF!="FALSE")),OR(AND(E84="Yes",F84&lt;&gt;""),AND(E84="N/A",H84&lt;&gt;""),AND(E84="Met",F84&lt;&gt;""),AND(E84="Not met",G84&lt;&gt;""),AND(E84="Unsure",G84&lt;&gt;""),AND(E84="No",G84&lt;&gt;""),AND(E84="No, submission is in draft",G84&lt;&gt;""))),1,0))</f>
        <v>#REF!</v>
      </c>
      <c r="W84" s="56" t="b">
        <f>IF(AND('Cover Sheet'!$B$19="Non-Risk",$R84=1),TRUE,FALSE)</f>
        <v>0</v>
      </c>
      <c r="X84" s="56"/>
      <c r="Y84" s="56"/>
      <c r="Z84" s="56"/>
      <c r="AA84" s="56"/>
      <c r="AB84" s="56"/>
      <c r="AC84" s="56"/>
      <c r="AD84" s="56"/>
      <c r="AE84" s="56"/>
      <c r="AF84" s="79"/>
      <c r="AG84" s="98">
        <v>0</v>
      </c>
      <c r="AH84" s="108"/>
      <c r="AI84" s="79"/>
      <c r="AJ84" s="57" t="str">
        <f t="shared" si="35"/>
        <v/>
      </c>
      <c r="AK84" s="57">
        <f>IF($AG$2=1, IF(AG84=1,1,0),0)</f>
        <v>0</v>
      </c>
      <c r="AM84" s="69" t="str">
        <f t="shared" si="38"/>
        <v/>
      </c>
      <c r="AR84" s="69" t="e">
        <f>IF(OR(AND($H$6="Both",OR(AND(AG84=0,OR(NOT(ISBLANK(E84)),NOT(ISBLANK(F84)),NOT(ISBLANK(G84)),NOT(ISBLANK(H84)))),AND(AG84=1,#REF!="TRUE",OR(AN84&lt;&gt;0,AO84&lt;&gt;0,AP84&lt;&gt;0,AQ84&lt;&gt;0)),AND(AG84=1,#REF!="FALSE",OR(NOT(ISBLANK(E84)),NOT(ISBLANK(F84)),NOT(ISBLANK(G84)),NOT(ISBLANK(H84)))))),AND($H$6="CHIP",OR(NOT(ISBLANK(E84)),NOT(ISBLANK(F84)),NOT(ISBLANK(G84)),NOT(ISBLANK(H84)))),V84=1),1,0)</f>
        <v>#REF!</v>
      </c>
      <c r="AS84" s="69" t="e">
        <f>IF(AND(OR(OR(#REF!=TRUE,#REF!=TRUE),AND($H$6="Both",OR(AND(AG84=1,#REF!="TRUE",AT84=1,OR(AN84="Yes",AN84="N/A",AN84="Met")),AND(#REF!="FALSE",OR(AND(E84="Yes",NOT(ISBLANK(F84))),AND(E84="N/A",NOT(ISBLANK(H84))),AND(E84="Met",NOT(ISBLANK(F84))))))),AND($H$6="CHIP",OR(AND(E84="Yes",NOT(ISBLANK(F84))),AND(E84="N/A",NOT(ISBLANK(H84))),AND(E84="Met",NOT(ISBLANK(F84)))))),V84=1),1,0)</f>
        <v>#REF!</v>
      </c>
      <c r="AT84" s="69">
        <f t="shared" si="37"/>
        <v>0</v>
      </c>
    </row>
    <row r="85" spans="1:46" ht="76.5" hidden="1" customHeight="1" x14ac:dyDescent="0.25">
      <c r="A85" s="294" t="s">
        <v>2225</v>
      </c>
      <c r="B85" s="295" t="s">
        <v>2226</v>
      </c>
      <c r="C85" s="377" t="s">
        <v>2227</v>
      </c>
      <c r="D85" s="296">
        <v>3</v>
      </c>
      <c r="E85" s="295" t="s">
        <v>311</v>
      </c>
      <c r="F85" s="295" t="s">
        <v>319</v>
      </c>
      <c r="G85" s="295" t="s">
        <v>319</v>
      </c>
      <c r="H85" s="367" t="s">
        <v>319</v>
      </c>
      <c r="I85" s="92" t="s">
        <v>168</v>
      </c>
      <c r="J85" s="92"/>
      <c r="K85" s="92" t="s">
        <v>185</v>
      </c>
      <c r="L85" s="71" t="s">
        <v>190</v>
      </c>
      <c r="M85" s="71" t="s">
        <v>195</v>
      </c>
      <c r="N85" s="71"/>
      <c r="O85" s="71"/>
      <c r="P85" s="71" t="s">
        <v>380</v>
      </c>
      <c r="Q85" s="71" t="e">
        <f>IF(OR(AND($C$2="Base contract",$C$3="No, section requirements must be reviewed",#REF!= FALSE,#REF!=FALSE),AND($C$2="Contract amendment",$C$3="No, section requirements must be reviewed",#REF!=FALSE,#REF!=FALSE)),"MUNN")</f>
        <v>#REF!</v>
      </c>
      <c r="R85" s="71"/>
      <c r="S85" s="64">
        <v>43282</v>
      </c>
      <c r="T85" s="64"/>
      <c r="U85" s="64"/>
      <c r="V85" s="97" t="e">
        <f>IF(OR(AND(AG85=1,#REF!="TRUE",AT85=1),#REF!=TRUE,#REF!=TRUE),1,IF(AND(OR(AND(AG85=1,#REF!="FALSE"),AND(AG85&lt;&gt;1,#REF!="FALSE")),OR(AND(E85="Yes",F85&lt;&gt;""),AND(E85="N/A",H85&lt;&gt;""),AND(E85="Met",F85&lt;&gt;""),AND(E85="Not met",G85&lt;&gt;""),AND(E85="Unsure",G85&lt;&gt;""),AND(E85="No",G85&lt;&gt;""),AND(E85="No, submission is in draft",G85&lt;&gt;""))),1,0))</f>
        <v>#REF!</v>
      </c>
      <c r="W85" s="56" t="b">
        <f>IF(AND('Cover Sheet'!$B$19="Non-Risk",$R85=1),TRUE,FALSE)</f>
        <v>0</v>
      </c>
      <c r="X85" s="56"/>
      <c r="Y85" s="56"/>
      <c r="Z85" s="56"/>
      <c r="AA85" s="56"/>
      <c r="AB85" s="56"/>
      <c r="AC85" s="56"/>
      <c r="AD85" s="56"/>
      <c r="AE85" s="56"/>
      <c r="AF85" s="79"/>
      <c r="AG85" s="98">
        <v>0</v>
      </c>
      <c r="AH85" s="108"/>
      <c r="AI85" s="79"/>
      <c r="AJ85" s="57" t="str">
        <f t="shared" si="35"/>
        <v/>
      </c>
      <c r="AK85" s="57">
        <f t="shared" si="36"/>
        <v>0</v>
      </c>
      <c r="AM85" s="69" t="str">
        <f t="shared" si="38"/>
        <v/>
      </c>
      <c r="AR85" s="69" t="e">
        <f>IF(OR(AND($H$6="Both",OR(AND(AG85=0,OR(NOT(ISBLANK(E85)),NOT(ISBLANK(F85)),NOT(ISBLANK(G85)),NOT(ISBLANK(H85)))),AND(AG85=1,#REF!="TRUE",OR(AN85&lt;&gt;0,AO85&lt;&gt;0,AP85&lt;&gt;0,AQ85&lt;&gt;0)),AND(AG85=1,#REF!="FALSE",OR(NOT(ISBLANK(E85)),NOT(ISBLANK(F85)),NOT(ISBLANK(G85)),NOT(ISBLANK(H85)))))),AND($H$6="CHIP",OR(NOT(ISBLANK(E85)),NOT(ISBLANK(F85)),NOT(ISBLANK(G85)),NOT(ISBLANK(H85)))),V85=1),1,0)</f>
        <v>#REF!</v>
      </c>
      <c r="AS85" s="69" t="e">
        <f>IF(AND(OR(OR(#REF!=TRUE,#REF!=TRUE),AND($H$6="Both",OR(AND(AG85=1,#REF!="TRUE",AT85=1,OR(AN85="Yes",AN85="N/A",AN85="Met")),AND(#REF!="FALSE",OR(AND(E85="Yes",NOT(ISBLANK(F85))),AND(E85="N/A",NOT(ISBLANK(H85))),AND(E85="Met",NOT(ISBLANK(F85))))))),AND($H$6="CHIP",OR(AND(E85="Yes",NOT(ISBLANK(F85))),AND(E85="N/A",NOT(ISBLANK(H85))),AND(E85="Met",NOT(ISBLANK(F85)))))),V85=1),1,0)</f>
        <v>#REF!</v>
      </c>
      <c r="AT85" s="69">
        <f t="shared" si="37"/>
        <v>0</v>
      </c>
    </row>
    <row r="86" spans="1:46" ht="84" hidden="1" customHeight="1" x14ac:dyDescent="0.25">
      <c r="A86" s="330" t="s">
        <v>2225</v>
      </c>
      <c r="B86" s="263" t="s">
        <v>2228</v>
      </c>
      <c r="C86" s="379" t="s">
        <v>2227</v>
      </c>
      <c r="D86" s="380">
        <v>3</v>
      </c>
      <c r="E86" s="295" t="s">
        <v>311</v>
      </c>
      <c r="F86" s="295" t="s">
        <v>319</v>
      </c>
      <c r="G86" s="295" t="s">
        <v>319</v>
      </c>
      <c r="H86" s="367" t="s">
        <v>319</v>
      </c>
      <c r="I86" s="92"/>
      <c r="J86" s="92"/>
      <c r="K86" s="92"/>
      <c r="L86" s="71"/>
      <c r="M86" s="71"/>
      <c r="N86" s="71"/>
      <c r="O86" s="71" t="s">
        <v>200</v>
      </c>
      <c r="P86" s="71" t="s">
        <v>380</v>
      </c>
      <c r="Q86" s="71" t="e">
        <f>IF(OR(AND($C$2="Base contract",$C$3="No, section requirements must be reviewed",#REF!= FALSE,#REF!=FALSE),AND($C$2="Contract amendment",$C$3="No, section requirements must be reviewed",#REF!=FALSE,#REF!=FALSE)),"MUNN")</f>
        <v>#REF!</v>
      </c>
      <c r="R86" s="71"/>
      <c r="S86" s="64">
        <v>44179</v>
      </c>
      <c r="T86" s="64"/>
      <c r="U86" s="64"/>
      <c r="V86" s="97" t="e">
        <f>IF(OR(AND(AG86=1,#REF!="TRUE",AT86=1),#REF!=TRUE,#REF!=TRUE),1,IF(AND(OR(AND(AG86=1,#REF!="FALSE"),AND(AG86&lt;&gt;1,#REF!="FALSE")),OR(AND(E86="Yes",F86&lt;&gt;""),AND(E86="N/A",H86&lt;&gt;""),AND(E86="Met",F86&lt;&gt;""),AND(E86="Not met",G86&lt;&gt;""),AND(E86="Unsure",G86&lt;&gt;""),AND(E86="No",G86&lt;&gt;""),AND(E86="No, submission is in draft",G86&lt;&gt;""))),1,0))</f>
        <v>#REF!</v>
      </c>
      <c r="W86" s="56" t="b">
        <f>IF(AND('Cover Sheet'!$B$19="Non-Risk",$R86=1),TRUE,FALSE)</f>
        <v>0</v>
      </c>
      <c r="X86" s="56"/>
      <c r="Y86" s="56"/>
      <c r="Z86" s="56"/>
      <c r="AA86" s="56"/>
      <c r="AB86" s="56"/>
      <c r="AC86" s="56"/>
      <c r="AD86" s="56"/>
      <c r="AE86" s="56"/>
      <c r="AF86" s="79"/>
      <c r="AG86" s="98">
        <v>0</v>
      </c>
      <c r="AH86" s="108"/>
      <c r="AI86" s="79"/>
      <c r="AJ86" s="57" t="str">
        <f t="shared" si="35"/>
        <v/>
      </c>
      <c r="AK86" s="57">
        <f>IF($AG$2=1, IF(AG86=1,1,0),0)</f>
        <v>0</v>
      </c>
      <c r="AM86" s="69" t="str">
        <f t="shared" si="38"/>
        <v/>
      </c>
      <c r="AR86" s="69" t="e">
        <f>IF(OR(AND($H$6="Both",OR(AND(AG86=0,OR(NOT(ISBLANK(E86)),NOT(ISBLANK(F86)),NOT(ISBLANK(G86)),NOT(ISBLANK(H86)))),AND(AG86=1,#REF!="TRUE",OR(AN86&lt;&gt;0,AO86&lt;&gt;0,AP86&lt;&gt;0,AQ86&lt;&gt;0)),AND(AG86=1,#REF!="FALSE",OR(NOT(ISBLANK(E86)),NOT(ISBLANK(F86)),NOT(ISBLANK(G86)),NOT(ISBLANK(H86)))))),AND($H$6="CHIP",OR(NOT(ISBLANK(E86)),NOT(ISBLANK(F86)),NOT(ISBLANK(G86)),NOT(ISBLANK(H86)))),V86=1),1,0)</f>
        <v>#REF!</v>
      </c>
      <c r="AS86" s="69" t="e">
        <f>IF(AND(OR(OR(#REF!=TRUE,#REF!=TRUE),AND($H$6="Both",OR(AND(AG86=1,#REF!="TRUE",AT86=1,OR(AN86="Yes",AN86="N/A",AN86="Met")),AND(#REF!="FALSE",OR(AND(E86="Yes",NOT(ISBLANK(F86))),AND(E86="N/A",NOT(ISBLANK(H86))),AND(E86="Met",NOT(ISBLANK(F86))))))),AND($H$6="CHIP",OR(AND(E86="Yes",NOT(ISBLANK(F86))),AND(E86="N/A",NOT(ISBLANK(H86))),AND(E86="Met",NOT(ISBLANK(F86)))))),V86=1),1,0)</f>
        <v>#REF!</v>
      </c>
      <c r="AT86" s="69">
        <f t="shared" si="37"/>
        <v>0</v>
      </c>
    </row>
    <row r="87" spans="1:46" ht="89.25" hidden="1" customHeight="1" x14ac:dyDescent="0.25">
      <c r="A87" s="294" t="s">
        <v>2229</v>
      </c>
      <c r="B87" s="295" t="s">
        <v>2230</v>
      </c>
      <c r="C87" s="377" t="s">
        <v>2231</v>
      </c>
      <c r="D87" s="296">
        <v>3</v>
      </c>
      <c r="E87" s="295" t="s">
        <v>311</v>
      </c>
      <c r="F87" s="295" t="s">
        <v>319</v>
      </c>
      <c r="G87" s="295" t="s">
        <v>319</v>
      </c>
      <c r="H87" s="367" t="s">
        <v>319</v>
      </c>
      <c r="I87" s="92" t="s">
        <v>168</v>
      </c>
      <c r="J87" s="92"/>
      <c r="K87" s="92" t="s">
        <v>185</v>
      </c>
      <c r="L87" s="71" t="s">
        <v>190</v>
      </c>
      <c r="M87" s="71" t="s">
        <v>195</v>
      </c>
      <c r="N87" s="71"/>
      <c r="O87" s="71"/>
      <c r="P87" s="71" t="s">
        <v>380</v>
      </c>
      <c r="Q87" s="71" t="e">
        <f>IF(OR(AND($C$2="Base contract",$C$3="No, section requirements must be reviewed",#REF!= FALSE,#REF!=FALSE),AND($C$2="Contract amendment",$C$3="No, section requirements must be reviewed",#REF!=FALSE,#REF!=FALSE)),"MUNN")</f>
        <v>#REF!</v>
      </c>
      <c r="R87" s="71"/>
      <c r="S87" s="64">
        <v>43282</v>
      </c>
      <c r="T87" s="64"/>
      <c r="U87" s="64"/>
      <c r="V87" s="97" t="e">
        <f>IF(OR(AND(AG87=1,#REF!="TRUE",AT87=1),#REF!=TRUE,#REF!=TRUE),1,IF(AND(OR(AND(AG87=1,#REF!="FALSE"),AND(AG87&lt;&gt;1,#REF!="FALSE")),OR(AND(E87="Yes",F87&lt;&gt;""),AND(E87="N/A",H87&lt;&gt;""),AND(E87="Met",F87&lt;&gt;""),AND(E87="Not met",G87&lt;&gt;""),AND(E87="Unsure",G87&lt;&gt;""),AND(E87="No",G87&lt;&gt;""),AND(E87="No, submission is in draft",G87&lt;&gt;""))),1,0))</f>
        <v>#REF!</v>
      </c>
      <c r="W87" s="56" t="b">
        <f>IF(AND('Cover Sheet'!$B$19="Non-Risk",$R87=1),TRUE,FALSE)</f>
        <v>0</v>
      </c>
      <c r="X87" s="56"/>
      <c r="Y87" s="56"/>
      <c r="Z87" s="56"/>
      <c r="AA87" s="56"/>
      <c r="AB87" s="56"/>
      <c r="AC87" s="56"/>
      <c r="AD87" s="56"/>
      <c r="AE87" s="56"/>
      <c r="AF87" s="79"/>
      <c r="AG87" s="98">
        <v>0</v>
      </c>
      <c r="AH87" s="108"/>
      <c r="AI87" s="79"/>
      <c r="AJ87" s="57" t="str">
        <f t="shared" si="35"/>
        <v/>
      </c>
      <c r="AK87" s="57">
        <f t="shared" si="36"/>
        <v>0</v>
      </c>
      <c r="AM87" s="69" t="str">
        <f t="shared" si="38"/>
        <v/>
      </c>
      <c r="AR87" s="69" t="e">
        <f>IF(OR(AND($H$6="Both",OR(AND(AG87=0,OR(NOT(ISBLANK(E87)),NOT(ISBLANK(F87)),NOT(ISBLANK(G87)),NOT(ISBLANK(H87)))),AND(AG87=1,#REF!="TRUE",OR(AN87&lt;&gt;0,AO87&lt;&gt;0,AP87&lt;&gt;0,AQ87&lt;&gt;0)),AND(AG87=1,#REF!="FALSE",OR(NOT(ISBLANK(E87)),NOT(ISBLANK(F87)),NOT(ISBLANK(G87)),NOT(ISBLANK(H87)))))),AND($H$6="CHIP",OR(NOT(ISBLANK(E87)),NOT(ISBLANK(F87)),NOT(ISBLANK(G87)),NOT(ISBLANK(H87)))),V87=1),1,0)</f>
        <v>#REF!</v>
      </c>
      <c r="AS87" s="69" t="e">
        <f>IF(AND(OR(OR(#REF!=TRUE,#REF!=TRUE),AND($H$6="Both",OR(AND(AG87=1,#REF!="TRUE",AT87=1,OR(AN87="Yes",AN87="N/A",AN87="Met")),AND(#REF!="FALSE",OR(AND(E87="Yes",NOT(ISBLANK(F87))),AND(E87="N/A",NOT(ISBLANK(H87))),AND(E87="Met",NOT(ISBLANK(F87))))))),AND($H$6="CHIP",OR(AND(E87="Yes",NOT(ISBLANK(F87))),AND(E87="N/A",NOT(ISBLANK(H87))),AND(E87="Met",NOT(ISBLANK(F87)))))),V87=1),1,0)</f>
        <v>#REF!</v>
      </c>
      <c r="AT87" s="69">
        <f t="shared" si="37"/>
        <v>0</v>
      </c>
    </row>
    <row r="88" spans="1:46" ht="89.25" hidden="1" customHeight="1" x14ac:dyDescent="0.25">
      <c r="A88" s="330" t="s">
        <v>2229</v>
      </c>
      <c r="B88" s="263" t="s">
        <v>2232</v>
      </c>
      <c r="C88" s="379" t="s">
        <v>2231</v>
      </c>
      <c r="D88" s="380">
        <v>3</v>
      </c>
      <c r="E88" s="295" t="s">
        <v>311</v>
      </c>
      <c r="F88" s="295" t="s">
        <v>319</v>
      </c>
      <c r="G88" s="295" t="s">
        <v>319</v>
      </c>
      <c r="H88" s="367" t="s">
        <v>319</v>
      </c>
      <c r="I88" s="92"/>
      <c r="J88" s="92"/>
      <c r="K88" s="92"/>
      <c r="L88" s="71"/>
      <c r="M88" s="71"/>
      <c r="N88" s="71"/>
      <c r="O88" s="71" t="s">
        <v>200</v>
      </c>
      <c r="P88" s="71" t="s">
        <v>380</v>
      </c>
      <c r="Q88" s="71" t="e">
        <f>IF(OR(AND($C$2="Base contract",$C$3="No, section requirements must be reviewed",#REF!= FALSE,#REF!=FALSE),AND($C$2="Contract amendment",$C$3="No, section requirements must be reviewed",#REF!=FALSE,#REF!=FALSE)),"MUNN")</f>
        <v>#REF!</v>
      </c>
      <c r="R88" s="71"/>
      <c r="S88" s="64">
        <v>44179</v>
      </c>
      <c r="T88" s="64"/>
      <c r="U88" s="64"/>
      <c r="V88" s="97" t="e">
        <f>IF(OR(AND(AG88=1,#REF!="TRUE",AT88=1),#REF!=TRUE,#REF!=TRUE),1,IF(AND(OR(AND(AG88=1,#REF!="FALSE"),AND(AG88&lt;&gt;1,#REF!="FALSE")),OR(AND(E88="Yes",F88&lt;&gt;""),AND(E88="N/A",H88&lt;&gt;""),AND(E88="Met",F88&lt;&gt;""),AND(E88="Not met",G88&lt;&gt;""),AND(E88="Unsure",G88&lt;&gt;""),AND(E88="No",G88&lt;&gt;""),AND(E88="No, submission is in draft",G88&lt;&gt;""))),1,0))</f>
        <v>#REF!</v>
      </c>
      <c r="W88" s="56" t="b">
        <f>IF(AND('Cover Sheet'!$B$19="Non-Risk",$R88=1),TRUE,FALSE)</f>
        <v>0</v>
      </c>
      <c r="X88" s="56"/>
      <c r="Y88" s="56"/>
      <c r="Z88" s="56"/>
      <c r="AA88" s="56"/>
      <c r="AB88" s="56"/>
      <c r="AC88" s="56"/>
      <c r="AD88" s="56"/>
      <c r="AE88" s="56"/>
      <c r="AF88" s="79"/>
      <c r="AG88" s="98">
        <v>0</v>
      </c>
      <c r="AH88" s="108"/>
      <c r="AI88" s="79"/>
      <c r="AJ88" s="57" t="str">
        <f t="shared" si="35"/>
        <v/>
      </c>
      <c r="AK88" s="57">
        <f>IF($AG$2=1, IF(AG88=1,1,0),0)</f>
        <v>0</v>
      </c>
      <c r="AM88" s="69" t="str">
        <f t="shared" si="38"/>
        <v/>
      </c>
      <c r="AR88" s="69" t="e">
        <f>IF(OR(AND($H$6="Both",OR(AND(AG88=0,OR(NOT(ISBLANK(E88)),NOT(ISBLANK(F88)),NOT(ISBLANK(G88)),NOT(ISBLANK(H88)))),AND(AG88=1,#REF!="TRUE",OR(AN88&lt;&gt;0,AO88&lt;&gt;0,AP88&lt;&gt;0,AQ88&lt;&gt;0)),AND(AG88=1,#REF!="FALSE",OR(NOT(ISBLANK(E88)),NOT(ISBLANK(F88)),NOT(ISBLANK(G88)),NOT(ISBLANK(H88)))))),AND($H$6="CHIP",OR(NOT(ISBLANK(E88)),NOT(ISBLANK(F88)),NOT(ISBLANK(G88)),NOT(ISBLANK(H88)))),V88=1),1,0)</f>
        <v>#REF!</v>
      </c>
      <c r="AS88" s="69" t="e">
        <f>IF(AND(OR(OR(#REF!=TRUE,#REF!=TRUE),AND($H$6="Both",OR(AND(AG88=1,#REF!="TRUE",AT88=1,OR(AN88="Yes",AN88="N/A",AN88="Met")),AND(#REF!="FALSE",OR(AND(E88="Yes",NOT(ISBLANK(F88))),AND(E88="N/A",NOT(ISBLANK(H88))),AND(E88="Met",NOT(ISBLANK(F88))))))),AND($H$6="CHIP",OR(AND(E88="Yes",NOT(ISBLANK(F88))),AND(E88="N/A",NOT(ISBLANK(H88))),AND(E88="Met",NOT(ISBLANK(F88)))))),V88=1),1,0)</f>
        <v>#REF!</v>
      </c>
      <c r="AT88" s="69">
        <f t="shared" si="37"/>
        <v>0</v>
      </c>
    </row>
    <row r="89" spans="1:46" ht="63.75" hidden="1" customHeight="1" x14ac:dyDescent="0.25">
      <c r="A89" s="294" t="s">
        <v>2233</v>
      </c>
      <c r="B89" s="295" t="s">
        <v>2203</v>
      </c>
      <c r="C89" s="295" t="str">
        <f t="shared" si="34"/>
        <v>The contract requires the MCP to maintain ultimate responsibility for adhering to and otherwise fully complying with all terms and conditions of its contract with the state, notwithstanding any relationship(s) that the MCP may have with any subcontractor.  [If there is no additional information related to the CHIP contract, this information only needs to be entered in Section I.J.3.01 .]</v>
      </c>
      <c r="D89" s="296">
        <v>3</v>
      </c>
      <c r="E89" s="295" t="s">
        <v>311</v>
      </c>
      <c r="F89" s="295" t="s">
        <v>319</v>
      </c>
      <c r="G89" s="295" t="s">
        <v>319</v>
      </c>
      <c r="H89" s="367" t="s">
        <v>319</v>
      </c>
      <c r="I89" s="92" t="s">
        <v>168</v>
      </c>
      <c r="J89" s="92"/>
      <c r="K89" s="92" t="s">
        <v>185</v>
      </c>
      <c r="L89" s="71" t="s">
        <v>190</v>
      </c>
      <c r="M89" s="71" t="s">
        <v>195</v>
      </c>
      <c r="N89" s="71" t="s">
        <v>345</v>
      </c>
      <c r="O89" s="71"/>
      <c r="P89" s="71" t="s">
        <v>380</v>
      </c>
      <c r="Q89" s="71" t="e">
        <f>IF(OR(AND($C$2="Base contract",$C$3="No, section requirements must be reviewed",#REF!= FALSE,#REF!=FALSE),AND($C$2="Contract amendment",$C$3="No, section requirements must be reviewed",#REF!=FALSE,#REF!=FALSE)),"MUNN")</f>
        <v>#REF!</v>
      </c>
      <c r="R89" s="71"/>
      <c r="S89" s="64">
        <v>43282</v>
      </c>
      <c r="T89" s="64"/>
      <c r="U89" s="64"/>
      <c r="V89" s="97" t="e">
        <f>IF(OR(AND(AG89=1,#REF!="TRUE",AT89=1),#REF!=TRUE,#REF!=TRUE),1,IF(AND(OR(AND(AG89=1,#REF!="FALSE"),AND(AG89&lt;&gt;1,#REF!="FALSE")),OR(AND(E89="Yes",F89&lt;&gt;""),AND(E89="N/A",H89&lt;&gt;""),AND(E89="Met",F89&lt;&gt;""),AND(E89="Not met",G89&lt;&gt;""),AND(E89="Unsure",G89&lt;&gt;""),AND(E89="No",G89&lt;&gt;""),AND(E89="No, submission is in draft",G89&lt;&gt;""))),1,0))</f>
        <v>#REF!</v>
      </c>
      <c r="W89" s="56" t="b">
        <f>IF(AND('Cover Sheet'!$B$19="Non-Risk",$R89=1),TRUE,FALSE)</f>
        <v>0</v>
      </c>
      <c r="X89" s="56"/>
      <c r="Y89" s="56"/>
      <c r="Z89" s="56"/>
      <c r="AA89" s="56"/>
      <c r="AB89" s="56"/>
      <c r="AC89" s="56"/>
      <c r="AD89" s="56"/>
      <c r="AE89" s="56"/>
      <c r="AF89" s="44" t="s">
        <v>2075</v>
      </c>
      <c r="AG89" s="98">
        <v>1</v>
      </c>
      <c r="AH89" s="75" t="str">
        <f>A20</f>
        <v xml:space="preserve">I.J.3.01 </v>
      </c>
      <c r="AI89" s="44" t="str">
        <f>C20</f>
        <v>The contract requires the MCP to maintain ultimate responsibility for adhering to and otherwise fully complying with all terms and conditions of its contract with the state, notwithstanding any relationship(s) that the MCP may have with any subcontractor.</v>
      </c>
      <c r="AJ89" s="57" t="b">
        <f t="shared" si="35"/>
        <v>1</v>
      </c>
      <c r="AK89" s="57">
        <f t="shared" si="36"/>
        <v>1</v>
      </c>
      <c r="AM89" s="69" t="str">
        <f t="shared" si="38"/>
        <v/>
      </c>
      <c r="AN89" s="69" t="e">
        <f>IF(E20 &lt;&gt;0, E20, IF(OR(#REF!=TRUE,#REF!= TRUE),"N/A", 0))</f>
        <v>#REF!</v>
      </c>
      <c r="AO89" s="69" t="e">
        <f>IF(F20 &lt;&gt;0, F20, IF(OR(#REF!=TRUE,#REF!= TRUE),"N/A", 0))</f>
        <v>#REF!</v>
      </c>
      <c r="AP89" s="69" t="e">
        <f>IF(G20 &lt;&gt;0, G20, IF(OR(#REF!=TRUE,#REF!= TRUE),"N/A", 0))</f>
        <v>#REF!</v>
      </c>
      <c r="AQ89" s="69" t="e">
        <f>IF(H20 &lt;&gt;0, H20, IF(OR(#REF!=TRUE,#REF!= TRUE),"N/A", 0))</f>
        <v>#REF!</v>
      </c>
      <c r="AR89" s="69" t="e">
        <f>IF(OR(AND($H$6="Both",OR(AND(AG89=0,OR(NOT(ISBLANK(E89)),NOT(ISBLANK(F89)),NOT(ISBLANK(G89)),NOT(ISBLANK(H89)))),AND(AG89=1,#REF!="TRUE",OR(AN89&lt;&gt;0,AO89&lt;&gt;0,AP89&lt;&gt;0,AQ89&lt;&gt;0)),AND(AG89=1,#REF!="FALSE",OR(NOT(ISBLANK(E89)),NOT(ISBLANK(F89)),NOT(ISBLANK(G89)),NOT(ISBLANK(H89)))))),AND($H$6="CHIP",OR(NOT(ISBLANK(E89)),NOT(ISBLANK(F89)),NOT(ISBLANK(G89)),NOT(ISBLANK(H89)))),V89=1),1,0)</f>
        <v>#REF!</v>
      </c>
      <c r="AS89" s="69" t="e">
        <f>IF(AND(OR(OR(#REF!=TRUE,#REF!=TRUE),AND($H$6="Both",OR(AND(AG89=1,#REF!="TRUE",AT89=1,OR(AN89="Yes",AN89="N/A",AN89="Met")),AND(#REF!="FALSE",OR(AND(E89="Yes",NOT(ISBLANK(F89))),AND(E89="N/A",NOT(ISBLANK(H89))),AND(E89="Met",NOT(ISBLANK(F89))))))),AND($H$6="CHIP",OR(AND(E89="Yes",NOT(ISBLANK(F89))),AND(E89="N/A",NOT(ISBLANK(H89))),AND(E89="Met",NOT(ISBLANK(F89)))))),V89=1),1,0)</f>
        <v>#REF!</v>
      </c>
      <c r="AT89" s="69" t="e">
        <f t="shared" si="37"/>
        <v>#REF!</v>
      </c>
    </row>
    <row r="90" spans="1:46" ht="63.75" hidden="1" customHeight="1" x14ac:dyDescent="0.25">
      <c r="A90" s="330" t="s">
        <v>2233</v>
      </c>
      <c r="B90" s="263" t="s">
        <v>2203</v>
      </c>
      <c r="C90" s="381" t="s">
        <v>2075</v>
      </c>
      <c r="D90" s="380">
        <v>3</v>
      </c>
      <c r="E90" s="295" t="s">
        <v>311</v>
      </c>
      <c r="F90" s="295" t="s">
        <v>319</v>
      </c>
      <c r="G90" s="295" t="s">
        <v>319</v>
      </c>
      <c r="H90" s="367" t="s">
        <v>319</v>
      </c>
      <c r="I90" s="92"/>
      <c r="J90" s="92"/>
      <c r="K90" s="92"/>
      <c r="L90" s="71"/>
      <c r="M90" s="71"/>
      <c r="N90" s="71"/>
      <c r="O90" s="71" t="s">
        <v>200</v>
      </c>
      <c r="P90" s="71" t="s">
        <v>380</v>
      </c>
      <c r="Q90" s="71" t="e">
        <f>IF(OR(AND($C$2="Base contract",$C$3="No, section requirements must be reviewed",#REF!= FALSE,#REF!=FALSE),AND($C$2="Contract amendment",$C$3="No, section requirements must be reviewed",#REF!=FALSE,#REF!=FALSE)),"MUNN")</f>
        <v>#REF!</v>
      </c>
      <c r="R90" s="71"/>
      <c r="S90" s="64">
        <v>44179</v>
      </c>
      <c r="T90" s="64"/>
      <c r="U90" s="64"/>
      <c r="V90" s="97" t="e">
        <f>IF(OR(AND(AG90=1,#REF!="TRUE",AT90=1),#REF!=TRUE,#REF!=TRUE),1,IF(AND(OR(AND(AG90=1,#REF!="FALSE"),AND(AG90&lt;&gt;1,#REF!="FALSE")),OR(AND(E90="Yes",F90&lt;&gt;""),AND(E90="N/A",H90&lt;&gt;""),AND(E90="Met",F90&lt;&gt;""),AND(E90="Not met",G90&lt;&gt;""),AND(E90="Unsure",G90&lt;&gt;""),AND(E90="No",G90&lt;&gt;""),AND(E90="No, submission is in draft",G90&lt;&gt;""))),1,0))</f>
        <v>#REF!</v>
      </c>
      <c r="W90" s="56" t="b">
        <f>IF(AND('Cover Sheet'!$B$19="Non-Risk",$R90=1),TRUE,FALSE)</f>
        <v>0</v>
      </c>
      <c r="X90" s="56"/>
      <c r="Y90" s="56"/>
      <c r="Z90" s="56"/>
      <c r="AA90" s="56"/>
      <c r="AB90" s="56"/>
      <c r="AC90" s="56"/>
      <c r="AD90" s="56"/>
      <c r="AE90" s="56"/>
      <c r="AF90" s="79"/>
      <c r="AG90" s="98">
        <v>0</v>
      </c>
      <c r="AH90" s="108"/>
      <c r="AI90" s="79"/>
      <c r="AJ90" s="57" t="str">
        <f>IF(AG90=1,AI90=AF90,"")</f>
        <v/>
      </c>
      <c r="AK90" s="57">
        <f>IF($AG$2=1, IF(AG90=1,1,0),0)</f>
        <v>0</v>
      </c>
      <c r="AM90" s="69" t="str">
        <f t="shared" si="38"/>
        <v/>
      </c>
      <c r="AR90" s="69" t="e">
        <f>IF(OR(AND($H$6="Both",OR(AND(AG90=0,OR(NOT(ISBLANK(E90)),NOT(ISBLANK(F90)),NOT(ISBLANK(G90)),NOT(ISBLANK(H90)))),AND(AG90=1,#REF!="TRUE",OR(AN90&lt;&gt;0,AO90&lt;&gt;0,AP90&lt;&gt;0,AQ90&lt;&gt;0)),AND(AG90=1,#REF!="FALSE",OR(NOT(ISBLANK(E90)),NOT(ISBLANK(F90)),NOT(ISBLANK(G90)),NOT(ISBLANK(H90)))))),AND($H$6="CHIP",OR(NOT(ISBLANK(E90)),NOT(ISBLANK(F90)),NOT(ISBLANK(G90)),NOT(ISBLANK(H90)))),V90=1),1,0)</f>
        <v>#REF!</v>
      </c>
      <c r="AS90" s="69" t="e">
        <f>IF(AND(OR(OR(#REF!=TRUE,#REF!=TRUE),AND($H$6="Both",OR(AND(AG90=1,#REF!="TRUE",AT90=1,OR(AN90="Yes",AN90="N/A",AN90="Met")),AND(#REF!="FALSE",OR(AND(E90="Yes",NOT(ISBLANK(F90))),AND(E90="N/A",NOT(ISBLANK(H90))),AND(E90="Met",NOT(ISBLANK(F90))))))),AND($H$6="CHIP",OR(AND(E90="Yes",NOT(ISBLANK(F90))),AND(E90="N/A",NOT(ISBLANK(H90))),AND(E90="Met",NOT(ISBLANK(F90)))))),V90=1),1,0)</f>
        <v>#REF!</v>
      </c>
      <c r="AT90" s="69">
        <f t="shared" si="37"/>
        <v>0</v>
      </c>
    </row>
    <row r="91" spans="1:46" ht="63.75" hidden="1" customHeight="1" x14ac:dyDescent="0.25">
      <c r="A91" s="294" t="s">
        <v>2234</v>
      </c>
      <c r="B91" s="295" t="s">
        <v>2207</v>
      </c>
      <c r="C91" s="295" t="str">
        <f t="shared" si="34"/>
        <v>The contract requires that if any of the MCP's activities or obligations under the contract with the state are delegated to a subcontractor, the activities and obligations, and related reporting responsibilities, are specified in the contract or written agreement between the MCP and the subcontractor.  [If there is no additional information related to the CHIP contract, this information only needs to be entered in Section I.J.3.02 .]</v>
      </c>
      <c r="D91" s="296">
        <v>3</v>
      </c>
      <c r="E91" s="295" t="s">
        <v>311</v>
      </c>
      <c r="F91" s="295" t="s">
        <v>319</v>
      </c>
      <c r="G91" s="295" t="s">
        <v>319</v>
      </c>
      <c r="H91" s="367" t="s">
        <v>319</v>
      </c>
      <c r="I91" s="92" t="s">
        <v>168</v>
      </c>
      <c r="J91" s="92"/>
      <c r="K91" s="92" t="s">
        <v>185</v>
      </c>
      <c r="L91" s="71" t="s">
        <v>190</v>
      </c>
      <c r="M91" s="71" t="s">
        <v>195</v>
      </c>
      <c r="N91" s="71" t="s">
        <v>345</v>
      </c>
      <c r="O91" s="71"/>
      <c r="P91" s="71" t="s">
        <v>380</v>
      </c>
      <c r="Q91" s="71" t="e">
        <f>IF(OR(AND($C$2="Base contract",$C$3="No, section requirements must be reviewed",#REF!= FALSE,#REF!=FALSE),AND($C$2="Contract amendment",$C$3="No, section requirements must be reviewed",#REF!=FALSE,#REF!=FALSE)),"MUNN")</f>
        <v>#REF!</v>
      </c>
      <c r="R91" s="71"/>
      <c r="S91" s="64">
        <v>43282</v>
      </c>
      <c r="T91" s="64"/>
      <c r="U91" s="64"/>
      <c r="V91" s="97" t="e">
        <f>IF(OR(AND(AG91=1,#REF!="TRUE",AT91=1),#REF!=TRUE,#REF!=TRUE),1,IF(AND(OR(AND(AG91=1,#REF!="FALSE"),AND(AG91&lt;&gt;1,#REF!="FALSE")),OR(AND(E91="Yes",F91&lt;&gt;""),AND(E91="N/A",H91&lt;&gt;""),AND(E91="Met",F91&lt;&gt;""),AND(E91="Not met",G91&lt;&gt;""),AND(E91="Unsure",G91&lt;&gt;""),AND(E91="No",G91&lt;&gt;""),AND(E91="No, submission is in draft",G91&lt;&gt;""))),1,0))</f>
        <v>#REF!</v>
      </c>
      <c r="W91" s="56" t="b">
        <f>IF(AND('Cover Sheet'!$B$19="Non-Risk",$R91=1),TRUE,FALSE)</f>
        <v>0</v>
      </c>
      <c r="X91" s="56"/>
      <c r="Y91" s="56"/>
      <c r="Z91" s="56"/>
      <c r="AA91" s="56"/>
      <c r="AB91" s="56"/>
      <c r="AC91" s="56"/>
      <c r="AD91" s="56"/>
      <c r="AE91" s="56"/>
      <c r="AF91" s="44" t="s">
        <v>2078</v>
      </c>
      <c r="AG91" s="98">
        <v>1</v>
      </c>
      <c r="AH91" s="75" t="str">
        <f>A21</f>
        <v xml:space="preserve">I.J.3.02 </v>
      </c>
      <c r="AI91" s="44" t="str">
        <f>C21</f>
        <v>The contract requires that if any of the MCP's activities or obligations under the contract with the state are delegated to a subcontractor, the activities and obligations, and related reporting responsibilities, are specified in the contract or written agreement between the MCP and the subcontractor.</v>
      </c>
      <c r="AJ91" s="57" t="b">
        <f t="shared" si="35"/>
        <v>1</v>
      </c>
      <c r="AK91" s="57">
        <f t="shared" si="36"/>
        <v>1</v>
      </c>
      <c r="AM91" s="69" t="str">
        <f t="shared" si="38"/>
        <v/>
      </c>
      <c r="AN91" s="69" t="e">
        <f>IF(E21 &lt;&gt;0, E21, IF(OR(#REF!=TRUE,#REF!= TRUE),"N/A", 0))</f>
        <v>#REF!</v>
      </c>
      <c r="AO91" s="69" t="e">
        <f>IF(F21 &lt;&gt;0, F21, IF(OR(#REF!=TRUE,#REF!= TRUE),"N/A", 0))</f>
        <v>#REF!</v>
      </c>
      <c r="AP91" s="69" t="e">
        <f>IF(G21 &lt;&gt;0, G21, IF(OR(#REF!=TRUE,#REF!= TRUE),"N/A", 0))</f>
        <v>#REF!</v>
      </c>
      <c r="AQ91" s="69" t="e">
        <f>IF(H21 &lt;&gt;0, H21, IF(OR(#REF!=TRUE,#REF!= TRUE),"N/A", 0))</f>
        <v>#REF!</v>
      </c>
      <c r="AR91" s="69" t="e">
        <f>IF(OR(AND($H$6="Both",OR(AND(AG91=0,OR(NOT(ISBLANK(E91)),NOT(ISBLANK(F91)),NOT(ISBLANK(G91)),NOT(ISBLANK(H91)))),AND(AG91=1,#REF!="TRUE",OR(AN91&lt;&gt;0,AO91&lt;&gt;0,AP91&lt;&gt;0,AQ91&lt;&gt;0)),AND(AG91=1,#REF!="FALSE",OR(NOT(ISBLANK(E91)),NOT(ISBLANK(F91)),NOT(ISBLANK(G91)),NOT(ISBLANK(H91)))))),AND($H$6="CHIP",OR(NOT(ISBLANK(E91)),NOT(ISBLANK(F91)),NOT(ISBLANK(G91)),NOT(ISBLANK(H91)))),V91=1),1,0)</f>
        <v>#REF!</v>
      </c>
      <c r="AS91" s="69" t="e">
        <f>IF(AND(OR(OR(#REF!=TRUE,#REF!=TRUE),AND($H$6="Both",OR(AND(AG91=1,#REF!="TRUE",AT91=1,OR(AN91="Yes",AN91="N/A",AN91="Met")),AND(#REF!="FALSE",OR(AND(E91="Yes",NOT(ISBLANK(F91))),AND(E91="N/A",NOT(ISBLANK(H91))),AND(E91="Met",NOT(ISBLANK(F91))))))),AND($H$6="CHIP",OR(AND(E91="Yes",NOT(ISBLANK(F91))),AND(E91="N/A",NOT(ISBLANK(H91))),AND(E91="Met",NOT(ISBLANK(F91)))))),V91=1),1,0)</f>
        <v>#REF!</v>
      </c>
      <c r="AT91" s="69" t="e">
        <f t="shared" si="37"/>
        <v>#REF!</v>
      </c>
    </row>
    <row r="92" spans="1:46" ht="63.75" hidden="1" customHeight="1" x14ac:dyDescent="0.25">
      <c r="A92" s="330" t="s">
        <v>2234</v>
      </c>
      <c r="B92" s="263" t="s">
        <v>2207</v>
      </c>
      <c r="C92" s="381" t="s">
        <v>2078</v>
      </c>
      <c r="D92" s="380">
        <v>3</v>
      </c>
      <c r="E92" s="295" t="s">
        <v>311</v>
      </c>
      <c r="F92" s="295" t="s">
        <v>319</v>
      </c>
      <c r="G92" s="295" t="s">
        <v>319</v>
      </c>
      <c r="H92" s="367" t="s">
        <v>319</v>
      </c>
      <c r="I92" s="92"/>
      <c r="J92" s="92"/>
      <c r="K92" s="92"/>
      <c r="L92" s="71"/>
      <c r="M92" s="71"/>
      <c r="N92" s="71"/>
      <c r="O92" s="71" t="s">
        <v>200</v>
      </c>
      <c r="P92" s="71" t="s">
        <v>380</v>
      </c>
      <c r="Q92" s="71" t="e">
        <f>IF(OR(AND($C$2="Base contract",$C$3="No, section requirements must be reviewed",#REF!= FALSE,#REF!=FALSE),AND($C$2="Contract amendment",$C$3="No, section requirements must be reviewed",#REF!=FALSE,#REF!=FALSE)),"MUNN")</f>
        <v>#REF!</v>
      </c>
      <c r="R92" s="71"/>
      <c r="S92" s="64">
        <v>44179</v>
      </c>
      <c r="T92" s="64"/>
      <c r="U92" s="64"/>
      <c r="V92" s="97" t="e">
        <f>IF(OR(AND(AG92=1,#REF!="TRUE",AT92=1),#REF!=TRUE,#REF!=TRUE),1,IF(AND(OR(AND(AG92=1,#REF!="FALSE"),AND(AG92&lt;&gt;1,#REF!="FALSE")),OR(AND(E92="Yes",F92&lt;&gt;""),AND(E92="N/A",H92&lt;&gt;""),AND(E92="Met",F92&lt;&gt;""),AND(E92="Not met",G92&lt;&gt;""),AND(E92="Unsure",G92&lt;&gt;""),AND(E92="No",G92&lt;&gt;""),AND(E92="No, submission is in draft",G92&lt;&gt;""))),1,0))</f>
        <v>#REF!</v>
      </c>
      <c r="W92" s="56" t="b">
        <f>IF(AND('Cover Sheet'!$B$19="Non-Risk",$R92=1),TRUE,FALSE)</f>
        <v>0</v>
      </c>
      <c r="X92" s="56"/>
      <c r="Y92" s="56"/>
      <c r="Z92" s="56"/>
      <c r="AA92" s="56"/>
      <c r="AB92" s="56"/>
      <c r="AC92" s="56"/>
      <c r="AD92" s="56"/>
      <c r="AE92" s="56"/>
      <c r="AF92" s="79"/>
      <c r="AG92" s="98">
        <v>0</v>
      </c>
      <c r="AH92" s="108"/>
      <c r="AI92" s="79"/>
      <c r="AJ92" s="57" t="str">
        <f>IF(AG92=1,AI92=AF92,"")</f>
        <v/>
      </c>
      <c r="AK92" s="57">
        <f>IF($AG$2=1, IF(AG92=1,1,0),0)</f>
        <v>0</v>
      </c>
      <c r="AM92" s="69" t="str">
        <f t="shared" si="38"/>
        <v/>
      </c>
      <c r="AR92" s="69" t="e">
        <f>IF(OR(AND($H$6="Both",OR(AND(AG92=0,OR(NOT(ISBLANK(E92)),NOT(ISBLANK(F92)),NOT(ISBLANK(G92)),NOT(ISBLANK(H92)))),AND(AG92=1,#REF!="TRUE",OR(AN92&lt;&gt;0,AO92&lt;&gt;0,AP92&lt;&gt;0,AQ92&lt;&gt;0)),AND(AG92=1,#REF!="FALSE",OR(NOT(ISBLANK(E92)),NOT(ISBLANK(F92)),NOT(ISBLANK(G92)),NOT(ISBLANK(H92)))))),AND($H$6="CHIP",OR(NOT(ISBLANK(E92)),NOT(ISBLANK(F92)),NOT(ISBLANK(G92)),NOT(ISBLANK(H92)))),V92=1),1,0)</f>
        <v>#REF!</v>
      </c>
      <c r="AS92" s="69" t="e">
        <f>IF(AND(OR(OR(#REF!=TRUE,#REF!=TRUE),AND($H$6="Both",OR(AND(AG92=1,#REF!="TRUE",AT92=1,OR(AN92="Yes",AN92="N/A",AN92="Met")),AND(#REF!="FALSE",OR(AND(E92="Yes",NOT(ISBLANK(F92))),AND(E92="N/A",NOT(ISBLANK(H92))),AND(E92="Met",NOT(ISBLANK(F92))))))),AND($H$6="CHIP",OR(AND(E92="Yes",NOT(ISBLANK(F92))),AND(E92="N/A",NOT(ISBLANK(H92))),AND(E92="Met",NOT(ISBLANK(F92)))))),V92=1),1,0)</f>
        <v>#REF!</v>
      </c>
      <c r="AT92" s="69">
        <f t="shared" si="37"/>
        <v>0</v>
      </c>
    </row>
    <row r="93" spans="1:46" ht="81.75" hidden="1" customHeight="1" x14ac:dyDescent="0.25">
      <c r="A93" s="294" t="s">
        <v>2235</v>
      </c>
      <c r="B93" s="295" t="s">
        <v>2236</v>
      </c>
      <c r="C93" s="295" t="str">
        <f t="shared" si="34"/>
        <v>The contract requires that if any of the MCP's activities or obligations under the contract with the state are delegated to a subcontractor, the contract or written arrangement between the MCP and the subcontractor must either provide for revocation of the delegation of activities or obligations, or specify other remedies in instances where the state or the MCP determines that the subcontractor has not performed satisfactorily.  [If there is no additional information related to the CHIP contract, this information only needs to be entered in Section I.J.3.03.]</v>
      </c>
      <c r="D93" s="296">
        <v>3</v>
      </c>
      <c r="E93" s="295" t="s">
        <v>311</v>
      </c>
      <c r="F93" s="295" t="s">
        <v>319</v>
      </c>
      <c r="G93" s="295" t="s">
        <v>319</v>
      </c>
      <c r="H93" s="367" t="s">
        <v>319</v>
      </c>
      <c r="I93" s="92" t="s">
        <v>168</v>
      </c>
      <c r="J93" s="92"/>
      <c r="K93" s="92" t="s">
        <v>185</v>
      </c>
      <c r="L93" s="71" t="s">
        <v>190</v>
      </c>
      <c r="M93" s="71" t="s">
        <v>195</v>
      </c>
      <c r="N93" s="71" t="s">
        <v>345</v>
      </c>
      <c r="O93" s="71"/>
      <c r="P93" s="71" t="s">
        <v>380</v>
      </c>
      <c r="Q93" s="71" t="e">
        <f>IF(OR(AND($C$2="Base contract",$C$3="No, section requirements must be reviewed",#REF!= FALSE,#REF!=FALSE),AND($C$2="Contract amendment",$C$3="No, section requirements must be reviewed",#REF!=FALSE,#REF!=FALSE)),"MUNN")</f>
        <v>#REF!</v>
      </c>
      <c r="R93" s="71"/>
      <c r="S93" s="64">
        <v>43282</v>
      </c>
      <c r="T93" s="64"/>
      <c r="U93" s="64"/>
      <c r="V93" s="97" t="e">
        <f>IF(OR(AND(AG93=1,#REF!="TRUE",AT93=1),#REF!=TRUE,#REF!=TRUE),1,IF(AND(OR(AND(AG93=1,#REF!="FALSE"),AND(AG93&lt;&gt;1,#REF!="FALSE")),OR(AND(E93="Yes",F93&lt;&gt;""),AND(E93="N/A",H93&lt;&gt;""),AND(E93="Met",F93&lt;&gt;""),AND(E93="Not met",G93&lt;&gt;""),AND(E93="Unsure",G93&lt;&gt;""),AND(E93="No",G93&lt;&gt;""),AND(E93="No, submission is in draft",G93&lt;&gt;""))),1,0))</f>
        <v>#REF!</v>
      </c>
      <c r="W93" s="56" t="b">
        <f>IF(AND('Cover Sheet'!$B$19="Non-Risk",$R93=1),TRUE,FALSE)</f>
        <v>0</v>
      </c>
      <c r="X93" s="56"/>
      <c r="Y93" s="56"/>
      <c r="Z93" s="56"/>
      <c r="AA93" s="56"/>
      <c r="AB93" s="56"/>
      <c r="AC93" s="56"/>
      <c r="AD93" s="56"/>
      <c r="AE93" s="56"/>
      <c r="AF93" s="44" t="s">
        <v>2081</v>
      </c>
      <c r="AG93" s="98">
        <v>1</v>
      </c>
      <c r="AH93" s="75" t="str">
        <f>A22</f>
        <v>I.J.3.03</v>
      </c>
      <c r="AI93" s="44" t="str">
        <f>C22</f>
        <v>The contract requires that if any of the MCP's activities or obligations under the contract with the state are delegated to a subcontractor, the contract or written arrangement between the MCP and the subcontractor must either provide for revocation of the delegation of activities or obligations, or specify other remedies in instances where the state or the MCP determines that the subcontractor has not performed satisfactorily.</v>
      </c>
      <c r="AJ93" s="57" t="b">
        <f t="shared" si="35"/>
        <v>1</v>
      </c>
      <c r="AK93" s="57">
        <f t="shared" si="36"/>
        <v>1</v>
      </c>
      <c r="AM93" s="69" t="str">
        <f t="shared" si="38"/>
        <v/>
      </c>
      <c r="AN93" s="69" t="e">
        <f>IF(E22 &lt;&gt;0, E22, IF(OR(#REF!=TRUE,#REF!= TRUE),"N/A", 0))</f>
        <v>#REF!</v>
      </c>
      <c r="AO93" s="69" t="e">
        <f>IF(F22 &lt;&gt;0, F22, IF(OR(#REF!=TRUE,#REF!= TRUE),"N/A", 0))</f>
        <v>#REF!</v>
      </c>
      <c r="AP93" s="69" t="e">
        <f>IF(G22 &lt;&gt;0, G22, IF(OR(#REF!=TRUE,#REF!= TRUE),"N/A", 0))</f>
        <v>#REF!</v>
      </c>
      <c r="AQ93" s="69" t="e">
        <f>IF(H22 &lt;&gt;0, H22, IF(OR(#REF!=TRUE,#REF!= TRUE),"N/A", 0))</f>
        <v>#REF!</v>
      </c>
      <c r="AR93" s="69" t="e">
        <f>IF(OR(AND($H$6="Both",OR(AND(AG93=0,OR(NOT(ISBLANK(E93)),NOT(ISBLANK(F93)),NOT(ISBLANK(G93)),NOT(ISBLANK(H93)))),AND(AG93=1,#REF!="TRUE",OR(AN93&lt;&gt;0,AO93&lt;&gt;0,AP93&lt;&gt;0,AQ93&lt;&gt;0)),AND(AG93=1,#REF!="FALSE",OR(NOT(ISBLANK(E93)),NOT(ISBLANK(F93)),NOT(ISBLANK(G93)),NOT(ISBLANK(H93)))))),AND($H$6="CHIP",OR(NOT(ISBLANK(E93)),NOT(ISBLANK(F93)),NOT(ISBLANK(G93)),NOT(ISBLANK(H93)))),V93=1),1,0)</f>
        <v>#REF!</v>
      </c>
      <c r="AS93" s="69" t="e">
        <f>IF(AND(OR(OR(#REF!=TRUE,#REF!=TRUE),AND($H$6="Both",OR(AND(AG93=1,#REF!="TRUE",AT93=1,OR(AN93="Yes",AN93="N/A",AN93="Met")),AND(#REF!="FALSE",OR(AND(E93="Yes",NOT(ISBLANK(F93))),AND(E93="N/A",NOT(ISBLANK(H93))),AND(E93="Met",NOT(ISBLANK(F93))))))),AND($H$6="CHIP",OR(AND(E93="Yes",NOT(ISBLANK(F93))),AND(E93="N/A",NOT(ISBLANK(H93))),AND(E93="Met",NOT(ISBLANK(F93)))))),V93=1),1,0)</f>
        <v>#REF!</v>
      </c>
      <c r="AT93" s="69" t="e">
        <f t="shared" si="37"/>
        <v>#REF!</v>
      </c>
    </row>
    <row r="94" spans="1:46" ht="77.25" hidden="1" customHeight="1" x14ac:dyDescent="0.25">
      <c r="A94" s="330" t="s">
        <v>2235</v>
      </c>
      <c r="B94" s="263" t="s">
        <v>2236</v>
      </c>
      <c r="C94" s="381" t="s">
        <v>2081</v>
      </c>
      <c r="D94" s="380">
        <v>3</v>
      </c>
      <c r="E94" s="263" t="s">
        <v>311</v>
      </c>
      <c r="F94" s="263" t="s">
        <v>319</v>
      </c>
      <c r="G94" s="263" t="s">
        <v>319</v>
      </c>
      <c r="H94" s="382" t="s">
        <v>319</v>
      </c>
      <c r="I94" s="92"/>
      <c r="J94" s="92"/>
      <c r="K94" s="92"/>
      <c r="L94" s="71"/>
      <c r="M94" s="71"/>
      <c r="N94" s="71"/>
      <c r="O94" s="71" t="s">
        <v>200</v>
      </c>
      <c r="P94" s="71" t="s">
        <v>380</v>
      </c>
      <c r="Q94" s="71" t="e">
        <f>IF(OR(AND($C$2="Base contract",$C$3="No, section requirements must be reviewed",#REF!= FALSE,#REF!=FALSE),AND($C$2="Contract amendment",$C$3="No, section requirements must be reviewed",#REF!=FALSE,#REF!=FALSE)),"MUNN")</f>
        <v>#REF!</v>
      </c>
      <c r="R94" s="71"/>
      <c r="S94" s="64">
        <v>44179</v>
      </c>
      <c r="T94" s="64"/>
      <c r="U94" s="64"/>
      <c r="V94" s="97" t="e">
        <f>IF(OR(AND(AG94=1,#REF!="TRUE",AT94=1),#REF!=TRUE,#REF!=TRUE),1,IF(AND(OR(AND(AG94=1,#REF!="FALSE"),AND(AG94&lt;&gt;1,#REF!="FALSE")),OR(AND(E94="Yes",F94&lt;&gt;""),AND(E94="N/A",H94&lt;&gt;""),AND(E94="Met",F94&lt;&gt;""),AND(E94="Not met",G94&lt;&gt;""),AND(E94="Unsure",G94&lt;&gt;""),AND(E94="No",G94&lt;&gt;""),AND(E94="No, submission is in draft",G94&lt;&gt;""))),1,0))</f>
        <v>#REF!</v>
      </c>
      <c r="W94" s="56" t="b">
        <f>IF(AND('Cover Sheet'!$B$19="Non-Risk",$R94=1),TRUE,FALSE)</f>
        <v>0</v>
      </c>
      <c r="X94" s="56"/>
      <c r="Y94" s="56"/>
      <c r="Z94" s="56"/>
      <c r="AA94" s="56"/>
      <c r="AB94" s="56"/>
      <c r="AC94" s="56"/>
      <c r="AD94" s="56"/>
      <c r="AE94" s="56"/>
      <c r="AF94" s="79"/>
      <c r="AG94" s="98">
        <v>0</v>
      </c>
      <c r="AH94" s="108"/>
      <c r="AI94" s="79"/>
      <c r="AJ94" s="57" t="str">
        <f>IF(AG94=1,AI94=AF94,"")</f>
        <v/>
      </c>
      <c r="AK94" s="57">
        <f>IF($AG$2=1, IF(AG94=1,1,0),0)</f>
        <v>0</v>
      </c>
      <c r="AM94" s="69" t="str">
        <f t="shared" si="38"/>
        <v/>
      </c>
      <c r="AR94" s="69" t="e">
        <f>IF(OR(AND($H$6="Both",OR(AND(AG94=0,OR(NOT(ISBLANK(E94)),NOT(ISBLANK(F94)),NOT(ISBLANK(G94)),NOT(ISBLANK(H94)))),AND(AG94=1,#REF!="TRUE",OR(AN94&lt;&gt;0,AO94&lt;&gt;0,AP94&lt;&gt;0,AQ94&lt;&gt;0)),AND(AG94=1,#REF!="FALSE",OR(NOT(ISBLANK(E94)),NOT(ISBLANK(F94)),NOT(ISBLANK(G94)),NOT(ISBLANK(H94)))))),AND($H$6="CHIP",OR(NOT(ISBLANK(E94)),NOT(ISBLANK(F94)),NOT(ISBLANK(G94)),NOT(ISBLANK(H94)))),V94=1),1,0)</f>
        <v>#REF!</v>
      </c>
      <c r="AS94" s="69" t="e">
        <f>IF(AND(OR(OR(#REF!=TRUE,#REF!=TRUE),AND($H$6="Both",OR(AND(AG94=1,#REF!="TRUE",AT94=1,OR(AN94="Yes",AN94="N/A",AN94="Met")),AND(#REF!="FALSE",OR(AND(E94="Yes",NOT(ISBLANK(F94))),AND(E94="N/A",NOT(ISBLANK(H94))),AND(E94="Met",NOT(ISBLANK(F94))))))),AND($H$6="CHIP",OR(AND(E94="Yes",NOT(ISBLANK(F94))),AND(E94="N/A",NOT(ISBLANK(H94))),AND(E94="Met",NOT(ISBLANK(F94)))))),V94=1),1,0)</f>
        <v>#REF!</v>
      </c>
      <c r="AT94" s="69">
        <f t="shared" si="37"/>
        <v>0</v>
      </c>
    </row>
    <row r="95" spans="1:46" ht="63.75" hidden="1" customHeight="1" x14ac:dyDescent="0.25">
      <c r="A95" s="294" t="s">
        <v>2237</v>
      </c>
      <c r="B95" s="295" t="s">
        <v>2215</v>
      </c>
      <c r="C95" s="295" t="str">
        <f t="shared" si="34"/>
        <v>The contract specifies that contracts between the MCP and subcontractors require the subcontractor to comply with all applicable Medicaid laws, regulations, including applicable subregulatory guidance and contract provisions.   [If there is no additional information related to the CHIP contract, this information only needs to be entered in Section I.J.3.04 .]</v>
      </c>
      <c r="D95" s="296">
        <v>3</v>
      </c>
      <c r="E95" s="295" t="s">
        <v>311</v>
      </c>
      <c r="F95" s="295" t="s">
        <v>319</v>
      </c>
      <c r="G95" s="295" t="s">
        <v>319</v>
      </c>
      <c r="H95" s="367" t="s">
        <v>319</v>
      </c>
      <c r="I95" s="92" t="s">
        <v>168</v>
      </c>
      <c r="J95" s="92"/>
      <c r="K95" s="92" t="s">
        <v>185</v>
      </c>
      <c r="L95" s="71" t="s">
        <v>190</v>
      </c>
      <c r="M95" s="71" t="s">
        <v>195</v>
      </c>
      <c r="N95" s="71" t="s">
        <v>345</v>
      </c>
      <c r="O95" s="71"/>
      <c r="P95" s="71" t="s">
        <v>380</v>
      </c>
      <c r="Q95" s="71" t="e">
        <f>IF(OR(AND($C$2="Base contract",$C$3="No, section requirements must be reviewed",#REF!= FALSE,#REF!=FALSE),AND($C$2="Contract amendment",$C$3="No, section requirements must be reviewed",#REF!=FALSE,#REF!=FALSE)),"MUNN")</f>
        <v>#REF!</v>
      </c>
      <c r="R95" s="71"/>
      <c r="S95" s="64">
        <v>43282</v>
      </c>
      <c r="T95" s="64"/>
      <c r="U95" s="64"/>
      <c r="V95" s="97" t="e">
        <f>IF(OR(AND(AG95=1,#REF!="TRUE",AT95=1),#REF!=TRUE,#REF!=TRUE),1,IF(AND(OR(AND(AG95=1,#REF!="FALSE"),AND(AG95&lt;&gt;1,#REF!="FALSE")),OR(AND(E95="Yes",F95&lt;&gt;""),AND(E95="N/A",H95&lt;&gt;""),AND(E95="Met",F95&lt;&gt;""),AND(E95="Not met",G95&lt;&gt;""),AND(E95="Unsure",G95&lt;&gt;""),AND(E95="No",G95&lt;&gt;""),AND(E95="No, submission is in draft",G95&lt;&gt;""))),1,0))</f>
        <v>#REF!</v>
      </c>
      <c r="W95" s="56" t="b">
        <f>IF(AND('Cover Sheet'!$B$19="Non-Risk",$R95=1),TRUE,FALSE)</f>
        <v>0</v>
      </c>
      <c r="X95" s="56"/>
      <c r="Y95" s="56"/>
      <c r="Z95" s="56"/>
      <c r="AA95" s="56"/>
      <c r="AB95" s="56"/>
      <c r="AC95" s="56"/>
      <c r="AD95" s="56"/>
      <c r="AE95" s="56"/>
      <c r="AF95" s="44" t="s">
        <v>2238</v>
      </c>
      <c r="AG95" s="98">
        <v>1</v>
      </c>
      <c r="AH95" s="75" t="str">
        <f>A23</f>
        <v xml:space="preserve">I.J.3.04 </v>
      </c>
      <c r="AI95" s="44" t="str">
        <f>C23</f>
        <v xml:space="preserve">The contract specifies that contracts between the MCP and subcontractors require the subcontractor to comply with all applicable Medicaid laws, regulations, subregulatory guidance, and contract provisions. </v>
      </c>
      <c r="AJ95" s="57" t="b">
        <f t="shared" si="35"/>
        <v>0</v>
      </c>
      <c r="AK95" s="57">
        <f t="shared" si="36"/>
        <v>1</v>
      </c>
      <c r="AM95" s="69" t="str">
        <f t="shared" si="38"/>
        <v/>
      </c>
      <c r="AN95" s="69" t="e">
        <f>IF(E23 &lt;&gt;0, E23, IF(OR(#REF!=TRUE,#REF!= TRUE),"N/A", 0))</f>
        <v>#REF!</v>
      </c>
      <c r="AO95" s="69" t="e">
        <f>IF(F23 &lt;&gt;0, F23, IF(OR(#REF!=TRUE,#REF!= TRUE),"N/A", 0))</f>
        <v>#REF!</v>
      </c>
      <c r="AP95" s="69" t="e">
        <f>IF(G23 &lt;&gt;0, G23, IF(OR(#REF!=TRUE,#REF!= TRUE),"N/A", 0))</f>
        <v>#REF!</v>
      </c>
      <c r="AQ95" s="69" t="e">
        <f>IF(H23 &lt;&gt;0, H23, IF(OR(#REF!=TRUE,#REF!= TRUE),"N/A", 0))</f>
        <v>#REF!</v>
      </c>
      <c r="AR95" s="69" t="e">
        <f>IF(OR(AND($H$6="Both",OR(AND(AG95=0,OR(NOT(ISBLANK(E95)),NOT(ISBLANK(F95)),NOT(ISBLANK(G95)),NOT(ISBLANK(H95)))),AND(AG95=1,#REF!="TRUE",OR(AN95&lt;&gt;0,AO95&lt;&gt;0,AP95&lt;&gt;0,AQ95&lt;&gt;0)),AND(AG95=1,#REF!="FALSE",OR(NOT(ISBLANK(E95)),NOT(ISBLANK(F95)),NOT(ISBLANK(G95)),NOT(ISBLANK(H95)))))),AND($H$6="CHIP",OR(NOT(ISBLANK(E95)),NOT(ISBLANK(F95)),NOT(ISBLANK(G95)),NOT(ISBLANK(H95)))),V95=1),1,0)</f>
        <v>#REF!</v>
      </c>
      <c r="AS95" s="69" t="e">
        <f>IF(AND(OR(OR(#REF!=TRUE,#REF!=TRUE),AND($H$6="Both",OR(AND(AG95=1,#REF!="TRUE",AT95=1,OR(AN95="Yes",AN95="N/A",AN95="Met")),AND(#REF!="FALSE",OR(AND(E95="Yes",NOT(ISBLANK(F95))),AND(E95="N/A",NOT(ISBLANK(H95))),AND(E95="Met",NOT(ISBLANK(F95))))))),AND($H$6="CHIP",OR(AND(E95="Yes",NOT(ISBLANK(F95))),AND(E95="N/A",NOT(ISBLANK(H95))),AND(E95="Met",NOT(ISBLANK(F95)))))),V95=1),1,0)</f>
        <v>#REF!</v>
      </c>
      <c r="AT95" s="69" t="e">
        <f t="shared" si="37"/>
        <v>#REF!</v>
      </c>
    </row>
    <row r="96" spans="1:46" ht="63.75" hidden="1" customHeight="1" x14ac:dyDescent="0.25">
      <c r="A96" s="330" t="s">
        <v>2237</v>
      </c>
      <c r="B96" s="263" t="s">
        <v>2215</v>
      </c>
      <c r="C96" s="381" t="s">
        <v>2238</v>
      </c>
      <c r="D96" s="380">
        <v>3</v>
      </c>
      <c r="E96" s="263" t="s">
        <v>311</v>
      </c>
      <c r="F96" s="263" t="s">
        <v>319</v>
      </c>
      <c r="G96" s="263" t="s">
        <v>319</v>
      </c>
      <c r="H96" s="382" t="s">
        <v>319</v>
      </c>
      <c r="I96" s="92"/>
      <c r="J96" s="92"/>
      <c r="K96" s="92"/>
      <c r="L96" s="71"/>
      <c r="M96" s="71"/>
      <c r="N96" s="71"/>
      <c r="O96" s="71" t="s">
        <v>200</v>
      </c>
      <c r="P96" s="71" t="s">
        <v>380</v>
      </c>
      <c r="Q96" s="71" t="e">
        <f>IF(OR(AND($C$2="Base contract",$C$3="No, section requirements must be reviewed",#REF!= FALSE,#REF!=FALSE),AND($C$2="Contract amendment",$C$3="No, section requirements must be reviewed",#REF!=FALSE,#REF!=FALSE)),"MUNN")</f>
        <v>#REF!</v>
      </c>
      <c r="R96" s="71"/>
      <c r="S96" s="64">
        <v>44179</v>
      </c>
      <c r="T96" s="64"/>
      <c r="U96" s="64"/>
      <c r="V96" s="97" t="e">
        <f>IF(OR(AND(AG96=1,#REF!="TRUE",AT96=1),#REF!=TRUE,#REF!=TRUE),1,IF(AND(OR(AND(AG96=1,#REF!="FALSE"),AND(AG96&lt;&gt;1,#REF!="FALSE")),OR(AND(E96="Yes",F96&lt;&gt;""),AND(E96="N/A",H96&lt;&gt;""),AND(E96="Met",F96&lt;&gt;""),AND(E96="Not met",G96&lt;&gt;""),AND(E96="Unsure",G96&lt;&gt;""),AND(E96="No",G96&lt;&gt;""),AND(E96="No, submission is in draft",G96&lt;&gt;""))),1,0))</f>
        <v>#REF!</v>
      </c>
      <c r="W96" s="56" t="b">
        <f>IF(AND('Cover Sheet'!$B$19="Non-Risk",$R96=1),TRUE,FALSE)</f>
        <v>0</v>
      </c>
      <c r="X96" s="56"/>
      <c r="Y96" s="56"/>
      <c r="Z96" s="56"/>
      <c r="AA96" s="56"/>
      <c r="AB96" s="56"/>
      <c r="AC96" s="56"/>
      <c r="AD96" s="56"/>
      <c r="AE96" s="56"/>
      <c r="AF96" s="79"/>
      <c r="AG96" s="98">
        <v>0</v>
      </c>
      <c r="AH96" s="108"/>
      <c r="AI96" s="79"/>
      <c r="AJ96" s="57" t="str">
        <f>IF(AG96=1,AI96=AF96,"")</f>
        <v/>
      </c>
      <c r="AK96" s="57">
        <f>IF($AG$2=1, IF(AG96=1,1,0),0)</f>
        <v>0</v>
      </c>
      <c r="AM96" s="69" t="str">
        <f t="shared" si="38"/>
        <v/>
      </c>
      <c r="AR96" s="69" t="e">
        <f>IF(OR(AND($H$6="Both",OR(AND(AG96=0,OR(NOT(ISBLANK(E96)),NOT(ISBLANK(F96)),NOT(ISBLANK(G96)),NOT(ISBLANK(H96)))),AND(AG96=1,#REF!="TRUE",OR(AN96&lt;&gt;0,AO96&lt;&gt;0,AP96&lt;&gt;0,AQ96&lt;&gt;0)),AND(AG96=1,#REF!="FALSE",OR(NOT(ISBLANK(E96)),NOT(ISBLANK(F96)),NOT(ISBLANK(G96)),NOT(ISBLANK(H96)))))),AND($H$6="CHIP",OR(NOT(ISBLANK(E96)),NOT(ISBLANK(F96)),NOT(ISBLANK(G96)),NOT(ISBLANK(H96)))),V96=1),1,0)</f>
        <v>#REF!</v>
      </c>
      <c r="AS96" s="69" t="e">
        <f>IF(AND(OR(OR(#REF!=TRUE,#REF!=TRUE),AND($H$6="Both",OR(AND(AG96=1,#REF!="TRUE",AT96=1,OR(AN96="Yes",AN96="N/A",AN96="Met")),AND(#REF!="FALSE",OR(AND(E96="Yes",NOT(ISBLANK(F96))),AND(E96="N/A",NOT(ISBLANK(H96))),AND(E96="Met",NOT(ISBLANK(F96))))))),AND($H$6="CHIP",OR(AND(E96="Yes",NOT(ISBLANK(F96))),AND(E96="N/A",NOT(ISBLANK(H96))),AND(E96="Met",NOT(ISBLANK(F96)))))),V96=1),1,0)</f>
        <v>#REF!</v>
      </c>
      <c r="AT96" s="69">
        <f t="shared" si="37"/>
        <v>0</v>
      </c>
    </row>
    <row r="97" spans="1:46" ht="88.5" hidden="1" customHeight="1" x14ac:dyDescent="0.25">
      <c r="A97" s="294" t="s">
        <v>2239</v>
      </c>
      <c r="B97" s="295" t="s">
        <v>2240</v>
      </c>
      <c r="C97" s="295" t="str">
        <f t="shared" si="34"/>
        <v>The contract specifies that contracts between the MCP and subcontractors require the subcontractor to agree that the state, CMS, the DHHS Inspector General, the Comptroller General, or their designees have the right to audit, evaluate, and inspect any books, records, contracts, computer or other electronic systems of the subcontractor, or of the subcontractor's contractor, that pertain to any aspect of services and activities performed, or determination of amounts payable under the MCP's contract with the state.  [If there is no additional information related to the CHIP contract, this information only needs to be entered in Section I.J.3.05 .]</v>
      </c>
      <c r="D97" s="296">
        <v>3</v>
      </c>
      <c r="E97" s="295" t="s">
        <v>311</v>
      </c>
      <c r="F97" s="295" t="s">
        <v>319</v>
      </c>
      <c r="G97" s="295" t="s">
        <v>319</v>
      </c>
      <c r="H97" s="367" t="s">
        <v>319</v>
      </c>
      <c r="I97" s="92" t="s">
        <v>168</v>
      </c>
      <c r="J97" s="92"/>
      <c r="K97" s="92" t="s">
        <v>185</v>
      </c>
      <c r="L97" s="71" t="s">
        <v>190</v>
      </c>
      <c r="M97" s="71" t="s">
        <v>195</v>
      </c>
      <c r="N97" s="71" t="s">
        <v>345</v>
      </c>
      <c r="O97" s="71"/>
      <c r="P97" s="71" t="s">
        <v>380</v>
      </c>
      <c r="Q97" s="71" t="e">
        <f>IF(OR(AND($C$2="Base contract",$C$3="No, section requirements must be reviewed",#REF!= FALSE,#REF!=FALSE),AND($C$2="Contract amendment",$C$3="No, section requirements must be reviewed",#REF!=FALSE,#REF!=FALSE)),"MUNN")</f>
        <v>#REF!</v>
      </c>
      <c r="R97" s="71"/>
      <c r="S97" s="64">
        <v>43282</v>
      </c>
      <c r="T97" s="64"/>
      <c r="U97" s="64"/>
      <c r="V97" s="97" t="e">
        <f>IF(OR(AND(AG97=1,#REF!="TRUE",AT97=1),#REF!=TRUE,#REF!=TRUE),1,IF(AND(OR(AND(AG97=1,#REF!="FALSE"),AND(AG97&lt;&gt;1,#REF!="FALSE")),OR(AND(E97="Yes",F97&lt;&gt;""),AND(E97="N/A",H97&lt;&gt;""),AND(E97="Met",F97&lt;&gt;""),AND(E97="Not met",G97&lt;&gt;""),AND(E97="Unsure",G97&lt;&gt;""),AND(E97="No",G97&lt;&gt;""),AND(E97="No, submission is in draft",G97&lt;&gt;""))),1,0))</f>
        <v>#REF!</v>
      </c>
      <c r="W97" s="56" t="b">
        <f>IF(AND('Cover Sheet'!$B$19="Non-Risk",$R97=1),TRUE,FALSE)</f>
        <v>0</v>
      </c>
      <c r="X97" s="56"/>
      <c r="Y97" s="56"/>
      <c r="Z97" s="56"/>
      <c r="AA97" s="56"/>
      <c r="AB97" s="56"/>
      <c r="AC97" s="56"/>
      <c r="AD97" s="56"/>
      <c r="AE97" s="56"/>
      <c r="AF97" s="44" t="s">
        <v>2241</v>
      </c>
      <c r="AG97" s="98">
        <v>1</v>
      </c>
      <c r="AH97" s="75" t="str">
        <f>A24</f>
        <v xml:space="preserve">I.J.3.05 </v>
      </c>
      <c r="AI97" s="44" t="str">
        <f>C24</f>
        <v>The contract specifies that contracts between the MCP and subcontractors require the subcontractor to agree that the state, CMS, the OIG, the Comptroller General, or their designees have the right to audit, evaluate, and inspect any books, records, contracts, computer or other electronic systems of the subcontractor, or of the subcontractor's contractor, that pertain to any aspect of services and activities performed, or determination of amounts payable under the MCP's contract with the state.</v>
      </c>
      <c r="AJ97" s="57" t="b">
        <f t="shared" si="35"/>
        <v>0</v>
      </c>
      <c r="AK97" s="57">
        <f t="shared" si="36"/>
        <v>1</v>
      </c>
      <c r="AM97" s="69" t="str">
        <f t="shared" si="38"/>
        <v/>
      </c>
      <c r="AN97" s="69" t="e">
        <f>IF(E24 &lt;&gt;0, E24, IF(OR(#REF!=TRUE,#REF!= TRUE),"N/A", 0))</f>
        <v>#REF!</v>
      </c>
      <c r="AO97" s="69" t="e">
        <f>IF(F24 &lt;&gt;0, F24, IF(OR(#REF!=TRUE,#REF!= TRUE),"N/A", 0))</f>
        <v>#REF!</v>
      </c>
      <c r="AP97" s="69" t="e">
        <f>IF(G24 &lt;&gt;0, G24, IF(OR(#REF!=TRUE,#REF!= TRUE),"N/A", 0))</f>
        <v>#REF!</v>
      </c>
      <c r="AQ97" s="69" t="e">
        <f>IF(H24 &lt;&gt;0, H24, IF(OR(#REF!=TRUE,#REF!= TRUE),"N/A", 0))</f>
        <v>#REF!</v>
      </c>
      <c r="AR97" s="69" t="e">
        <f>IF(OR(AND($H$6="Both",OR(AND(AG97=0,OR(NOT(ISBLANK(E97)),NOT(ISBLANK(F97)),NOT(ISBLANK(G97)),NOT(ISBLANK(H97)))),AND(AG97=1,#REF!="TRUE",OR(AN97&lt;&gt;0,AO97&lt;&gt;0,AP97&lt;&gt;0,AQ97&lt;&gt;0)),AND(AG97=1,#REF!="FALSE",OR(NOT(ISBLANK(E97)),NOT(ISBLANK(F97)),NOT(ISBLANK(G97)),NOT(ISBLANK(H97)))))),AND($H$6="CHIP",OR(NOT(ISBLANK(E97)),NOT(ISBLANK(F97)),NOT(ISBLANK(G97)),NOT(ISBLANK(H97)))),V97=1),1,0)</f>
        <v>#REF!</v>
      </c>
      <c r="AS97" s="69" t="e">
        <f>IF(AND(OR(OR(#REF!=TRUE,#REF!=TRUE),AND($H$6="Both",OR(AND(AG97=1,#REF!="TRUE",AT97=1,OR(AN97="Yes",AN97="N/A",AN97="Met")),AND(#REF!="FALSE",OR(AND(E97="Yes",NOT(ISBLANK(F97))),AND(E97="N/A",NOT(ISBLANK(H97))),AND(E97="Met",NOT(ISBLANK(F97))))))),AND($H$6="CHIP",OR(AND(E97="Yes",NOT(ISBLANK(F97))),AND(E97="N/A",NOT(ISBLANK(H97))),AND(E97="Met",NOT(ISBLANK(F97)))))),V97=1),1,0)</f>
        <v>#REF!</v>
      </c>
      <c r="AT97" s="69" t="e">
        <f t="shared" si="37"/>
        <v>#REF!</v>
      </c>
    </row>
    <row r="98" spans="1:46" ht="92.25" hidden="1" customHeight="1" x14ac:dyDescent="0.25">
      <c r="A98" s="330" t="s">
        <v>2239</v>
      </c>
      <c r="B98" s="263" t="s">
        <v>2240</v>
      </c>
      <c r="C98" s="381" t="s">
        <v>2241</v>
      </c>
      <c r="D98" s="380">
        <v>3</v>
      </c>
      <c r="E98" s="295" t="s">
        <v>311</v>
      </c>
      <c r="F98" s="295" t="s">
        <v>319</v>
      </c>
      <c r="G98" s="295" t="s">
        <v>319</v>
      </c>
      <c r="H98" s="367" t="s">
        <v>319</v>
      </c>
      <c r="I98" s="92"/>
      <c r="J98" s="92"/>
      <c r="K98" s="92"/>
      <c r="L98" s="71"/>
      <c r="M98" s="71"/>
      <c r="N98" s="71"/>
      <c r="O98" s="71" t="s">
        <v>200</v>
      </c>
      <c r="P98" s="71" t="s">
        <v>380</v>
      </c>
      <c r="Q98" s="71" t="e">
        <f>IF(OR(AND($C$2="Base contract",$C$3="No, section requirements must be reviewed",#REF!= FALSE,#REF!=FALSE),AND($C$2="Contract amendment",$C$3="No, section requirements must be reviewed",#REF!=FALSE,#REF!=FALSE)),"MUNN")</f>
        <v>#REF!</v>
      </c>
      <c r="R98" s="71"/>
      <c r="S98" s="64">
        <v>44179</v>
      </c>
      <c r="T98" s="64"/>
      <c r="U98" s="64"/>
      <c r="V98" s="97" t="e">
        <f>IF(OR(AND(AG98=1,#REF!="TRUE",AT98=1),#REF!=TRUE,#REF!=TRUE),1,IF(AND(OR(AND(AG98=1,#REF!="FALSE"),AND(AG98&lt;&gt;1,#REF!="FALSE")),OR(AND(E98="Yes",F98&lt;&gt;""),AND(E98="N/A",H98&lt;&gt;""),AND(E98="Met",F98&lt;&gt;""),AND(E98="Not met",G98&lt;&gt;""),AND(E98="Unsure",G98&lt;&gt;""),AND(E98="No",G98&lt;&gt;""),AND(E98="No, submission is in draft",G98&lt;&gt;""))),1,0))</f>
        <v>#REF!</v>
      </c>
      <c r="W98" s="56" t="b">
        <f>IF(AND('Cover Sheet'!$B$19="Non-Risk",$R98=1),TRUE,FALSE)</f>
        <v>0</v>
      </c>
      <c r="X98" s="56"/>
      <c r="Y98" s="56"/>
      <c r="Z98" s="56"/>
      <c r="AA98" s="56"/>
      <c r="AB98" s="56"/>
      <c r="AC98" s="56"/>
      <c r="AD98" s="56"/>
      <c r="AE98" s="56"/>
      <c r="AF98" s="79"/>
      <c r="AG98" s="98">
        <v>0</v>
      </c>
      <c r="AH98" s="108"/>
      <c r="AI98" s="79"/>
      <c r="AJ98" s="57" t="str">
        <f>IF(AG98=1,AI98=AF98,"")</f>
        <v/>
      </c>
      <c r="AK98" s="57">
        <f>IF($AG$2=1, IF(AG98=1,1,0),0)</f>
        <v>0</v>
      </c>
      <c r="AM98" s="69" t="str">
        <f t="shared" si="38"/>
        <v/>
      </c>
      <c r="AR98" s="69" t="e">
        <f>IF(OR(AND($H$6="Both",OR(AND(AG98=0,OR(NOT(ISBLANK(E98)),NOT(ISBLANK(F98)),NOT(ISBLANK(G98)),NOT(ISBLANK(H98)))),AND(AG98=1,#REF!="TRUE",OR(AN98&lt;&gt;0,AO98&lt;&gt;0,AP98&lt;&gt;0,AQ98&lt;&gt;0)),AND(AG98=1,#REF!="FALSE",OR(NOT(ISBLANK(E98)),NOT(ISBLANK(F98)),NOT(ISBLANK(G98)),NOT(ISBLANK(H98)))))),AND($H$6="CHIP",OR(NOT(ISBLANK(E98)),NOT(ISBLANK(F98)),NOT(ISBLANK(G98)),NOT(ISBLANK(H98)))),V98=1),1,0)</f>
        <v>#REF!</v>
      </c>
      <c r="AS98" s="69" t="e">
        <f>IF(AND(OR(OR(#REF!=TRUE,#REF!=TRUE),AND($H$6="Both",OR(AND(AG98=1,#REF!="TRUE",AT98=1,OR(AN98="Yes",AN98="N/A",AN98="Met")),AND(#REF!="FALSE",OR(AND(E98="Yes",NOT(ISBLANK(F98))),AND(E98="N/A",NOT(ISBLANK(H98))),AND(E98="Met",NOT(ISBLANK(F98))))))),AND($H$6="CHIP",OR(AND(E98="Yes",NOT(ISBLANK(F98))),AND(E98="N/A",NOT(ISBLANK(H98))),AND(E98="Met",NOT(ISBLANK(F98)))))),V98=1),1,0)</f>
        <v>#REF!</v>
      </c>
      <c r="AT98" s="69">
        <f t="shared" si="37"/>
        <v>0</v>
      </c>
    </row>
    <row r="99" spans="1:46" ht="76.5" hidden="1" customHeight="1" x14ac:dyDescent="0.25">
      <c r="A99" s="294" t="s">
        <v>2242</v>
      </c>
      <c r="B99" s="295" t="s">
        <v>2243</v>
      </c>
      <c r="C99" s="295" t="str">
        <f t="shared" si="34"/>
        <v>The contract specifies that contracts between the MCP and subcontractors require the subcontractor to make available, for the purposes of an audit, evaluation, or inspection by the state, CMS, the DHHS Inspector General, the Comptroller General or their designees, its premises, physical facilities, equipment, books, records, contracts, computer, or other electronic systems relating to its CHIP enrollees.  [If there is no additional information related to the CHIP contract, this information only needs to be entered in Section I.J.3.06 .]</v>
      </c>
      <c r="D99" s="296">
        <v>3</v>
      </c>
      <c r="E99" s="295" t="s">
        <v>311</v>
      </c>
      <c r="F99" s="295" t="s">
        <v>319</v>
      </c>
      <c r="G99" s="295" t="s">
        <v>319</v>
      </c>
      <c r="H99" s="367" t="s">
        <v>319</v>
      </c>
      <c r="I99" s="92" t="s">
        <v>168</v>
      </c>
      <c r="J99" s="92"/>
      <c r="K99" s="92" t="s">
        <v>185</v>
      </c>
      <c r="L99" s="71" t="s">
        <v>190</v>
      </c>
      <c r="M99" s="71" t="s">
        <v>195</v>
      </c>
      <c r="N99" s="71" t="s">
        <v>345</v>
      </c>
      <c r="O99" s="71"/>
      <c r="P99" s="71" t="s">
        <v>380</v>
      </c>
      <c r="Q99" s="71" t="e">
        <f>IF(OR(AND($C$2="Base contract",$C$3="No, section requirements must be reviewed",#REF!= FALSE,#REF!=FALSE),AND($C$2="Contract amendment",$C$3="No, section requirements must be reviewed",#REF!=FALSE,#REF!=FALSE)),"MUNN")</f>
        <v>#REF!</v>
      </c>
      <c r="R99" s="71"/>
      <c r="S99" s="64">
        <v>43282</v>
      </c>
      <c r="T99" s="64"/>
      <c r="U99" s="64"/>
      <c r="V99" s="97" t="e">
        <f>IF(OR(AND(AG99=1,#REF!="TRUE",AT99=1),#REF!=TRUE,#REF!=TRUE),1,IF(AND(OR(AND(AG99=1,#REF!="FALSE"),AND(AG99&lt;&gt;1,#REF!="FALSE")),OR(AND(E99="Yes",F99&lt;&gt;""),AND(E99="N/A",H99&lt;&gt;""),AND(E99="Met",F99&lt;&gt;""),AND(E99="Not met",G99&lt;&gt;""),AND(E99="Unsure",G99&lt;&gt;""),AND(E99="No",G99&lt;&gt;""),AND(E99="No, submission is in draft",G99&lt;&gt;""))),1,0))</f>
        <v>#REF!</v>
      </c>
      <c r="W99" s="56" t="b">
        <f>IF(AND('Cover Sheet'!$B$19="Non-Risk",$R99=1),TRUE,FALSE)</f>
        <v>0</v>
      </c>
      <c r="X99" s="56"/>
      <c r="Y99" s="56"/>
      <c r="Z99" s="56"/>
      <c r="AA99" s="56"/>
      <c r="AB99" s="56"/>
      <c r="AC99" s="56"/>
      <c r="AD99" s="56"/>
      <c r="AE99" s="56"/>
      <c r="AF99" s="44" t="s">
        <v>2244</v>
      </c>
      <c r="AG99" s="98">
        <v>1</v>
      </c>
      <c r="AH99" s="75" t="str">
        <f>A25</f>
        <v xml:space="preserve">I.J.3.06 </v>
      </c>
      <c r="AI99" s="44" t="str">
        <f>C25</f>
        <v>The contract specifies that contracts between the MCP and subcontractors require the subcontractor to make available, for the purposes of an audit, evaluation, or inspection by the state, CMS, the OIG, the Comptroller General or their designees, its premises, physical facilities, equipment, books, records, contracts, computer, or other electronic systems relating to its Medicaid enrollees.</v>
      </c>
      <c r="AJ99" s="57" t="b">
        <f t="shared" si="35"/>
        <v>0</v>
      </c>
      <c r="AK99" s="57">
        <f t="shared" si="36"/>
        <v>1</v>
      </c>
      <c r="AM99" s="69" t="str">
        <f t="shared" si="38"/>
        <v/>
      </c>
      <c r="AN99" s="69" t="e">
        <f>IF(E25 &lt;&gt;0, E25, IF(OR(#REF!=TRUE,#REF!= TRUE),"N/A", 0))</f>
        <v>#REF!</v>
      </c>
      <c r="AO99" s="69" t="e">
        <f>IF(F25 &lt;&gt;0, F25, IF(OR(#REF!=TRUE,#REF!= TRUE),"N/A", 0))</f>
        <v>#REF!</v>
      </c>
      <c r="AP99" s="69" t="e">
        <f>IF(G25 &lt;&gt;0, G25, IF(OR(#REF!=TRUE,#REF!= TRUE),"N/A", 0))</f>
        <v>#REF!</v>
      </c>
      <c r="AQ99" s="69" t="e">
        <f>IF(H25 &lt;&gt;0, H25, IF(OR(#REF!=TRUE,#REF!= TRUE),"N/A", 0))</f>
        <v>#REF!</v>
      </c>
      <c r="AR99" s="69" t="e">
        <f>IF(OR(AND($H$6="Both",OR(AND(AG99=0,OR(NOT(ISBLANK(E99)),NOT(ISBLANK(F99)),NOT(ISBLANK(G99)),NOT(ISBLANK(H99)))),AND(AG99=1,#REF!="TRUE",OR(AN99&lt;&gt;0,AO99&lt;&gt;0,AP99&lt;&gt;0,AQ99&lt;&gt;0)),AND(AG99=1,#REF!="FALSE",OR(NOT(ISBLANK(E99)),NOT(ISBLANK(F99)),NOT(ISBLANK(G99)),NOT(ISBLANK(H99)))))),AND($H$6="CHIP",OR(NOT(ISBLANK(E99)),NOT(ISBLANK(F99)),NOT(ISBLANK(G99)),NOT(ISBLANK(H99)))),V99=1),1,0)</f>
        <v>#REF!</v>
      </c>
      <c r="AS99" s="69" t="e">
        <f>IF(AND(OR(OR(#REF!=TRUE,#REF!=TRUE),AND($H$6="Both",OR(AND(AG99=1,#REF!="TRUE",AT99=1,OR(AN99="Yes",AN99="N/A",AN99="Met")),AND(#REF!="FALSE",OR(AND(E99="Yes",NOT(ISBLANK(F99))),AND(E99="N/A",NOT(ISBLANK(H99))),AND(E99="Met",NOT(ISBLANK(F99))))))),AND($H$6="CHIP",OR(AND(E99="Yes",NOT(ISBLANK(F99))),AND(E99="N/A",NOT(ISBLANK(H99))),AND(E99="Met",NOT(ISBLANK(F99)))))),V99=1),1,0)</f>
        <v>#REF!</v>
      </c>
      <c r="AT99" s="69" t="e">
        <f t="shared" si="37"/>
        <v>#REF!</v>
      </c>
    </row>
    <row r="100" spans="1:46" ht="76.5" hidden="1" customHeight="1" x14ac:dyDescent="0.25">
      <c r="A100" s="330" t="s">
        <v>2242</v>
      </c>
      <c r="B100" s="263" t="s">
        <v>2243</v>
      </c>
      <c r="C100" s="381" t="s">
        <v>2244</v>
      </c>
      <c r="D100" s="380">
        <v>3</v>
      </c>
      <c r="E100" s="263" t="s">
        <v>311</v>
      </c>
      <c r="F100" s="263" t="s">
        <v>319</v>
      </c>
      <c r="G100" s="263" t="s">
        <v>319</v>
      </c>
      <c r="H100" s="382" t="s">
        <v>319</v>
      </c>
      <c r="I100" s="92"/>
      <c r="J100" s="92"/>
      <c r="K100" s="92"/>
      <c r="L100" s="71"/>
      <c r="M100" s="71"/>
      <c r="N100" s="71"/>
      <c r="O100" s="71" t="s">
        <v>200</v>
      </c>
      <c r="P100" s="71" t="s">
        <v>380</v>
      </c>
      <c r="Q100" s="71" t="e">
        <f>IF(OR(AND($C$2="Base contract",$C$3="No, section requirements must be reviewed",#REF!= FALSE,#REF!=FALSE),AND($C$2="Contract amendment",$C$3="No, section requirements must be reviewed",#REF!=FALSE,#REF!=FALSE)),"MUNN")</f>
        <v>#REF!</v>
      </c>
      <c r="R100" s="71"/>
      <c r="S100" s="64">
        <v>44179</v>
      </c>
      <c r="T100" s="64"/>
      <c r="U100" s="64"/>
      <c r="V100" s="97" t="e">
        <f>IF(OR(AND(AG100=1,#REF!="TRUE",AT100=1),#REF!=TRUE,#REF!=TRUE),1,IF(AND(OR(AND(AG100=1,#REF!="FALSE"),AND(AG100&lt;&gt;1,#REF!="FALSE")),OR(AND(E100="Yes",F100&lt;&gt;""),AND(E100="N/A",H100&lt;&gt;""),AND(E100="Met",F100&lt;&gt;""),AND(E100="Not met",G100&lt;&gt;""),AND(E100="Unsure",G100&lt;&gt;""),AND(E100="No",G100&lt;&gt;""),AND(E100="No, submission is in draft",G100&lt;&gt;""))),1,0))</f>
        <v>#REF!</v>
      </c>
      <c r="W100" s="56" t="b">
        <f>IF(AND('Cover Sheet'!$B$19="Non-Risk",$R100=1),TRUE,FALSE)</f>
        <v>0</v>
      </c>
      <c r="X100" s="56"/>
      <c r="Y100" s="56"/>
      <c r="Z100" s="56"/>
      <c r="AA100" s="56"/>
      <c r="AB100" s="56"/>
      <c r="AC100" s="56"/>
      <c r="AD100" s="56"/>
      <c r="AE100" s="56"/>
      <c r="AF100" s="79"/>
      <c r="AG100" s="98">
        <v>0</v>
      </c>
      <c r="AH100" s="108"/>
      <c r="AI100" s="79"/>
      <c r="AJ100" s="57" t="str">
        <f>IF(AG100=1,AI100=AF100,"")</f>
        <v/>
      </c>
      <c r="AK100" s="57">
        <f>IF($AG$2=1, IF(AG100=1,1,0),0)</f>
        <v>0</v>
      </c>
      <c r="AM100" s="69" t="str">
        <f t="shared" si="38"/>
        <v/>
      </c>
      <c r="AR100" s="69" t="e">
        <f>IF(OR(AND($H$6="Both",OR(AND(AG100=0,OR(NOT(ISBLANK(E100)),NOT(ISBLANK(F100)),NOT(ISBLANK(G100)),NOT(ISBLANK(H100)))),AND(AG100=1,#REF!="TRUE",OR(AN100&lt;&gt;0,AO100&lt;&gt;0,AP100&lt;&gt;0,AQ100&lt;&gt;0)),AND(AG100=1,#REF!="FALSE",OR(NOT(ISBLANK(E100)),NOT(ISBLANK(F100)),NOT(ISBLANK(G100)),NOT(ISBLANK(H100)))))),AND($H$6="CHIP",OR(NOT(ISBLANK(E100)),NOT(ISBLANK(F100)),NOT(ISBLANK(G100)),NOT(ISBLANK(H100)))),V100=1),1,0)</f>
        <v>#REF!</v>
      </c>
      <c r="AS100" s="69" t="e">
        <f>IF(AND(OR(OR(#REF!=TRUE,#REF!=TRUE),AND($H$6="Both",OR(AND(AG100=1,#REF!="TRUE",AT100=1,OR(AN100="Yes",AN100="N/A",AN100="Met")),AND(#REF!="FALSE",OR(AND(E100="Yes",NOT(ISBLANK(F100))),AND(E100="N/A",NOT(ISBLANK(H100))),AND(E100="Met",NOT(ISBLANK(F100))))))),AND($H$6="CHIP",OR(AND(E100="Yes",NOT(ISBLANK(F100))),AND(E100="N/A",NOT(ISBLANK(H100))),AND(E100="Met",NOT(ISBLANK(F100)))))),V100=1),1,0)</f>
        <v>#REF!</v>
      </c>
      <c r="AT100" s="69">
        <f t="shared" si="37"/>
        <v>0</v>
      </c>
    </row>
    <row r="101" spans="1:46" ht="56.25" hidden="1" customHeight="1" x14ac:dyDescent="0.25">
      <c r="A101" s="294" t="s">
        <v>2245</v>
      </c>
      <c r="B101" s="295" t="s">
        <v>2246</v>
      </c>
      <c r="C101" s="295" t="str">
        <f t="shared" si="34"/>
        <v>The contract specifies that contracts between the MCP and subcontractors require the subcontractor to agree that the right to audit by the state, CMS, the DHHS Inspector General, the Comptroller General or their designees, will exist through 10 years from the final date of the contract period or from the date of completion of any audit, whichever is later.  [If there is no additional information related to the CHIP contract, this information only needs to be entered in Section I.J.3.07 .]</v>
      </c>
      <c r="D101" s="296">
        <v>3</v>
      </c>
      <c r="E101" s="295" t="s">
        <v>311</v>
      </c>
      <c r="F101" s="295" t="s">
        <v>319</v>
      </c>
      <c r="G101" s="295" t="s">
        <v>319</v>
      </c>
      <c r="H101" s="367" t="s">
        <v>319</v>
      </c>
      <c r="I101" s="92" t="s">
        <v>168</v>
      </c>
      <c r="J101" s="92"/>
      <c r="K101" s="92" t="s">
        <v>185</v>
      </c>
      <c r="L101" s="71" t="s">
        <v>190</v>
      </c>
      <c r="M101" s="71" t="s">
        <v>195</v>
      </c>
      <c r="N101" s="71" t="s">
        <v>345</v>
      </c>
      <c r="O101" s="71"/>
      <c r="P101" s="71" t="s">
        <v>380</v>
      </c>
      <c r="Q101" s="71" t="e">
        <f>IF(OR(AND($C$2="Base contract",$C$3="No, section requirements must be reviewed",#REF!= FALSE,#REF!=FALSE),AND($C$2="Contract amendment",$C$3="No, section requirements must be reviewed",#REF!=FALSE,#REF!=FALSE)),"MUNN")</f>
        <v>#REF!</v>
      </c>
      <c r="R101" s="71"/>
      <c r="S101" s="64">
        <v>43282</v>
      </c>
      <c r="T101" s="64"/>
      <c r="U101" s="64"/>
      <c r="V101" s="97" t="e">
        <f>IF(OR(AND(AG101=1,#REF!="TRUE",AT101=1),#REF!=TRUE,#REF!=TRUE),1,IF(AND(OR(AND(AG101=1,#REF!="FALSE"),AND(AG101&lt;&gt;1,#REF!="FALSE")),OR(AND(E101="Yes",F101&lt;&gt;""),AND(E101="N/A",H101&lt;&gt;""),AND(E101="Met",F101&lt;&gt;""),AND(E101="Not met",G101&lt;&gt;""),AND(E101="Unsure",G101&lt;&gt;""),AND(E101="No",G101&lt;&gt;""),AND(E101="No, submission is in draft",G101&lt;&gt;""))),1,0))</f>
        <v>#REF!</v>
      </c>
      <c r="W101" s="56" t="b">
        <f>IF(AND('Cover Sheet'!$B$19="Non-Risk",$R101=1),TRUE,FALSE)</f>
        <v>0</v>
      </c>
      <c r="X101" s="56"/>
      <c r="Y101" s="56"/>
      <c r="Z101" s="56"/>
      <c r="AA101" s="56"/>
      <c r="AB101" s="56"/>
      <c r="AC101" s="56"/>
      <c r="AD101" s="56"/>
      <c r="AE101" s="56"/>
      <c r="AF101" s="44" t="s">
        <v>2247</v>
      </c>
      <c r="AG101" s="98">
        <v>1</v>
      </c>
      <c r="AH101" s="75" t="str">
        <f>A26</f>
        <v xml:space="preserve">I.J.3.07 </v>
      </c>
      <c r="AI101" s="44" t="str">
        <f>C26</f>
        <v>The contract specifies that contracts between the MCP and subcontractors require the subcontractor to agree that the right to audit by the state, CMS, the OIG, the Comptroller General or their designees, will exist through 10 years from the final date of the contract period or from the date of completion of any audit, whichever is later.</v>
      </c>
      <c r="AJ101" s="57" t="b">
        <f t="shared" si="35"/>
        <v>0</v>
      </c>
      <c r="AK101" s="57">
        <f t="shared" si="36"/>
        <v>1</v>
      </c>
      <c r="AM101" s="69" t="str">
        <f t="shared" si="38"/>
        <v/>
      </c>
      <c r="AN101" s="69" t="e">
        <f>IF(E26 &lt;&gt;0, E26, IF(OR(#REF!=TRUE,#REF!= TRUE),"N/A", 0))</f>
        <v>#REF!</v>
      </c>
      <c r="AO101" s="69" t="e">
        <f>IF(F26 &lt;&gt;0, F26, IF(OR(#REF!=TRUE,#REF!= TRUE),"N/A", 0))</f>
        <v>#REF!</v>
      </c>
      <c r="AP101" s="69" t="e">
        <f>IF(G26 &lt;&gt;0, G26, IF(OR(#REF!=TRUE,#REF!= TRUE),"N/A", 0))</f>
        <v>#REF!</v>
      </c>
      <c r="AQ101" s="69" t="e">
        <f>IF(H26 &lt;&gt;0, H26, IF(OR(#REF!=TRUE,#REF!= TRUE),"N/A", 0))</f>
        <v>#REF!</v>
      </c>
      <c r="AR101" s="69" t="e">
        <f>IF(OR(AND($H$6="Both",OR(AND(AG101=0,OR(NOT(ISBLANK(E101)),NOT(ISBLANK(F101)),NOT(ISBLANK(G101)),NOT(ISBLANK(H101)))),AND(AG101=1,#REF!="TRUE",OR(AN101&lt;&gt;0,AO101&lt;&gt;0,AP101&lt;&gt;0,AQ101&lt;&gt;0)),AND(AG101=1,#REF!="FALSE",OR(NOT(ISBLANK(E101)),NOT(ISBLANK(F101)),NOT(ISBLANK(G101)),NOT(ISBLANK(H101)))))),AND($H$6="CHIP",OR(NOT(ISBLANK(E101)),NOT(ISBLANK(F101)),NOT(ISBLANK(G101)),NOT(ISBLANK(H101)))),V101=1),1,0)</f>
        <v>#REF!</v>
      </c>
      <c r="AS101" s="69" t="e">
        <f>IF(AND(OR(OR(#REF!=TRUE,#REF!=TRUE),AND($H$6="Both",OR(AND(AG101=1,#REF!="TRUE",AT101=1,OR(AN101="Yes",AN101="N/A",AN101="Met")),AND(#REF!="FALSE",OR(AND(E101="Yes",NOT(ISBLANK(F101))),AND(E101="N/A",NOT(ISBLANK(H101))),AND(E101="Met",NOT(ISBLANK(F101))))))),AND($H$6="CHIP",OR(AND(E101="Yes",NOT(ISBLANK(F101))),AND(E101="N/A",NOT(ISBLANK(H101))),AND(E101="Met",NOT(ISBLANK(F101)))))),V101=1),1,0)</f>
        <v>#REF!</v>
      </c>
      <c r="AT101" s="69" t="e">
        <f t="shared" si="37"/>
        <v>#REF!</v>
      </c>
    </row>
    <row r="102" spans="1:46" ht="55.5" hidden="1" customHeight="1" x14ac:dyDescent="0.25">
      <c r="A102" s="330" t="s">
        <v>2245</v>
      </c>
      <c r="B102" s="263" t="s">
        <v>2246</v>
      </c>
      <c r="C102" s="381" t="s">
        <v>2247</v>
      </c>
      <c r="D102" s="380">
        <v>3</v>
      </c>
      <c r="E102" s="263" t="s">
        <v>311</v>
      </c>
      <c r="F102" s="263" t="s">
        <v>319</v>
      </c>
      <c r="G102" s="263" t="s">
        <v>319</v>
      </c>
      <c r="H102" s="382" t="s">
        <v>319</v>
      </c>
      <c r="I102" s="92"/>
      <c r="J102" s="92"/>
      <c r="K102" s="92"/>
      <c r="L102" s="71"/>
      <c r="M102" s="71"/>
      <c r="N102" s="71"/>
      <c r="O102" s="71" t="s">
        <v>200</v>
      </c>
      <c r="P102" s="71" t="s">
        <v>380</v>
      </c>
      <c r="Q102" s="71" t="e">
        <f>IF(OR(AND($C$2="Base contract",$C$3="No, section requirements must be reviewed",#REF!= FALSE,#REF!=FALSE),AND($C$2="Contract amendment",$C$3="No, section requirements must be reviewed",#REF!=FALSE,#REF!=FALSE)),"MUNN")</f>
        <v>#REF!</v>
      </c>
      <c r="R102" s="71"/>
      <c r="S102" s="64">
        <v>44179</v>
      </c>
      <c r="T102" s="64"/>
      <c r="U102" s="64"/>
      <c r="V102" s="97" t="e">
        <f>IF(OR(AND(AG102=1,#REF!="TRUE",AT102=1),#REF!=TRUE,#REF!=TRUE),1,IF(AND(OR(AND(AG102=1,#REF!="FALSE"),AND(AG102&lt;&gt;1,#REF!="FALSE")),OR(AND(E102="Yes",F102&lt;&gt;""),AND(E102="N/A",H102&lt;&gt;""),AND(E102="Met",F102&lt;&gt;""),AND(E102="Not met",G102&lt;&gt;""),AND(E102="Unsure",G102&lt;&gt;""),AND(E102="No",G102&lt;&gt;""),AND(E102="No, submission is in draft",G102&lt;&gt;""))),1,0))</f>
        <v>#REF!</v>
      </c>
      <c r="W102" s="56" t="b">
        <f>IF(AND('Cover Sheet'!$B$19="Non-Risk",$R102=1),TRUE,FALSE)</f>
        <v>0</v>
      </c>
      <c r="X102" s="56"/>
      <c r="Y102" s="56"/>
      <c r="Z102" s="56"/>
      <c r="AA102" s="56"/>
      <c r="AB102" s="56"/>
      <c r="AC102" s="56"/>
      <c r="AD102" s="56"/>
      <c r="AE102" s="56"/>
      <c r="AF102" s="79"/>
      <c r="AG102" s="98">
        <v>0</v>
      </c>
      <c r="AH102" s="108"/>
      <c r="AI102" s="79"/>
      <c r="AJ102" s="57" t="str">
        <f>IF(AG102=1,AI102=AF102,"")</f>
        <v/>
      </c>
      <c r="AK102" s="57">
        <f>IF($AG$2=1, IF(AG102=1,1,0),0)</f>
        <v>0</v>
      </c>
      <c r="AM102" s="69" t="str">
        <f t="shared" si="38"/>
        <v/>
      </c>
      <c r="AR102" s="69" t="e">
        <f>IF(OR(AND($H$6="Both",OR(AND(AG102=0,OR(NOT(ISBLANK(E102)),NOT(ISBLANK(F102)),NOT(ISBLANK(G102)),NOT(ISBLANK(H102)))),AND(AG102=1,#REF!="TRUE",OR(AN102&lt;&gt;0,AO102&lt;&gt;0,AP102&lt;&gt;0,AQ102&lt;&gt;0)),AND(AG102=1,#REF!="FALSE",OR(NOT(ISBLANK(E102)),NOT(ISBLANK(F102)),NOT(ISBLANK(G102)),NOT(ISBLANK(H102)))))),AND($H$6="CHIP",OR(NOT(ISBLANK(E102)),NOT(ISBLANK(F102)),NOT(ISBLANK(G102)),NOT(ISBLANK(H102)))),V102=1),1,0)</f>
        <v>#REF!</v>
      </c>
      <c r="AS102" s="69" t="e">
        <f>IF(AND(OR(OR(#REF!=TRUE,#REF!=TRUE),AND($H$6="Both",OR(AND(AG102=1,#REF!="TRUE",AT102=1,OR(AN102="Yes",AN102="N/A",AN102="Met")),AND(#REF!="FALSE",OR(AND(E102="Yes",NOT(ISBLANK(F102))),AND(E102="N/A",NOT(ISBLANK(H102))),AND(E102="Met",NOT(ISBLANK(F102))))))),AND($H$6="CHIP",OR(AND(E102="Yes",NOT(ISBLANK(F102))),AND(E102="N/A",NOT(ISBLANK(H102))),AND(E102="Met",NOT(ISBLANK(F102)))))),V102=1),1,0)</f>
        <v>#REF!</v>
      </c>
      <c r="AT102" s="69">
        <f t="shared" si="37"/>
        <v>0</v>
      </c>
    </row>
    <row r="103" spans="1:46" ht="55.5" hidden="1" customHeight="1" x14ac:dyDescent="0.25">
      <c r="A103" s="294" t="s">
        <v>2248</v>
      </c>
      <c r="B103" s="295" t="s">
        <v>2249</v>
      </c>
      <c r="C103" s="295" t="str">
        <f t="shared" si="34"/>
        <v>The contract specifies that contracts between the MCP and subcontractors require that if the state, CMS, or the DHHS Inspector General determine that there is a reasonable possibility of fraud or similar risk, the state, CMS, or the DHHS Inspector General may inspect, evaluate, and audit the subcontractor at any time.   [If there is no additional information related to the CHIP contract, this information only needs to be entered in Section I.J.3.08.]</v>
      </c>
      <c r="D103" s="296">
        <v>3</v>
      </c>
      <c r="E103" s="295" t="s">
        <v>311</v>
      </c>
      <c r="F103" s="295" t="s">
        <v>319</v>
      </c>
      <c r="G103" s="295" t="s">
        <v>319</v>
      </c>
      <c r="H103" s="367" t="s">
        <v>319</v>
      </c>
      <c r="I103" s="92" t="s">
        <v>168</v>
      </c>
      <c r="J103" s="92"/>
      <c r="K103" s="92" t="s">
        <v>185</v>
      </c>
      <c r="L103" s="71" t="s">
        <v>190</v>
      </c>
      <c r="M103" s="71" t="s">
        <v>195</v>
      </c>
      <c r="N103" s="71" t="s">
        <v>345</v>
      </c>
      <c r="O103" s="71"/>
      <c r="P103" s="71" t="s">
        <v>380</v>
      </c>
      <c r="Q103" s="71" t="e">
        <f>IF(OR(AND($C$2="Base contract",$C$3="No, section requirements must be reviewed",#REF!= FALSE,#REF!=FALSE),AND($C$2="Contract amendment",$C$3="No, section requirements must be reviewed",#REF!=FALSE,#REF!=FALSE)),"MUNN")</f>
        <v>#REF!</v>
      </c>
      <c r="R103" s="71"/>
      <c r="S103" s="64">
        <v>43282</v>
      </c>
      <c r="T103" s="64"/>
      <c r="U103" s="64"/>
      <c r="V103" s="97" t="e">
        <f>IF(OR(AND(AG103=1,#REF!="TRUE",AT103=1),#REF!=TRUE,#REF!=TRUE),1,IF(AND(OR(AND(AG103=1,#REF!="FALSE"),AND(AG103&lt;&gt;1,#REF!="FALSE")),OR(AND(E103="Yes",F103&lt;&gt;""),AND(E103="N/A",H103&lt;&gt;""),AND(E103="Met",F103&lt;&gt;""),AND(E103="Not met",G103&lt;&gt;""),AND(E103="Unsure",G103&lt;&gt;""),AND(E103="No",G103&lt;&gt;""),AND(E103="No, submission is in draft",G103&lt;&gt;""))),1,0))</f>
        <v>#REF!</v>
      </c>
      <c r="W103" s="56" t="b">
        <f>IF(AND('Cover Sheet'!$B$19="Non-Risk",$R103=1),TRUE,FALSE)</f>
        <v>0</v>
      </c>
      <c r="X103" s="56"/>
      <c r="Y103" s="56"/>
      <c r="Z103" s="56"/>
      <c r="AA103" s="56"/>
      <c r="AB103" s="56"/>
      <c r="AC103" s="56"/>
      <c r="AD103" s="56"/>
      <c r="AE103" s="56"/>
      <c r="AF103" s="44" t="s">
        <v>2250</v>
      </c>
      <c r="AG103" s="98">
        <v>1</v>
      </c>
      <c r="AH103" s="75" t="str">
        <f>A27</f>
        <v>I.J.3.08</v>
      </c>
      <c r="AI103" s="44" t="str">
        <f>C27</f>
        <v xml:space="preserve">The contract specifies that contracts between the MCP and subcontractors require that if the state, CMS, or the OIG determine that there is a reasonable possibility of fraud or similar risk, the state, CMS, or the OIG may inspect, evaluate, and audit the subcontractor at any time. </v>
      </c>
      <c r="AJ103" s="57" t="b">
        <f t="shared" si="35"/>
        <v>0</v>
      </c>
      <c r="AK103" s="57">
        <f t="shared" si="36"/>
        <v>1</v>
      </c>
      <c r="AM103" s="69" t="str">
        <f t="shared" si="38"/>
        <v/>
      </c>
      <c r="AN103" s="69" t="e">
        <f>IF(E27 &lt;&gt;0, E27, IF(OR(#REF!=TRUE,#REF!= TRUE),"N/A", 0))</f>
        <v>#REF!</v>
      </c>
      <c r="AO103" s="69" t="e">
        <f>IF(F27 &lt;&gt;0, F27, IF(OR(#REF!=TRUE,#REF!= TRUE),"N/A", 0))</f>
        <v>#REF!</v>
      </c>
      <c r="AP103" s="69" t="e">
        <f>IF(G27 &lt;&gt;0, G27, IF(OR(#REF!=TRUE,#REF!= TRUE),"N/A", 0))</f>
        <v>#REF!</v>
      </c>
      <c r="AQ103" s="69" t="e">
        <f>IF(H27 &lt;&gt;0, H27, IF(OR(#REF!=TRUE,#REF!= TRUE),"N/A", 0))</f>
        <v>#REF!</v>
      </c>
      <c r="AR103" s="69" t="e">
        <f>IF(OR(AND($H$6="Both",OR(AND(AG103=0,OR(NOT(ISBLANK(E103)),NOT(ISBLANK(F103)),NOT(ISBLANK(G103)),NOT(ISBLANK(H103)))),AND(AG103=1,#REF!="TRUE",OR(AN103&lt;&gt;0,AO103&lt;&gt;0,AP103&lt;&gt;0,AQ103&lt;&gt;0)),AND(AG103=1,#REF!="FALSE",OR(NOT(ISBLANK(E103)),NOT(ISBLANK(F103)),NOT(ISBLANK(G103)),NOT(ISBLANK(H103)))))),AND($H$6="CHIP",OR(NOT(ISBLANK(E103)),NOT(ISBLANK(F103)),NOT(ISBLANK(G103)),NOT(ISBLANK(H103)))),V103=1),1,0)</f>
        <v>#REF!</v>
      </c>
      <c r="AS103" s="69" t="e">
        <f>IF(AND(OR(OR(#REF!=TRUE,#REF!=TRUE),AND($H$6="Both",OR(AND(AG103=1,#REF!="TRUE",AT103=1,OR(AN103="Yes",AN103="N/A",AN103="Met")),AND(#REF!="FALSE",OR(AND(E103="Yes",NOT(ISBLANK(F103))),AND(E103="N/A",NOT(ISBLANK(H103))),AND(E103="Met",NOT(ISBLANK(F103))))))),AND($H$6="CHIP",OR(AND(E103="Yes",NOT(ISBLANK(F103))),AND(E103="N/A",NOT(ISBLANK(H103))),AND(E103="Met",NOT(ISBLANK(F103)))))),V103=1),1,0)</f>
        <v>#REF!</v>
      </c>
      <c r="AT103" s="69" t="e">
        <f t="shared" si="37"/>
        <v>#REF!</v>
      </c>
    </row>
    <row r="104" spans="1:46" ht="57" hidden="1" customHeight="1" x14ac:dyDescent="0.25">
      <c r="A104" s="383" t="s">
        <v>2248</v>
      </c>
      <c r="B104" s="356" t="s">
        <v>2249</v>
      </c>
      <c r="C104" s="356" t="s">
        <v>2250</v>
      </c>
      <c r="D104" s="384">
        <v>3</v>
      </c>
      <c r="E104" s="339" t="s">
        <v>311</v>
      </c>
      <c r="F104" s="339" t="s">
        <v>319</v>
      </c>
      <c r="G104" s="339" t="s">
        <v>319</v>
      </c>
      <c r="H104" s="385" t="s">
        <v>319</v>
      </c>
      <c r="I104" s="92"/>
      <c r="J104" s="92"/>
      <c r="K104" s="92"/>
      <c r="L104" s="71"/>
      <c r="M104" s="71"/>
      <c r="N104" s="71"/>
      <c r="O104" s="71" t="s">
        <v>200</v>
      </c>
      <c r="P104" s="71" t="s">
        <v>380</v>
      </c>
      <c r="Q104" s="71" t="e">
        <f>IF(OR(AND($C$2="Base contract",$C$3="No, section requirements must be reviewed",#REF!= FALSE,#REF!=FALSE),AND($C$2="Contract amendment",$C$3="No, section requirements must be reviewed",#REF!=FALSE,#REF!=FALSE)),"MUNN")</f>
        <v>#REF!</v>
      </c>
      <c r="R104" s="71"/>
      <c r="S104" s="64">
        <v>44179</v>
      </c>
      <c r="T104" s="64"/>
      <c r="U104" s="64"/>
      <c r="V104" s="97" t="e">
        <f>IF(OR(AND(AG104=1,#REF!="TRUE",AT104=1),#REF!=TRUE,#REF!=TRUE),1,IF(AND(OR(AND(AG104=1,#REF!="FALSE"),AND(AG104&lt;&gt;1,#REF!="FALSE")),OR(AND(E104="Yes",F104&lt;&gt;""),AND(E104="N/A",H104&lt;&gt;""),AND(E104="Met",F104&lt;&gt;""),AND(E104="Not met",G104&lt;&gt;""),AND(E104="Unsure",G104&lt;&gt;""),AND(E104="No",G104&lt;&gt;""),AND(E104="No, submission is in draft",G104&lt;&gt;""))),1,0))</f>
        <v>#REF!</v>
      </c>
      <c r="W104" s="56" t="b">
        <f>IF(AND('Cover Sheet'!$B$19="Non-Risk",$R104=1),TRUE,FALSE)</f>
        <v>0</v>
      </c>
      <c r="X104" s="56"/>
      <c r="Y104" s="56"/>
      <c r="Z104" s="56"/>
      <c r="AA104" s="56"/>
      <c r="AB104" s="56"/>
      <c r="AC104" s="56"/>
      <c r="AD104" s="56"/>
      <c r="AE104" s="56"/>
      <c r="AF104" s="79"/>
      <c r="AG104" s="98">
        <v>0</v>
      </c>
      <c r="AH104" s="75"/>
      <c r="AI104" s="44"/>
      <c r="AJ104" s="57" t="str">
        <f>IF(AG104=1,AI104=AF104,"")</f>
        <v/>
      </c>
      <c r="AK104" s="57">
        <f>IF($AG$2=1, IF(AG104=1,1,0),0)</f>
        <v>0</v>
      </c>
      <c r="AM104" s="69" t="str">
        <f t="shared" si="38"/>
        <v/>
      </c>
      <c r="AR104" s="69" t="e">
        <f>IF(OR(AND($H$6="Both",OR(AND(AG104=0,OR(NOT(ISBLANK(E104)),NOT(ISBLANK(F104)),NOT(ISBLANK(G104)),NOT(ISBLANK(H104)))),AND(AG104=1,#REF!="TRUE",OR(AN104&lt;&gt;0,AO104&lt;&gt;0,AP104&lt;&gt;0,AQ104&lt;&gt;0)),AND(AG104=1,#REF!="FALSE",OR(NOT(ISBLANK(E104)),NOT(ISBLANK(F104)),NOT(ISBLANK(G104)),NOT(ISBLANK(H104)))))),AND($H$6="CHIP",OR(NOT(ISBLANK(E104)),NOT(ISBLANK(F104)),NOT(ISBLANK(G104)),NOT(ISBLANK(H104)))),V104=1),1,0)</f>
        <v>#REF!</v>
      </c>
      <c r="AS104" s="69" t="e">
        <f>IF(AND(OR(OR(#REF!=TRUE,#REF!=TRUE),AND($H$6="Both",OR(AND(AG104=1,#REF!="TRUE",AT104=1,OR(AN104="Yes",AN104="N/A",AN104="Met")),AND(#REF!="FALSE",OR(AND(E104="Yes",NOT(ISBLANK(F104))),AND(E104="N/A",NOT(ISBLANK(H104))),AND(E104="Met",NOT(ISBLANK(F104))))))),AND($H$6="CHIP",OR(AND(E104="Yes",NOT(ISBLANK(F104))),AND(E104="N/A",NOT(ISBLANK(H104))),AND(E104="Met",NOT(ISBLANK(F104)))))),V104=1),1,0)</f>
        <v>#REF!</v>
      </c>
      <c r="AT104" s="69">
        <f>IF(OR(AND(AN104="Yes",AO104&lt;&gt;0),AND(AN104="N/A",AQ104&lt;&gt;0),AND(AN104="Met",AO104&lt;&gt;0),AND(AN104="Not met",AP104&lt;&gt;0),AND(AN104="Unsure",AP104&lt;&gt;0),AND(AN104="No",AP104&lt;&gt;0),AND(AN104="No, submission is in draft",AP104&lt;&gt;0)),1,0)</f>
        <v>0</v>
      </c>
    </row>
    <row r="105" spans="1:46" ht="15.75" hidden="1" customHeight="1" x14ac:dyDescent="0.25">
      <c r="A105" s="386"/>
      <c r="B105" s="387"/>
      <c r="C105" s="372" t="s">
        <v>2251</v>
      </c>
      <c r="D105" s="388"/>
      <c r="E105" s="389"/>
      <c r="F105" s="389"/>
      <c r="G105" s="389"/>
      <c r="H105" s="390"/>
      <c r="I105" s="74"/>
      <c r="J105" s="74"/>
      <c r="K105" s="74"/>
      <c r="L105" s="87"/>
      <c r="M105" s="87"/>
      <c r="S105" s="116"/>
      <c r="T105" s="116"/>
      <c r="U105" s="116"/>
      <c r="V105" s="126"/>
      <c r="W105" s="68"/>
      <c r="X105" s="68"/>
      <c r="Y105" s="68"/>
      <c r="Z105" s="68"/>
      <c r="AA105" s="68"/>
      <c r="AB105" s="68"/>
      <c r="AC105" s="68"/>
      <c r="AD105" s="68"/>
      <c r="AE105" s="68"/>
      <c r="AF105" s="109"/>
      <c r="AG105" s="110"/>
      <c r="AI105" s="109"/>
    </row>
    <row r="106" spans="1:46" ht="134.25" hidden="1" customHeight="1" x14ac:dyDescent="0.25">
      <c r="A106" s="294" t="s">
        <v>2252</v>
      </c>
      <c r="B106" s="263" t="s">
        <v>2253</v>
      </c>
      <c r="C106" s="295" t="str">
        <f t="shared" si="34"/>
        <v>The contract provides that if the MCP fails to substantially provide medically necessary services to an enrollee that the MCP is required to provide under law or under its contract with the state, the state may impose a civil monetary penalty of up to $25,000 for each failure to provide services.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[If there is no additional information related to the CHIP contract, this information only needs to be entered in Section I.J.5.01 .]</v>
      </c>
      <c r="D106" s="296"/>
      <c r="E106" s="295" t="s">
        <v>311</v>
      </c>
      <c r="F106" s="295" t="s">
        <v>319</v>
      </c>
      <c r="G106" s="295" t="s">
        <v>319</v>
      </c>
      <c r="H106" s="367" t="s">
        <v>319</v>
      </c>
      <c r="I106" s="92" t="s">
        <v>168</v>
      </c>
      <c r="J106" s="92"/>
      <c r="K106" s="92"/>
      <c r="L106" s="71"/>
      <c r="M106" s="71"/>
      <c r="N106" s="71"/>
      <c r="O106" s="71"/>
      <c r="P106" s="71" t="s">
        <v>380</v>
      </c>
      <c r="Q106" s="71" t="e">
        <f>IF(OR(AND($C$2="Base contract",$C$3="No, section requirements must be reviewed",#REF!= FALSE,#REF!=FALSE),AND($C$2="Contract amendment",$C$3="No, section requirements must be reviewed",#REF!=FALSE,#REF!=FALSE)),"MUNN")</f>
        <v>#REF!</v>
      </c>
      <c r="R106" s="71"/>
      <c r="S106" s="64">
        <v>43282</v>
      </c>
      <c r="T106" s="64"/>
      <c r="U106" s="64"/>
      <c r="V106" s="97" t="e">
        <f>IF(OR(AND(AG106=1,#REF!="TRUE",AT106=1),#REF!=TRUE,#REF!=TRUE),1,IF(AND(OR(AND(AG106=1,#REF!="FALSE"),AND(AG106&lt;&gt;1,#REF!="FALSE")),OR(AND(E106="Yes",F106&lt;&gt;""),AND(E106="N/A",H106&lt;&gt;""),AND(E106="Met",F106&lt;&gt;""),AND(E106="Not met",G106&lt;&gt;""),AND(E106="Unsure",G106&lt;&gt;""),AND(E106="No",G106&lt;&gt;""),AND(E106="No, submission is in draft",G106&lt;&gt;""))),1,0))</f>
        <v>#REF!</v>
      </c>
      <c r="W106" s="56" t="b">
        <f>IF(AND('Cover Sheet'!$B$19="Non-Risk",$R106=1),TRUE,FALSE)</f>
        <v>0</v>
      </c>
      <c r="X106" s="56"/>
      <c r="Y106" s="56"/>
      <c r="Z106" s="56"/>
      <c r="AA106" s="56"/>
      <c r="AB106" s="56"/>
      <c r="AC106" s="56"/>
      <c r="AD106" s="56"/>
      <c r="AE106" s="56"/>
      <c r="AF106" s="44" t="s">
        <v>2254</v>
      </c>
      <c r="AG106" s="98">
        <v>1</v>
      </c>
      <c r="AH106" s="75" t="str">
        <f t="shared" ref="AH106:AH123" si="39">A32</f>
        <v xml:space="preserve">I.J.5.01 </v>
      </c>
      <c r="AI106" s="44" t="str">
        <f t="shared" ref="AI106:AI123" si="40">C32</f>
        <v xml:space="preserve">The contract provides that if the MCP fails to substantially provide medically necessary services to an enrollee that the MCP is required to provide under law or under its contract with the state, the state may impose a civil monetary penalty of up to $25,000 for each failure to provide services.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v>
      </c>
      <c r="AJ106" s="57" t="b">
        <f t="shared" si="35"/>
        <v>1</v>
      </c>
      <c r="AK106" s="57">
        <f t="shared" si="36"/>
        <v>1</v>
      </c>
      <c r="AM106" s="69" t="str">
        <f t="shared" ref="AM106:AM124" si="41">IF(AL106=1,1,"")</f>
        <v/>
      </c>
      <c r="AN106" s="69" t="e">
        <f>IF(E32 &lt;&gt;0, E32, IF(OR(#REF!=TRUE,#REF!= TRUE),"N/A", 0))</f>
        <v>#REF!</v>
      </c>
      <c r="AO106" s="69" t="e">
        <f>IF(F32 &lt;&gt;0, F32, IF(OR(#REF!=TRUE,#REF!= TRUE),"N/A", 0))</f>
        <v>#REF!</v>
      </c>
      <c r="AP106" s="69" t="e">
        <f>IF(G32 &lt;&gt;0, G32, IF(OR(#REF!=TRUE,#REF!= TRUE),"N/A", 0))</f>
        <v>#REF!</v>
      </c>
      <c r="AQ106" s="69" t="e">
        <f>IF(H32 &lt;&gt;0, H32, IF(OR(#REF!=TRUE,#REF!= TRUE),"N/A", 0))</f>
        <v>#REF!</v>
      </c>
      <c r="AR106" s="69" t="e">
        <f>IF(OR(AND($H$6="Both",OR(AND(AG106=0,OR(NOT(ISBLANK(E106)),NOT(ISBLANK(F106)),NOT(ISBLANK(G106)),NOT(ISBLANK(H106)))),AND(AG106=1,#REF!="TRUE",OR(AN106&lt;&gt;0,AO106&lt;&gt;0,AP106&lt;&gt;0,AQ106&lt;&gt;0)),AND(AG106=1,#REF!="FALSE",OR(NOT(ISBLANK(E106)),NOT(ISBLANK(F106)),NOT(ISBLANK(G106)),NOT(ISBLANK(H106)))))),AND($H$6="CHIP",OR(NOT(ISBLANK(E106)),NOT(ISBLANK(F106)),NOT(ISBLANK(G106)),NOT(ISBLANK(H106)))),V106=1),1,0)</f>
        <v>#REF!</v>
      </c>
      <c r="AS106" s="69" t="e">
        <f>IF(AND(OR(OR(#REF!=TRUE,#REF!=TRUE),AND($H$6="Both",OR(AND(AG106=1,#REF!="TRUE",AT106=1,OR(AN106="Yes",AN106="N/A",AN106="Met")),AND(#REF!="FALSE",OR(AND(E106="Yes",NOT(ISBLANK(F106))),AND(E106="N/A",NOT(ISBLANK(H106))),AND(E106="Met",NOT(ISBLANK(F106))))))),AND($H$6="CHIP",OR(AND(E106="Yes",NOT(ISBLANK(F106))),AND(E106="N/A",NOT(ISBLANK(H106))),AND(E106="Met",NOT(ISBLANK(F106)))))),V106=1),1,0)</f>
        <v>#REF!</v>
      </c>
      <c r="AT106" s="69" t="e">
        <f t="shared" si="37"/>
        <v>#REF!</v>
      </c>
    </row>
    <row r="107" spans="1:46" ht="131.25" hidden="1" customHeight="1" x14ac:dyDescent="0.25">
      <c r="A107" s="294" t="s">
        <v>2255</v>
      </c>
      <c r="B107" s="263" t="s">
        <v>2256</v>
      </c>
      <c r="C107" s="295" t="str">
        <f t="shared" si="34"/>
        <v>The contract provides that if the MCP imposes premiums or charges on enrollees that are in excess of those permitted in the Medicaid program, the state may impose a civil monetary of up to $25,000 or double the amount of the excess charges (whichever is greater).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[If there is no additional information related to the CHIP contract, this information only needs to be entered in Section I.J.5.02.]</v>
      </c>
      <c r="D107" s="296"/>
      <c r="E107" s="295" t="s">
        <v>311</v>
      </c>
      <c r="F107" s="295" t="s">
        <v>319</v>
      </c>
      <c r="G107" s="295" t="s">
        <v>319</v>
      </c>
      <c r="H107" s="367" t="s">
        <v>319</v>
      </c>
      <c r="I107" s="92" t="s">
        <v>168</v>
      </c>
      <c r="J107" s="92"/>
      <c r="K107" s="92"/>
      <c r="L107" s="71"/>
      <c r="M107" s="71"/>
      <c r="N107" s="71"/>
      <c r="O107" s="71"/>
      <c r="P107" s="71" t="s">
        <v>380</v>
      </c>
      <c r="Q107" s="71" t="e">
        <f>IF(OR(AND($C$2="Base contract",$C$3="No, section requirements must be reviewed",#REF!= FALSE,#REF!=FALSE),AND($C$2="Contract amendment",$C$3="No, section requirements must be reviewed",#REF!=FALSE,#REF!=FALSE)),"MUNN")</f>
        <v>#REF!</v>
      </c>
      <c r="R107" s="71"/>
      <c r="S107" s="64">
        <v>43282</v>
      </c>
      <c r="T107" s="64"/>
      <c r="U107" s="64"/>
      <c r="V107" s="97" t="e">
        <f>IF(OR(AND(AG107=1,#REF!="TRUE",AT107=1),#REF!=TRUE,#REF!=TRUE),1,IF(AND(OR(AND(AG107=1,#REF!="FALSE"),AND(AG107&lt;&gt;1,#REF!="FALSE")),OR(AND(E107="Yes",F107&lt;&gt;""),AND(E107="N/A",H107&lt;&gt;""),AND(E107="Met",F107&lt;&gt;""),AND(E107="Not met",G107&lt;&gt;""),AND(E107="Unsure",G107&lt;&gt;""),AND(E107="No",G107&lt;&gt;""),AND(E107="No, submission is in draft",G107&lt;&gt;""))),1,0))</f>
        <v>#REF!</v>
      </c>
      <c r="W107" s="56" t="b">
        <f>IF(AND('Cover Sheet'!$B$19="Non-Risk",$R107=1),TRUE,FALSE)</f>
        <v>0</v>
      </c>
      <c r="X107" s="56"/>
      <c r="Y107" s="56"/>
      <c r="Z107" s="56"/>
      <c r="AA107" s="56"/>
      <c r="AB107" s="56"/>
      <c r="AC107" s="56"/>
      <c r="AD107" s="56"/>
      <c r="AE107" s="56"/>
      <c r="AF107" s="44" t="s">
        <v>2257</v>
      </c>
      <c r="AG107" s="98">
        <v>1</v>
      </c>
      <c r="AH107" s="75" t="str">
        <f t="shared" si="39"/>
        <v>I.J.5.02</v>
      </c>
      <c r="AI107" s="44" t="str">
        <f t="shared" si="40"/>
        <v xml:space="preserve">The contract provides that if the MCP imposes premiums or charges on enrollees that are in excess of those permitted in the Medicaid program, the state may impose a civil monetary penalty of up to $25,000 or double the amount of the excess charges (whichever is greater).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v>
      </c>
      <c r="AJ107" s="57" t="b">
        <f t="shared" si="35"/>
        <v>0</v>
      </c>
      <c r="AK107" s="57">
        <f t="shared" si="36"/>
        <v>1</v>
      </c>
      <c r="AM107" s="69" t="str">
        <f t="shared" si="41"/>
        <v/>
      </c>
      <c r="AN107" s="69" t="e">
        <f>IF(E33 &lt;&gt;0, E33, IF(OR(#REF!=TRUE,#REF!= TRUE),"N/A", 0))</f>
        <v>#REF!</v>
      </c>
      <c r="AO107" s="69" t="e">
        <f>IF(F33 &lt;&gt;0, F33, IF(OR(#REF!=TRUE,#REF!= TRUE),"N/A", 0))</f>
        <v>#REF!</v>
      </c>
      <c r="AP107" s="69" t="e">
        <f>IF(G33 &lt;&gt;0, G33, IF(OR(#REF!=TRUE,#REF!= TRUE),"N/A", 0))</f>
        <v>#REF!</v>
      </c>
      <c r="AQ107" s="69" t="e">
        <f>IF(H33 &lt;&gt;0, H33, IF(OR(#REF!=TRUE,#REF!= TRUE),"N/A", 0))</f>
        <v>#REF!</v>
      </c>
      <c r="AR107" s="69" t="e">
        <f>IF(OR(AND($H$6="Both",OR(AND(AG107=0,OR(NOT(ISBLANK(E107)),NOT(ISBLANK(F107)),NOT(ISBLANK(G107)),NOT(ISBLANK(H107)))),AND(AG107=1,#REF!="TRUE",OR(AN107&lt;&gt;0,AO107&lt;&gt;0,AP107&lt;&gt;0,AQ107&lt;&gt;0)),AND(AG107=1,#REF!="FALSE",OR(NOT(ISBLANK(E107)),NOT(ISBLANK(F107)),NOT(ISBLANK(G107)),NOT(ISBLANK(H107)))))),AND($H$6="CHIP",OR(NOT(ISBLANK(E107)),NOT(ISBLANK(F107)),NOT(ISBLANK(G107)),NOT(ISBLANK(H107)))),V107=1),1,0)</f>
        <v>#REF!</v>
      </c>
      <c r="AS107" s="69" t="e">
        <f>IF(AND(OR(OR(#REF!=TRUE,#REF!=TRUE),AND($H$6="Both",OR(AND(AG107=1,#REF!="TRUE",AT107=1,OR(AN107="Yes",AN107="N/A",AN107="Met")),AND(#REF!="FALSE",OR(AND(E107="Yes",NOT(ISBLANK(F107))),AND(E107="N/A",NOT(ISBLANK(H107))),AND(E107="Met",NOT(ISBLANK(F107))))))),AND($H$6="CHIP",OR(AND(E107="Yes",NOT(ISBLANK(F107))),AND(E107="N/A",NOT(ISBLANK(H107))),AND(E107="Met",NOT(ISBLANK(F107)))))),V107=1),1,0)</f>
        <v>#REF!</v>
      </c>
      <c r="AT107" s="69" t="e">
        <f t="shared" si="37"/>
        <v>#REF!</v>
      </c>
    </row>
    <row r="108" spans="1:46" ht="178.5" hidden="1" customHeight="1" x14ac:dyDescent="0.25">
      <c r="A108" s="294" t="s">
        <v>2258</v>
      </c>
      <c r="B108" s="263" t="s">
        <v>2259</v>
      </c>
      <c r="C108" s="295" t="str">
        <f>IF($AG$2=1,IF(AG108=1, AF108&amp;"  [If there is no additional information related to the CHIP contract, this information only needs to be entered in Section "&amp;AH108&amp;".]",AF108),AF108)</f>
        <v>The contract provides that if the MCP discriminates among enrollees on the basis of their health status or need for health services, the state may impose a civil monetary penalty of up to $100,000 for each determination of discrimination. The state may impose a civil monetary penalty of up to $15,000 for each individual the MCP did not enroll because of a discriminatory practice, up to the $100,000 maximum.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[If there is no additional information related to the CHIP contract, this information only needs to be entered in Section I.J.5.03 .]</v>
      </c>
      <c r="D108" s="380">
        <v>6</v>
      </c>
      <c r="E108" s="295" t="s">
        <v>311</v>
      </c>
      <c r="F108" s="295" t="s">
        <v>319</v>
      </c>
      <c r="G108" s="295" t="s">
        <v>319</v>
      </c>
      <c r="H108" s="367" t="s">
        <v>319</v>
      </c>
      <c r="I108" s="92" t="s">
        <v>168</v>
      </c>
      <c r="J108" s="92"/>
      <c r="K108" s="92"/>
      <c r="L108" s="71"/>
      <c r="M108" s="71"/>
      <c r="N108" s="71"/>
      <c r="O108" s="71"/>
      <c r="P108" s="71" t="s">
        <v>380</v>
      </c>
      <c r="Q108" s="71" t="e">
        <f>IF(OR(AND($C$2="Base contract",$C$3="No, section requirements must be reviewed",#REF!= FALSE,#REF!=FALSE),AND($C$2="Contract amendment",$C$3="No, section requirements must be reviewed",#REF!=FALSE,#REF!=FALSE)),"MUNN")</f>
        <v>#REF!</v>
      </c>
      <c r="R108" s="71"/>
      <c r="S108" s="64">
        <v>43282</v>
      </c>
      <c r="T108" s="64"/>
      <c r="U108" s="64"/>
      <c r="V108" s="97" t="e">
        <f>IF(OR(AND(AG108=1,#REF!="TRUE",AT108=1),#REF!=TRUE,#REF!=TRUE),1,IF(AND(OR(AND(AG108=1,#REF!="FALSE"),AND(AG108&lt;&gt;1,#REF!="FALSE")),OR(AND(E108="Yes",F108&lt;&gt;""),AND(E108="N/A",H108&lt;&gt;""),AND(E108="Met",F108&lt;&gt;""),AND(E108="Not met",G108&lt;&gt;""),AND(E108="Unsure",G108&lt;&gt;""),AND(E108="No",G108&lt;&gt;""),AND(E108="No, submission is in draft",G108&lt;&gt;""))),1,0))</f>
        <v>#REF!</v>
      </c>
      <c r="W108" s="56" t="b">
        <f>IF(AND('Cover Sheet'!$B$19="Non-Risk",$R108=1),TRUE,FALSE)</f>
        <v>0</v>
      </c>
      <c r="X108" s="56"/>
      <c r="Y108" s="56"/>
      <c r="Z108" s="56"/>
      <c r="AA108" s="56"/>
      <c r="AB108" s="56"/>
      <c r="AC108" s="56"/>
      <c r="AD108" s="56"/>
      <c r="AE108" s="56"/>
      <c r="AF108" s="44" t="s">
        <v>2260</v>
      </c>
      <c r="AG108" s="98">
        <v>1</v>
      </c>
      <c r="AH108" s="75" t="str">
        <f t="shared" si="39"/>
        <v xml:space="preserve">I.J.5.03 </v>
      </c>
      <c r="AI108" s="44" t="str">
        <f t="shared" si="40"/>
        <v xml:space="preserve">The contract provides that if the MCP discriminates among enrollees on the basis of their health status or need for health services, the state may impose a civil monetary penalty of up to $100,000 for each determination of discrimination. The state may impose a civil monetary penalty of up to $15,000 for each individual the MCP did not enroll because of a discriminatory practice, up to the $100,000 maximum.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v>
      </c>
      <c r="AJ108" s="57" t="b">
        <f t="shared" si="35"/>
        <v>0</v>
      </c>
      <c r="AK108" s="57">
        <f t="shared" si="36"/>
        <v>1</v>
      </c>
      <c r="AM108" s="69" t="str">
        <f t="shared" si="41"/>
        <v/>
      </c>
      <c r="AN108" s="69" t="e">
        <f>IF(E34 &lt;&gt;0, E34, IF(OR(#REF!=TRUE,#REF!= TRUE),"N/A", 0))</f>
        <v>#REF!</v>
      </c>
      <c r="AO108" s="69" t="e">
        <f>IF(F34 &lt;&gt;0, F34, IF(OR(#REF!=TRUE,#REF!= TRUE),"N/A", 0))</f>
        <v>#REF!</v>
      </c>
      <c r="AP108" s="69" t="e">
        <f>IF(G34 &lt;&gt;0, G34, IF(OR(#REF!=TRUE,#REF!= TRUE),"N/A", 0))</f>
        <v>#REF!</v>
      </c>
      <c r="AQ108" s="69" t="e">
        <f>IF(H34 &lt;&gt;0, H34, IF(OR(#REF!=TRUE,#REF!= TRUE),"N/A", 0))</f>
        <v>#REF!</v>
      </c>
      <c r="AR108" s="69" t="e">
        <f>IF(OR(AND($H$6="Both",OR(AND(AG108=0,OR(NOT(ISBLANK(E108)),NOT(ISBLANK(F108)),NOT(ISBLANK(G108)),NOT(ISBLANK(H108)))),AND(AG108=1,#REF!="TRUE",OR(AN108&lt;&gt;0,AO108&lt;&gt;0,AP108&lt;&gt;0,AQ108&lt;&gt;0)),AND(AG108=1,#REF!="FALSE",OR(NOT(ISBLANK(E108)),NOT(ISBLANK(F108)),NOT(ISBLANK(G108)),NOT(ISBLANK(H108)))))),AND($H$6="CHIP",OR(NOT(ISBLANK(E108)),NOT(ISBLANK(F108)),NOT(ISBLANK(G108)),NOT(ISBLANK(H108)))),V108=1),1,0)</f>
        <v>#REF!</v>
      </c>
      <c r="AS108" s="69" t="e">
        <f>IF(AND(OR(OR(#REF!=TRUE,#REF!=TRUE),AND($H$6="Both",OR(AND(AG108=1,#REF!="TRUE",AT108=1,OR(AN108="Yes",AN108="N/A",AN108="Met")),AND(#REF!="FALSE",OR(AND(E108="Yes",NOT(ISBLANK(F108))),AND(E108="N/A",NOT(ISBLANK(H108))),AND(E108="Met",NOT(ISBLANK(F108))))))),AND($H$6="CHIP",OR(AND(E108="Yes",NOT(ISBLANK(F108))),AND(E108="N/A",NOT(ISBLANK(H108))),AND(E108="Met",NOT(ISBLANK(F108)))))),V108=1),1,0)</f>
        <v>#REF!</v>
      </c>
      <c r="AT108" s="69" t="e">
        <f t="shared" si="37"/>
        <v>#REF!</v>
      </c>
    </row>
    <row r="109" spans="1:46" ht="153" hidden="1" customHeight="1" x14ac:dyDescent="0.25">
      <c r="A109" s="294" t="s">
        <v>2261</v>
      </c>
      <c r="B109" s="263" t="s">
        <v>2262</v>
      </c>
      <c r="C109" s="295" t="str">
        <f t="shared" si="34"/>
        <v>The contract provides that if the MCP misrepresents or falsifies information that it furnishes to CMS or to the state, the state may impose a civil monetary penalty of up to $100,000 for each instance of misrepresentation.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[If there is no additional information related to the CHIP contract, this information only needs to be entered in Section I.J.5.04 .]</v>
      </c>
      <c r="D109" s="296"/>
      <c r="E109" s="295" t="s">
        <v>311</v>
      </c>
      <c r="F109" s="295" t="s">
        <v>319</v>
      </c>
      <c r="G109" s="295" t="s">
        <v>319</v>
      </c>
      <c r="H109" s="367" t="s">
        <v>319</v>
      </c>
      <c r="I109" s="92" t="s">
        <v>168</v>
      </c>
      <c r="J109" s="92"/>
      <c r="K109" s="92"/>
      <c r="L109" s="71"/>
      <c r="M109" s="71"/>
      <c r="N109" s="71"/>
      <c r="O109" s="71"/>
      <c r="P109" s="71" t="s">
        <v>380</v>
      </c>
      <c r="Q109" s="71" t="e">
        <f>IF(OR(AND($C$2="Base contract",$C$3="No, section requirements must be reviewed",#REF!= FALSE,#REF!=FALSE),AND($C$2="Contract amendment",$C$3="No, section requirements must be reviewed",#REF!=FALSE,#REF!=FALSE)),"MUNN")</f>
        <v>#REF!</v>
      </c>
      <c r="R109" s="71"/>
      <c r="S109" s="64">
        <v>43282</v>
      </c>
      <c r="T109" s="64"/>
      <c r="U109" s="64"/>
      <c r="V109" s="97" t="e">
        <f>IF(OR(AND(AG109=1,#REF!="TRUE",AT109=1),#REF!=TRUE,#REF!=TRUE),1,IF(AND(OR(AND(AG109=1,#REF!="FALSE"),AND(AG109&lt;&gt;1,#REF!="FALSE")),OR(AND(E109="Yes",F109&lt;&gt;""),AND(E109="N/A",H109&lt;&gt;""),AND(E109="Met",F109&lt;&gt;""),AND(E109="Not met",G109&lt;&gt;""),AND(E109="Unsure",G109&lt;&gt;""),AND(E109="No",G109&lt;&gt;""),AND(E109="No, submission is in draft",G109&lt;&gt;""))),1,0))</f>
        <v>#REF!</v>
      </c>
      <c r="W109" s="56" t="b">
        <f>IF(AND('Cover Sheet'!$B$19="Non-Risk",$R109=1),TRUE,FALSE)</f>
        <v>0</v>
      </c>
      <c r="X109" s="56"/>
      <c r="Y109" s="56"/>
      <c r="Z109" s="56"/>
      <c r="AA109" s="56"/>
      <c r="AB109" s="56"/>
      <c r="AC109" s="56"/>
      <c r="AD109" s="56"/>
      <c r="AE109" s="56"/>
      <c r="AF109" s="44" t="s">
        <v>2114</v>
      </c>
      <c r="AG109" s="98">
        <v>1</v>
      </c>
      <c r="AH109" s="75" t="str">
        <f t="shared" si="39"/>
        <v xml:space="preserve">I.J.5.04 </v>
      </c>
      <c r="AI109" s="44" t="str">
        <f t="shared" si="40"/>
        <v xml:space="preserve">The contract provides that if the MCP misrepresents or falsifies information that it furnishes to CMS or to the state, the state may impose a civil monetary penalty of up to $100,000 for each instance of misrepresentation.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v>
      </c>
      <c r="AJ109" s="57" t="b">
        <f t="shared" si="35"/>
        <v>1</v>
      </c>
      <c r="AK109" s="57">
        <f t="shared" si="36"/>
        <v>1</v>
      </c>
      <c r="AM109" s="69" t="str">
        <f t="shared" si="41"/>
        <v/>
      </c>
      <c r="AN109" s="69" t="e">
        <f>IF(E35 &lt;&gt;0, E35, IF(OR(#REF!=TRUE,#REF!= TRUE),"N/A", 0))</f>
        <v>#REF!</v>
      </c>
      <c r="AO109" s="69" t="e">
        <f>IF(F35 &lt;&gt;0, F35, IF(OR(#REF!=TRUE,#REF!= TRUE),"N/A", 0))</f>
        <v>#REF!</v>
      </c>
      <c r="AP109" s="69" t="e">
        <f>IF(G35 &lt;&gt;0, G35, IF(OR(#REF!=TRUE,#REF!= TRUE),"N/A", 0))</f>
        <v>#REF!</v>
      </c>
      <c r="AQ109" s="69" t="e">
        <f>IF(H35 &lt;&gt;0, H35, IF(OR(#REF!=TRUE,#REF!= TRUE),"N/A", 0))</f>
        <v>#REF!</v>
      </c>
      <c r="AR109" s="69" t="e">
        <f>IF(OR(AND($H$6="Both",OR(AND(AG109=0,OR(NOT(ISBLANK(E109)),NOT(ISBLANK(F109)),NOT(ISBLANK(G109)),NOT(ISBLANK(H109)))),AND(AG109=1,#REF!="TRUE",OR(AN109&lt;&gt;0,AO109&lt;&gt;0,AP109&lt;&gt;0,AQ109&lt;&gt;0)),AND(AG109=1,#REF!="FALSE",OR(NOT(ISBLANK(E109)),NOT(ISBLANK(F109)),NOT(ISBLANK(G109)),NOT(ISBLANK(H109)))))),AND($H$6="CHIP",OR(NOT(ISBLANK(E109)),NOT(ISBLANK(F109)),NOT(ISBLANK(G109)),NOT(ISBLANK(H109)))),V109=1),1,0)</f>
        <v>#REF!</v>
      </c>
      <c r="AS109" s="69" t="e">
        <f>IF(AND(OR(OR(#REF!=TRUE,#REF!=TRUE),AND($H$6="Both",OR(AND(AG109=1,#REF!="TRUE",AT109=1,OR(AN109="Yes",AN109="N/A",AN109="Met")),AND(#REF!="FALSE",OR(AND(E109="Yes",NOT(ISBLANK(F109))),AND(E109="N/A",NOT(ISBLANK(H109))),AND(E109="Met",NOT(ISBLANK(F109))))))),AND($H$6="CHIP",OR(AND(E109="Yes",NOT(ISBLANK(F109))),AND(E109="N/A",NOT(ISBLANK(H109))),AND(E109="Met",NOT(ISBLANK(F109)))))),V109=1),1,0)</f>
        <v>#REF!</v>
      </c>
      <c r="AT109" s="69" t="e">
        <f t="shared" si="37"/>
        <v>#REF!</v>
      </c>
    </row>
    <row r="110" spans="1:46" ht="132" hidden="1" customHeight="1" x14ac:dyDescent="0.25">
      <c r="A110" s="294" t="s">
        <v>2263</v>
      </c>
      <c r="B110" s="263" t="s">
        <v>2264</v>
      </c>
      <c r="C110" s="295" t="str">
        <f t="shared" si="34"/>
        <v>The contract provides that if the MCP misrepresents or falsifies information that it furnishes to an enrollee, potential enrollee, or health care provider, the state may impose a civil monetary penalty of up to $25,000 for each instance of misrepresentation.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[If there is no additional information related to the CHIP contract, this information only needs to be entered in Section I.J.5.05.]</v>
      </c>
      <c r="D110" s="296"/>
      <c r="E110" s="295" t="s">
        <v>311</v>
      </c>
      <c r="F110" s="295" t="s">
        <v>319</v>
      </c>
      <c r="G110" s="295" t="s">
        <v>319</v>
      </c>
      <c r="H110" s="367" t="s">
        <v>319</v>
      </c>
      <c r="I110" s="92" t="s">
        <v>168</v>
      </c>
      <c r="J110" s="92"/>
      <c r="K110" s="92"/>
      <c r="L110" s="71"/>
      <c r="M110" s="71"/>
      <c r="N110" s="71"/>
      <c r="O110" s="71"/>
      <c r="P110" s="71" t="s">
        <v>380</v>
      </c>
      <c r="Q110" s="71" t="e">
        <f>IF(OR(AND($C$2="Base contract",$C$3="No, section requirements must be reviewed",#REF!= FALSE,#REF!=FALSE),AND($C$2="Contract amendment",$C$3="No, section requirements must be reviewed",#REF!=FALSE,#REF!=FALSE)),"MUNN")</f>
        <v>#REF!</v>
      </c>
      <c r="R110" s="71"/>
      <c r="S110" s="64">
        <v>43282</v>
      </c>
      <c r="T110" s="64"/>
      <c r="U110" s="64"/>
      <c r="V110" s="97" t="e">
        <f>IF(OR(AND(AG110=1,#REF!="TRUE",AT110=1),#REF!=TRUE,#REF!=TRUE),1,IF(AND(OR(AND(AG110=1,#REF!="FALSE"),AND(AG110&lt;&gt;1,#REF!="FALSE")),OR(AND(E110="Yes",F110&lt;&gt;""),AND(E110="N/A",H110&lt;&gt;""),AND(E110="Met",F110&lt;&gt;""),AND(E110="Not met",G110&lt;&gt;""),AND(E110="Unsure",G110&lt;&gt;""),AND(E110="No",G110&lt;&gt;""),AND(E110="No, submission is in draft",G110&lt;&gt;""))),1,0))</f>
        <v>#REF!</v>
      </c>
      <c r="W110" s="56" t="b">
        <f>IF(AND('Cover Sheet'!$B$19="Non-Risk",$R110=1),TRUE,FALSE)</f>
        <v>0</v>
      </c>
      <c r="X110" s="56"/>
      <c r="Y110" s="56"/>
      <c r="Z110" s="56"/>
      <c r="AA110" s="56"/>
      <c r="AB110" s="56"/>
      <c r="AC110" s="56"/>
      <c r="AD110" s="56"/>
      <c r="AE110" s="56"/>
      <c r="AF110" s="44" t="s">
        <v>2117</v>
      </c>
      <c r="AG110" s="98">
        <v>1</v>
      </c>
      <c r="AH110" s="75" t="str">
        <f t="shared" si="39"/>
        <v>I.J.5.05</v>
      </c>
      <c r="AI110" s="44" t="str">
        <f t="shared" si="40"/>
        <v xml:space="preserve">The contract provides that if the MCP misrepresents or falsifies information that it furnishes to an enrollee, potential enrollee, or health care provider, the state may impose a civil monetary penalty of up to $25,000 for each instance of misrepresentation.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v>
      </c>
      <c r="AJ110" s="57" t="b">
        <f t="shared" si="35"/>
        <v>1</v>
      </c>
      <c r="AK110" s="57">
        <f t="shared" si="36"/>
        <v>1</v>
      </c>
      <c r="AM110" s="69" t="str">
        <f t="shared" si="41"/>
        <v/>
      </c>
      <c r="AN110" s="69" t="e">
        <f>IF(E36 &lt;&gt;0, E36, IF(OR(#REF!=TRUE,#REF!= TRUE),"N/A", 0))</f>
        <v>#REF!</v>
      </c>
      <c r="AO110" s="69" t="e">
        <f>IF(F36 &lt;&gt;0, F36, IF(OR(#REF!=TRUE,#REF!= TRUE),"N/A", 0))</f>
        <v>#REF!</v>
      </c>
      <c r="AP110" s="69" t="e">
        <f>IF(G36 &lt;&gt;0, G36, IF(OR(#REF!=TRUE,#REF!= TRUE),"N/A", 0))</f>
        <v>#REF!</v>
      </c>
      <c r="AQ110" s="69" t="e">
        <f>IF(H36 &lt;&gt;0, H36, IF(OR(#REF!=TRUE,#REF!= TRUE),"N/A", 0))</f>
        <v>#REF!</v>
      </c>
      <c r="AR110" s="69" t="e">
        <f>IF(OR(AND($H$6="Both",OR(AND(AG110=0,OR(NOT(ISBLANK(E110)),NOT(ISBLANK(F110)),NOT(ISBLANK(G110)),NOT(ISBLANK(H110)))),AND(AG110=1,#REF!="TRUE",OR(AN110&lt;&gt;0,AO110&lt;&gt;0,AP110&lt;&gt;0,AQ110&lt;&gt;0)),AND(AG110=1,#REF!="FALSE",OR(NOT(ISBLANK(E110)),NOT(ISBLANK(F110)),NOT(ISBLANK(G110)),NOT(ISBLANK(H110)))))),AND($H$6="CHIP",OR(NOT(ISBLANK(E110)),NOT(ISBLANK(F110)),NOT(ISBLANK(G110)),NOT(ISBLANK(H110)))),V110=1),1,0)</f>
        <v>#REF!</v>
      </c>
      <c r="AS110" s="69" t="e">
        <f>IF(AND(OR(OR(#REF!=TRUE,#REF!=TRUE),AND($H$6="Both",OR(AND(AG110=1,#REF!="TRUE",AT110=1,OR(AN110="Yes",AN110="N/A",AN110="Met")),AND(#REF!="FALSE",OR(AND(E110="Yes",NOT(ISBLANK(F110))),AND(E110="N/A",NOT(ISBLANK(H110))),AND(E110="Met",NOT(ISBLANK(F110))))))),AND($H$6="CHIP",OR(AND(E110="Yes",NOT(ISBLANK(F110))),AND(E110="N/A",NOT(ISBLANK(H110))),AND(E110="Met",NOT(ISBLANK(F110)))))),V110=1),1,0)</f>
        <v>#REF!</v>
      </c>
      <c r="AT110" s="69" t="e">
        <f t="shared" si="37"/>
        <v>#REF!</v>
      </c>
    </row>
    <row r="111" spans="1:46" ht="153" hidden="1" customHeight="1" x14ac:dyDescent="0.25">
      <c r="A111" s="294" t="s">
        <v>2265</v>
      </c>
      <c r="B111" s="263" t="s">
        <v>2266</v>
      </c>
      <c r="C111" s="295" t="str">
        <f t="shared" si="34"/>
        <v>The contract provides that if the MCP fails to comply with the Medicare PIP requirements, the state may impose a civil monetary penalty of up to $25,000 for each failure to comply.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[If there is no additional information related to the CHIP contract, this information only needs to be entered in Section I.J.5.06.]</v>
      </c>
      <c r="D111" s="380">
        <v>7</v>
      </c>
      <c r="E111" s="295" t="s">
        <v>311</v>
      </c>
      <c r="F111" s="295" t="s">
        <v>319</v>
      </c>
      <c r="G111" s="295" t="s">
        <v>319</v>
      </c>
      <c r="H111" s="367" t="s">
        <v>319</v>
      </c>
      <c r="I111" s="92" t="s">
        <v>168</v>
      </c>
      <c r="J111" s="92"/>
      <c r="K111" s="92"/>
      <c r="L111" s="71"/>
      <c r="M111" s="71"/>
      <c r="N111" s="71"/>
      <c r="O111" s="71"/>
      <c r="P111" s="71" t="s">
        <v>380</v>
      </c>
      <c r="Q111" s="71" t="e">
        <f>IF(OR(AND($C$2="Base contract",$C$3="No, section requirements must be reviewed",#REF!= FALSE,#REF!=FALSE),AND($C$2="Contract amendment",$C$3="No, section requirements must be reviewed",#REF!=FALSE,#REF!=FALSE)),"MUNN")</f>
        <v>#REF!</v>
      </c>
      <c r="R111" s="71"/>
      <c r="S111" s="64">
        <v>43282</v>
      </c>
      <c r="T111" s="64"/>
      <c r="U111" s="64"/>
      <c r="V111" s="97" t="e">
        <f>IF(OR(AND(AG111=1,#REF!="TRUE",AT111=1),#REF!=TRUE,#REF!=TRUE),1,IF(AND(OR(AND(AG111=1,#REF!="FALSE"),AND(AG111&lt;&gt;1,#REF!="FALSE")),OR(AND(E111="Yes",F111&lt;&gt;""),AND(E111="N/A",H111&lt;&gt;""),AND(E111="Met",F111&lt;&gt;""),AND(E111="Not met",G111&lt;&gt;""),AND(E111="Unsure",G111&lt;&gt;""),AND(E111="No",G111&lt;&gt;""),AND(E111="No, submission is in draft",G111&lt;&gt;""))),1,0))</f>
        <v>#REF!</v>
      </c>
      <c r="W111" s="56" t="b">
        <f>IF(AND('Cover Sheet'!$B$19="Non-Risk",$R111=1),TRUE,FALSE)</f>
        <v>0</v>
      </c>
      <c r="X111" s="56"/>
      <c r="Y111" s="56"/>
      <c r="Z111" s="56"/>
      <c r="AA111" s="56"/>
      <c r="AB111" s="56"/>
      <c r="AC111" s="56"/>
      <c r="AD111" s="56"/>
      <c r="AE111" s="56"/>
      <c r="AF111" s="44" t="s">
        <v>2267</v>
      </c>
      <c r="AG111" s="98">
        <v>1</v>
      </c>
      <c r="AH111" s="75" t="str">
        <f t="shared" si="39"/>
        <v>I.J.5.06</v>
      </c>
      <c r="AI111" s="44" t="str">
        <f t="shared" si="40"/>
        <v xml:space="preserve">The contract provides that if the MCP fails to comply with the Medicare Physician Incentive Plan requirements, the state may impose a civil monetary penalty of up to $25,000 for each failure to comply. The state may also:
• Appoint temporary management to the MCP.
• Grant enrollees the right to disenroll without cause.
• Suspend all new enrollments to the MCP after the date the Secretary or the state notifies the MCP of a determination of a violation of any requirement under Sections 1903(m) or 1932 of the Act.
• Suspend payments for new enrollments to the MCP until CMS or the state is satisfied that the reason for imposition of the sanction no longer exists and is not likely to recur.
</v>
      </c>
      <c r="AJ111" s="57" t="b">
        <f t="shared" si="35"/>
        <v>0</v>
      </c>
      <c r="AK111" s="57">
        <f t="shared" si="36"/>
        <v>1</v>
      </c>
      <c r="AM111" s="69" t="str">
        <f t="shared" si="41"/>
        <v/>
      </c>
      <c r="AN111" s="69" t="e">
        <f>IF(E37 &lt;&gt;0, E37, IF(OR(#REF!=TRUE,#REF!= TRUE),"N/A", 0))</f>
        <v>#REF!</v>
      </c>
      <c r="AO111" s="69" t="e">
        <f>IF(F37 &lt;&gt;0, F37, IF(OR(#REF!=TRUE,#REF!= TRUE),"N/A", 0))</f>
        <v>#REF!</v>
      </c>
      <c r="AP111" s="69" t="e">
        <f>IF(G37 &lt;&gt;0, G37, IF(OR(#REF!=TRUE,#REF!= TRUE),"N/A", 0))</f>
        <v>#REF!</v>
      </c>
      <c r="AQ111" s="69" t="e">
        <f>IF(H37 &lt;&gt;0, H37, IF(OR(#REF!=TRUE,#REF!= TRUE),"N/A", 0))</f>
        <v>#REF!</v>
      </c>
      <c r="AR111" s="69" t="e">
        <f>IF(OR(AND($H$6="Both",OR(AND(AG111=0,OR(NOT(ISBLANK(E111)),NOT(ISBLANK(F111)),NOT(ISBLANK(G111)),NOT(ISBLANK(H111)))),AND(AG111=1,#REF!="TRUE",OR(AN111&lt;&gt;0,AO111&lt;&gt;0,AP111&lt;&gt;0,AQ111&lt;&gt;0)),AND(AG111=1,#REF!="FALSE",OR(NOT(ISBLANK(E111)),NOT(ISBLANK(F111)),NOT(ISBLANK(G111)),NOT(ISBLANK(H111)))))),AND($H$6="CHIP",OR(NOT(ISBLANK(E111)),NOT(ISBLANK(F111)),NOT(ISBLANK(G111)),NOT(ISBLANK(H111)))),V111=1),1,0)</f>
        <v>#REF!</v>
      </c>
      <c r="AS111" s="69" t="e">
        <f>IF(AND(OR(OR(#REF!=TRUE,#REF!=TRUE),AND($H$6="Both",OR(AND(AG111=1,#REF!="TRUE",AT111=1,OR(AN111="Yes",AN111="N/A",AN111="Met")),AND(#REF!="FALSE",OR(AND(E111="Yes",NOT(ISBLANK(F111))),AND(E111="N/A",NOT(ISBLANK(H111))),AND(E111="Met",NOT(ISBLANK(F111))))))),AND($H$6="CHIP",OR(AND(E111="Yes",NOT(ISBLANK(F111))),AND(E111="N/A",NOT(ISBLANK(H111))),AND(E111="Met",NOT(ISBLANK(F111)))))),V111=1),1,0)</f>
        <v>#REF!</v>
      </c>
      <c r="AT111" s="69" t="e">
        <f t="shared" si="37"/>
        <v>#REF!</v>
      </c>
    </row>
    <row r="112" spans="1:46" ht="89.25" hidden="1" customHeight="1" x14ac:dyDescent="0.25">
      <c r="A112" s="294" t="s">
        <v>2268</v>
      </c>
      <c r="B112" s="263" t="s">
        <v>2269</v>
      </c>
      <c r="C112" s="295" t="str">
        <f t="shared" si="34"/>
        <v>The contract provides that if the MCP distributes marketing materials that have not been approved by the state or that contain false or misleading information, either directly or indirectly through any agent or independent contractor, the state may impose a civil monetary penalty of up to $25,000 for each distribution.   [If there is no additional information related to the CHIP contract, this information only needs to be entered in Section I.J.5.07 .]</v>
      </c>
      <c r="D112" s="296"/>
      <c r="E112" s="295" t="s">
        <v>311</v>
      </c>
      <c r="F112" s="295" t="s">
        <v>319</v>
      </c>
      <c r="G112" s="295" t="s">
        <v>319</v>
      </c>
      <c r="H112" s="367" t="s">
        <v>319</v>
      </c>
      <c r="I112" s="92" t="s">
        <v>168</v>
      </c>
      <c r="J112" s="92"/>
      <c r="K112" s="92"/>
      <c r="L112" s="71"/>
      <c r="M112" s="71"/>
      <c r="N112" s="71"/>
      <c r="O112" s="71"/>
      <c r="P112" s="71" t="s">
        <v>380</v>
      </c>
      <c r="Q112" s="71" t="e">
        <f>IF(OR(AND($C$2="Base contract",$C$3="No, section requirements must be reviewed",#REF!= FALSE,#REF!=FALSE),AND($C$2="Contract amendment",$C$3="No, section requirements must be reviewed",#REF!=FALSE,#REF!=FALSE)),"MUNN")</f>
        <v>#REF!</v>
      </c>
      <c r="R112" s="71"/>
      <c r="S112" s="64">
        <v>43282</v>
      </c>
      <c r="T112" s="64"/>
      <c r="U112" s="64"/>
      <c r="V112" s="97" t="e">
        <f>IF(OR(AND(AG112=1,#REF!="TRUE",AT112=1),#REF!=TRUE,#REF!=TRUE),1,IF(AND(OR(AND(AG112=1,#REF!="FALSE"),AND(AG112&lt;&gt;1,#REF!="FALSE")),OR(AND(E112="Yes",F112&lt;&gt;""),AND(E112="N/A",H112&lt;&gt;""),AND(E112="Met",F112&lt;&gt;""),AND(E112="Not met",G112&lt;&gt;""),AND(E112="Unsure",G112&lt;&gt;""),AND(E112="No",G112&lt;&gt;""),AND(E112="No, submission is in draft",G112&lt;&gt;""))),1,0))</f>
        <v>#REF!</v>
      </c>
      <c r="W112" s="56" t="b">
        <f>IF(AND('Cover Sheet'!$B$19="Non-Risk",$R112=1),TRUE,FALSE)</f>
        <v>0</v>
      </c>
      <c r="X112" s="56"/>
      <c r="Y112" s="56"/>
      <c r="Z112" s="56"/>
      <c r="AA112" s="56"/>
      <c r="AB112" s="56"/>
      <c r="AC112" s="56"/>
      <c r="AD112" s="56"/>
      <c r="AE112" s="56"/>
      <c r="AF112" s="44" t="s">
        <v>2124</v>
      </c>
      <c r="AG112" s="98">
        <v>1</v>
      </c>
      <c r="AH112" s="75" t="str">
        <f t="shared" si="39"/>
        <v xml:space="preserve">I.J.5.07 </v>
      </c>
      <c r="AI112" s="44" t="str">
        <f t="shared" si="40"/>
        <v xml:space="preserve">The contract provides that if the MCP distributes marketing materials that have not been approved by the state or that contain false or misleading information, either directly or indirectly through any agent or independent contractor, the state may impose a civil monetary penalty of up to $25,000 for each distribution. </v>
      </c>
      <c r="AJ112" s="57" t="b">
        <f t="shared" si="35"/>
        <v>1</v>
      </c>
      <c r="AK112" s="57">
        <f t="shared" si="36"/>
        <v>1</v>
      </c>
      <c r="AM112" s="69" t="str">
        <f t="shared" si="41"/>
        <v/>
      </c>
      <c r="AN112" s="69" t="e">
        <f>IF(E38 &lt;&gt;0, E38, IF(OR(#REF!=TRUE,#REF!= TRUE),"N/A", 0))</f>
        <v>#REF!</v>
      </c>
      <c r="AO112" s="69" t="e">
        <f>IF(F38 &lt;&gt;0, F38, IF(OR(#REF!=TRUE,#REF!= TRUE),"N/A", 0))</f>
        <v>#REF!</v>
      </c>
      <c r="AP112" s="69" t="e">
        <f>IF(G38 &lt;&gt;0, G38, IF(OR(#REF!=TRUE,#REF!= TRUE),"N/A", 0))</f>
        <v>#REF!</v>
      </c>
      <c r="AQ112" s="69" t="e">
        <f>IF(H38 &lt;&gt;0, H38, IF(OR(#REF!=TRUE,#REF!= TRUE),"N/A", 0))</f>
        <v>#REF!</v>
      </c>
      <c r="AR112" s="69" t="e">
        <f>IF(OR(AND($H$6="Both",OR(AND(AG112=0,OR(NOT(ISBLANK(E112)),NOT(ISBLANK(F112)),NOT(ISBLANK(G112)),NOT(ISBLANK(H112)))),AND(AG112=1,#REF!="TRUE",OR(AN112&lt;&gt;0,AO112&lt;&gt;0,AP112&lt;&gt;0,AQ112&lt;&gt;0)),AND(AG112=1,#REF!="FALSE",OR(NOT(ISBLANK(E112)),NOT(ISBLANK(F112)),NOT(ISBLANK(G112)),NOT(ISBLANK(H112)))))),AND($H$6="CHIP",OR(NOT(ISBLANK(E112)),NOT(ISBLANK(F112)),NOT(ISBLANK(G112)),NOT(ISBLANK(H112)))),V112=1),1,0)</f>
        <v>#REF!</v>
      </c>
      <c r="AS112" s="69" t="e">
        <f>IF(AND(OR(OR(#REF!=TRUE,#REF!=TRUE),AND($H$6="Both",OR(AND(AG112=1,#REF!="TRUE",AT112=1,OR(AN112="Yes",AN112="N/A",AN112="Met")),AND(#REF!="FALSE",OR(AND(E112="Yes",NOT(ISBLANK(F112))),AND(E112="N/A",NOT(ISBLANK(H112))),AND(E112="Met",NOT(ISBLANK(F112))))))),AND($H$6="CHIP",OR(AND(E112="Yes",NOT(ISBLANK(F112))),AND(E112="N/A",NOT(ISBLANK(H112))),AND(E112="Met",NOT(ISBLANK(F112)))))),V112=1),1,0)</f>
        <v>#REF!</v>
      </c>
      <c r="AT112" s="69" t="e">
        <f t="shared" si="37"/>
        <v>#REF!</v>
      </c>
    </row>
    <row r="113" spans="1:46" ht="104.25" hidden="1" customHeight="1" x14ac:dyDescent="0.25">
      <c r="A113" s="294" t="s">
        <v>2270</v>
      </c>
      <c r="B113" s="263" t="s">
        <v>2271</v>
      </c>
      <c r="C113" s="295" t="str">
        <f t="shared" si="34"/>
        <v>The contract provides that if the MCP violates any other applicable requirements in sections 1903(m) or 1932 of the Act or any implementing regulations, the state may impose only the following sanctions:
• Grant enrollees the right to disenroll without cause.
• Suspend all new enrollments to the MCP after the date the Secretary or the state notifies the MCP of a determination of a violation of any requirement under sections 1903(m) or 1932 of the Act.
• Suspend payments for all new enrollments to the MCP until CMS or the state is satisfied that the reason for imposition of the sanction no longer exists and is not likely to recur. 
  [If there is no additional information related to the CHIP contract, this information only needs to be entered in Section I.J.5.08–09 .]</v>
      </c>
      <c r="D113" s="296"/>
      <c r="E113" s="295" t="s">
        <v>311</v>
      </c>
      <c r="F113" s="295" t="s">
        <v>319</v>
      </c>
      <c r="G113" s="295" t="s">
        <v>319</v>
      </c>
      <c r="H113" s="367" t="s">
        <v>319</v>
      </c>
      <c r="I113" s="92" t="s">
        <v>168</v>
      </c>
      <c r="J113" s="92"/>
      <c r="K113" s="92"/>
      <c r="L113" s="71"/>
      <c r="M113" s="71"/>
      <c r="N113" s="71"/>
      <c r="O113" s="71"/>
      <c r="P113" s="71" t="s">
        <v>380</v>
      </c>
      <c r="Q113" s="71" t="e">
        <f>IF(OR(AND($C$2="Base contract",$C$3="No, section requirements must be reviewed",#REF!= FALSE,#REF!=FALSE),AND($C$2="Contract amendment",$C$3="No, section requirements must be reviewed",#REF!=FALSE,#REF!=FALSE)),"MUNN")</f>
        <v>#REF!</v>
      </c>
      <c r="R113" s="71"/>
      <c r="S113" s="64">
        <v>43282</v>
      </c>
      <c r="T113" s="64"/>
      <c r="U113" s="64"/>
      <c r="V113" s="97" t="e">
        <f>IF(OR(AND(AG113=1,#REF!="TRUE",AT113=1),#REF!=TRUE,#REF!=TRUE),1,IF(AND(OR(AND(AG113=1,#REF!="FALSE"),AND(AG113&lt;&gt;1,#REF!="FALSE")),OR(AND(E113="Yes",F113&lt;&gt;""),AND(E113="N/A",H113&lt;&gt;""),AND(E113="Met",F113&lt;&gt;""),AND(E113="Not met",G113&lt;&gt;""),AND(E113="Unsure",G113&lt;&gt;""),AND(E113="No",G113&lt;&gt;""),AND(E113="No, submission is in draft",G113&lt;&gt;""))),1,0))</f>
        <v>#REF!</v>
      </c>
      <c r="W113" s="56" t="b">
        <f>IF(AND('Cover Sheet'!$B$19="Non-Risk",$R113=1),TRUE,FALSE)</f>
        <v>0</v>
      </c>
      <c r="X113" s="56"/>
      <c r="Y113" s="56"/>
      <c r="Z113" s="56"/>
      <c r="AA113" s="56"/>
      <c r="AB113" s="56"/>
      <c r="AC113" s="56"/>
      <c r="AD113" s="56"/>
      <c r="AE113" s="56"/>
      <c r="AF113" s="44" t="s">
        <v>2272</v>
      </c>
      <c r="AG113" s="98">
        <v>1</v>
      </c>
      <c r="AH113" s="75" t="str">
        <f t="shared" si="39"/>
        <v xml:space="preserve">I.J.5.08–09 </v>
      </c>
      <c r="AI113" s="44" t="str">
        <f t="shared" si="40"/>
        <v xml:space="preserve">The contract provides that if the MCP violates any other applicable requirements in Sections 1903(m) or 1932 of the Act or any implementing regulations, the state may impose only the following sanctions:
• Grant enrollees the right to disenroll without cause.
• Suspend all new enrollments to the MCP after the date the Secretary or the state notifies the MCP of a determination of a violation of any requirement under Sections 1903(m) or 1932 of the Act.
• Suspend payments for all new enrollments to the MCP until CMS or the state is satisfied that the reason for imposition of the sanction no longer exists and is not likely to recur. 
</v>
      </c>
      <c r="AJ113" s="57" t="b">
        <f t="shared" si="35"/>
        <v>1</v>
      </c>
      <c r="AK113" s="57">
        <f t="shared" si="36"/>
        <v>1</v>
      </c>
      <c r="AM113" s="69" t="str">
        <f t="shared" si="41"/>
        <v/>
      </c>
      <c r="AN113" s="69" t="e">
        <f>IF(E39 &lt;&gt;0, E39, IF(OR(#REF!=TRUE,#REF!= TRUE),"N/A", 0))</f>
        <v>#REF!</v>
      </c>
      <c r="AO113" s="69" t="e">
        <f>IF(F39 &lt;&gt;0, F39, IF(OR(#REF!=TRUE,#REF!= TRUE),"N/A", 0))</f>
        <v>#REF!</v>
      </c>
      <c r="AP113" s="69" t="e">
        <f>IF(G39 &lt;&gt;0, G39, IF(OR(#REF!=TRUE,#REF!= TRUE),"N/A", 0))</f>
        <v>#REF!</v>
      </c>
      <c r="AQ113" s="69" t="e">
        <f>IF(H39 &lt;&gt;0, H39, IF(OR(#REF!=TRUE,#REF!= TRUE),"N/A", 0))</f>
        <v>#REF!</v>
      </c>
      <c r="AR113" s="69" t="e">
        <f>IF(OR(AND($H$6="Both",OR(AND(AG113=0,OR(NOT(ISBLANK(E113)),NOT(ISBLANK(F113)),NOT(ISBLANK(G113)),NOT(ISBLANK(H113)))),AND(AG113=1,#REF!="TRUE",OR(AN113&lt;&gt;0,AO113&lt;&gt;0,AP113&lt;&gt;0,AQ113&lt;&gt;0)),AND(AG113=1,#REF!="FALSE",OR(NOT(ISBLANK(E113)),NOT(ISBLANK(F113)),NOT(ISBLANK(G113)),NOT(ISBLANK(H113)))))),AND($H$6="CHIP",OR(NOT(ISBLANK(E113)),NOT(ISBLANK(F113)),NOT(ISBLANK(G113)),NOT(ISBLANK(H113)))),V113=1),1,0)</f>
        <v>#REF!</v>
      </c>
      <c r="AS113" s="69" t="e">
        <f>IF(AND(OR(OR(#REF!=TRUE,#REF!=TRUE),AND($H$6="Both",OR(AND(AG113=1,#REF!="TRUE",AT113=1,OR(AN113="Yes",AN113="N/A",AN113="Met")),AND(#REF!="FALSE",OR(AND(E113="Yes",NOT(ISBLANK(F113))),AND(E113="N/A",NOT(ISBLANK(H113))),AND(E113="Met",NOT(ISBLANK(F113))))))),AND($H$6="CHIP",OR(AND(E113="Yes",NOT(ISBLANK(F113))),AND(E113="N/A",NOT(ISBLANK(H113))),AND(E113="Met",NOT(ISBLANK(F113)))))),V113=1),1,0)</f>
        <v>#REF!</v>
      </c>
      <c r="AT113" s="69" t="e">
        <f t="shared" si="37"/>
        <v>#REF!</v>
      </c>
    </row>
    <row r="114" spans="1:46" ht="31.5" hidden="1" customHeight="1" x14ac:dyDescent="0.25">
      <c r="A114" s="294" t="s">
        <v>2273</v>
      </c>
      <c r="B114" s="263" t="s">
        <v>2274</v>
      </c>
      <c r="C114" s="295" t="str">
        <f t="shared" si="34"/>
        <v>The contract provides that the state may impose additional sanctions provided for under state statutes or regulations to address noncompliance.  [If there is no additional information related to the CHIP contract, this information only needs to be entered in Section I.J.5.10.]</v>
      </c>
      <c r="D114" s="296"/>
      <c r="E114" s="295" t="s">
        <v>311</v>
      </c>
      <c r="F114" s="295" t="s">
        <v>319</v>
      </c>
      <c r="G114" s="295" t="s">
        <v>319</v>
      </c>
      <c r="H114" s="367" t="s">
        <v>319</v>
      </c>
      <c r="I114" s="92" t="s">
        <v>168</v>
      </c>
      <c r="J114" s="92"/>
      <c r="K114" s="92"/>
      <c r="L114" s="71"/>
      <c r="M114" s="71"/>
      <c r="N114" s="71"/>
      <c r="O114" s="71"/>
      <c r="P114" s="71" t="s">
        <v>380</v>
      </c>
      <c r="Q114" s="71" t="e">
        <f>IF(OR(AND($C$2="Base contract",$C$3="No, section requirements must be reviewed",#REF!= FALSE,#REF!=FALSE),AND($C$2="Contract amendment",$C$3="No, section requirements must be reviewed",#REF!=FALSE,#REF!=FALSE)),"MUNN")</f>
        <v>#REF!</v>
      </c>
      <c r="R114" s="71"/>
      <c r="S114" s="64">
        <v>43282</v>
      </c>
      <c r="T114" s="64"/>
      <c r="U114" s="64"/>
      <c r="V114" s="97" t="e">
        <f>IF(OR(AND(AG114=1,#REF!="TRUE",AT114=1),#REF!=TRUE,#REF!=TRUE),1,IF(AND(OR(AND(AG114=1,#REF!="FALSE"),AND(AG114&lt;&gt;1,#REF!="FALSE")),OR(AND(E114="Yes",F114&lt;&gt;""),AND(E114="N/A",H114&lt;&gt;""),AND(E114="Met",F114&lt;&gt;""),AND(E114="Not met",G114&lt;&gt;""),AND(E114="Unsure",G114&lt;&gt;""),AND(E114="No",G114&lt;&gt;""),AND(E114="No, submission is in draft",G114&lt;&gt;""))),1,0))</f>
        <v>#REF!</v>
      </c>
      <c r="W114" s="56" t="b">
        <f>IF(AND('Cover Sheet'!$B$19="Non-Risk",$R114=1),TRUE,FALSE)</f>
        <v>0</v>
      </c>
      <c r="X114" s="56"/>
      <c r="Y114" s="56"/>
      <c r="Z114" s="56"/>
      <c r="AA114" s="56"/>
      <c r="AB114" s="56"/>
      <c r="AC114" s="56"/>
      <c r="AD114" s="56"/>
      <c r="AE114" s="56"/>
      <c r="AF114" s="44" t="s">
        <v>2130</v>
      </c>
      <c r="AG114" s="98">
        <v>1</v>
      </c>
      <c r="AH114" s="75" t="str">
        <f t="shared" si="39"/>
        <v>I.J.5.10</v>
      </c>
      <c r="AI114" s="44" t="str">
        <f t="shared" si="40"/>
        <v>The contract provides that the state may impose additional sanctions provided for under state statutes or regulations to address noncompliance.</v>
      </c>
      <c r="AJ114" s="57" t="b">
        <f t="shared" si="35"/>
        <v>1</v>
      </c>
      <c r="AK114" s="57">
        <f t="shared" si="36"/>
        <v>1</v>
      </c>
      <c r="AM114" s="69" t="str">
        <f t="shared" si="41"/>
        <v/>
      </c>
      <c r="AN114" s="69" t="e">
        <f>IF(E40 &lt;&gt;0, E40, IF(OR(#REF!=TRUE,#REF!= TRUE),"N/A", 0))</f>
        <v>#REF!</v>
      </c>
      <c r="AO114" s="69" t="e">
        <f>IF(F40 &lt;&gt;0, F40, IF(OR(#REF!=TRUE,#REF!= TRUE),"N/A", 0))</f>
        <v>#REF!</v>
      </c>
      <c r="AP114" s="69" t="e">
        <f>IF(G40 &lt;&gt;0, G40, IF(OR(#REF!=TRUE,#REF!= TRUE),"N/A", 0))</f>
        <v>#REF!</v>
      </c>
      <c r="AQ114" s="69" t="e">
        <f>IF(H40 &lt;&gt;0, H40, IF(OR(#REF!=TRUE,#REF!= TRUE),"N/A", 0))</f>
        <v>#REF!</v>
      </c>
      <c r="AR114" s="69" t="e">
        <f>IF(OR(AND($H$6="Both",OR(AND(AG114=0,OR(NOT(ISBLANK(E114)),NOT(ISBLANK(F114)),NOT(ISBLANK(G114)),NOT(ISBLANK(H114)))),AND(AG114=1,#REF!="TRUE",OR(AN114&lt;&gt;0,AO114&lt;&gt;0,AP114&lt;&gt;0,AQ114&lt;&gt;0)),AND(AG114=1,#REF!="FALSE",OR(NOT(ISBLANK(E114)),NOT(ISBLANK(F114)),NOT(ISBLANK(G114)),NOT(ISBLANK(H114)))))),AND($H$6="CHIP",OR(NOT(ISBLANK(E114)),NOT(ISBLANK(F114)),NOT(ISBLANK(G114)),NOT(ISBLANK(H114)))),V114=1),1,0)</f>
        <v>#REF!</v>
      </c>
      <c r="AS114" s="69" t="e">
        <f>IF(AND(OR(OR(#REF!=TRUE,#REF!=TRUE),AND($H$6="Both",OR(AND(AG114=1,#REF!="TRUE",AT114=1,OR(AN114="Yes",AN114="N/A",AN114="Met")),AND(#REF!="FALSE",OR(AND(E114="Yes",NOT(ISBLANK(F114))),AND(E114="N/A",NOT(ISBLANK(H114))),AND(E114="Met",NOT(ISBLANK(F114))))))),AND($H$6="CHIP",OR(AND(E114="Yes",NOT(ISBLANK(F114))),AND(E114="N/A",NOT(ISBLANK(H114))),AND(E114="Met",NOT(ISBLANK(F114)))))),V114=1),1,0)</f>
        <v>#REF!</v>
      </c>
      <c r="AT114" s="69" t="e">
        <f t="shared" si="37"/>
        <v>#REF!</v>
      </c>
    </row>
    <row r="115" spans="1:46" ht="89.25" hidden="1" customHeight="1" x14ac:dyDescent="0.25">
      <c r="A115" s="294" t="s">
        <v>2275</v>
      </c>
      <c r="B115" s="263" t="s">
        <v>2276</v>
      </c>
      <c r="C115" s="295" t="str">
        <f t="shared" si="34"/>
        <v>The MCP contract specifies that the state will deny payments for new enrollees when, and for so long as, payment for those enrollees is denied by CMS based on the state’s recommendation, when the MCP fails substantially to provide medically necessary services that the MCP is required to provide, under law or under its contract with the state, to an enrollee covered under the contract.  [If there is no additional information related to the CHIP contract, this information only needs to be entered in Section I.J.5.11 .]</v>
      </c>
      <c r="D115" s="296"/>
      <c r="E115" s="295" t="s">
        <v>311</v>
      </c>
      <c r="F115" s="295" t="s">
        <v>319</v>
      </c>
      <c r="G115" s="295" t="s">
        <v>319</v>
      </c>
      <c r="H115" s="367" t="s">
        <v>319</v>
      </c>
      <c r="I115" s="92" t="s">
        <v>168</v>
      </c>
      <c r="J115" s="92"/>
      <c r="K115" s="92"/>
      <c r="L115" s="71"/>
      <c r="M115" s="71"/>
      <c r="N115" s="71"/>
      <c r="O115" s="71"/>
      <c r="P115" s="71" t="s">
        <v>380</v>
      </c>
      <c r="Q115" s="71" t="e">
        <f>IF(OR(AND($C$2="Base contract",$C$3="No, section requirements must be reviewed",#REF!= FALSE,#REF!=FALSE),AND($C$2="Contract amendment",$C$3="No, section requirements must be reviewed",#REF!=FALSE,#REF!=FALSE)),"MUNN")</f>
        <v>#REF!</v>
      </c>
      <c r="R115" s="71"/>
      <c r="S115" s="64">
        <v>43282</v>
      </c>
      <c r="T115" s="64"/>
      <c r="U115" s="64"/>
      <c r="V115" s="97" t="e">
        <f>IF(OR(AND(AG115=1,#REF!="TRUE",AT115=1),#REF!=TRUE,#REF!=TRUE),1,IF(AND(OR(AND(AG115=1,#REF!="FALSE"),AND(AG115&lt;&gt;1,#REF!="FALSE")),OR(AND(E115="Yes",F115&lt;&gt;""),AND(E115="N/A",H115&lt;&gt;""),AND(E115="Met",F115&lt;&gt;""),AND(E115="Not met",G115&lt;&gt;""),AND(E115="Unsure",G115&lt;&gt;""),AND(E115="No",G115&lt;&gt;""),AND(E115="No, submission is in draft",G115&lt;&gt;""))),1,0))</f>
        <v>#REF!</v>
      </c>
      <c r="W115" s="56" t="b">
        <f>IF(AND('Cover Sheet'!$B$19="Non-Risk",$R115=1),TRUE,FALSE)</f>
        <v>0</v>
      </c>
      <c r="X115" s="56"/>
      <c r="Y115" s="56"/>
      <c r="Z115" s="56"/>
      <c r="AA115" s="56"/>
      <c r="AB115" s="56"/>
      <c r="AC115" s="56"/>
      <c r="AD115" s="56"/>
      <c r="AE115" s="56"/>
      <c r="AF115" s="44" t="s">
        <v>2133</v>
      </c>
      <c r="AG115" s="98">
        <v>1</v>
      </c>
      <c r="AH115" s="75" t="str">
        <f t="shared" si="39"/>
        <v xml:space="preserve">I.J.5.11 </v>
      </c>
      <c r="AI115" s="44" t="str">
        <f t="shared" si="40"/>
        <v>The MCP contract specifies that the state will deny payments for new enrollees when, and for so long as, payment for those enrollees is denied by CMS based on the state’s recommendation, when the MCP fails substantially to provide medically necessary services that the MCP is required to provide, under law or under its contract with the state, to an enrollee covered under the contract.</v>
      </c>
      <c r="AJ115" s="57" t="b">
        <f t="shared" si="35"/>
        <v>1</v>
      </c>
      <c r="AK115" s="57">
        <f t="shared" si="36"/>
        <v>1</v>
      </c>
      <c r="AM115" s="69" t="str">
        <f t="shared" si="41"/>
        <v/>
      </c>
      <c r="AN115" s="69" t="e">
        <f>IF(E41 &lt;&gt;0, E41, IF(OR(#REF!=TRUE,#REF!= TRUE),"N/A", 0))</f>
        <v>#REF!</v>
      </c>
      <c r="AO115" s="69" t="e">
        <f>IF(F41 &lt;&gt;0, F41, IF(OR(#REF!=TRUE,#REF!= TRUE),"N/A", 0))</f>
        <v>#REF!</v>
      </c>
      <c r="AP115" s="69" t="e">
        <f>IF(G41 &lt;&gt;0, G41, IF(OR(#REF!=TRUE,#REF!= TRUE),"N/A", 0))</f>
        <v>#REF!</v>
      </c>
      <c r="AQ115" s="69" t="e">
        <f>IF(H41 &lt;&gt;0, H41, IF(OR(#REF!=TRUE,#REF!= TRUE),"N/A", 0))</f>
        <v>#REF!</v>
      </c>
      <c r="AR115" s="69" t="e">
        <f>IF(OR(AND($H$6="Both",OR(AND(AG115=0,OR(NOT(ISBLANK(E115)),NOT(ISBLANK(F115)),NOT(ISBLANK(G115)),NOT(ISBLANK(H115)))),AND(AG115=1,#REF!="TRUE",OR(AN115&lt;&gt;0,AO115&lt;&gt;0,AP115&lt;&gt;0,AQ115&lt;&gt;0)),AND(AG115=1,#REF!="FALSE",OR(NOT(ISBLANK(E115)),NOT(ISBLANK(F115)),NOT(ISBLANK(G115)),NOT(ISBLANK(H115)))))),AND($H$6="CHIP",OR(NOT(ISBLANK(E115)),NOT(ISBLANK(F115)),NOT(ISBLANK(G115)),NOT(ISBLANK(H115)))),V115=1),1,0)</f>
        <v>#REF!</v>
      </c>
      <c r="AS115" s="69" t="e">
        <f>IF(AND(OR(OR(#REF!=TRUE,#REF!=TRUE),AND($H$6="Both",OR(AND(AG115=1,#REF!="TRUE",AT115=1,OR(AN115="Yes",AN115="N/A",AN115="Met")),AND(#REF!="FALSE",OR(AND(E115="Yes",NOT(ISBLANK(F115))),AND(E115="N/A",NOT(ISBLANK(H115))),AND(E115="Met",NOT(ISBLANK(F115))))))),AND($H$6="CHIP",OR(AND(E115="Yes",NOT(ISBLANK(F115))),AND(E115="N/A",NOT(ISBLANK(H115))),AND(E115="Met",NOT(ISBLANK(F115)))))),V115=1),1,0)</f>
        <v>#REF!</v>
      </c>
      <c r="AT115" s="69" t="e">
        <f t="shared" si="37"/>
        <v>#REF!</v>
      </c>
    </row>
    <row r="116" spans="1:46" ht="89.25" hidden="1" customHeight="1" x14ac:dyDescent="0.25">
      <c r="A116" s="294" t="s">
        <v>2277</v>
      </c>
      <c r="B116" s="263" t="s">
        <v>2278</v>
      </c>
      <c r="C116" s="295" t="str">
        <f t="shared" si="34"/>
        <v>The MCP contract specifies that the state will deny payments for new enrollees when, and for so long as, payment for those enrollees is denied by CMS based on the state’s recommendation, when the MCP imposes on enrollees premiums or charges that are in excess of the premiums or charges permitted under the Medicaid program.  [If there is no additional information related to the CHIP contract, this information only needs to be entered in Section I.J.5.12 .]</v>
      </c>
      <c r="D116" s="296"/>
      <c r="E116" s="295" t="s">
        <v>311</v>
      </c>
      <c r="F116" s="295" t="s">
        <v>319</v>
      </c>
      <c r="G116" s="295" t="s">
        <v>319</v>
      </c>
      <c r="H116" s="367" t="s">
        <v>319</v>
      </c>
      <c r="I116" s="92" t="s">
        <v>168</v>
      </c>
      <c r="J116" s="92"/>
      <c r="K116" s="92"/>
      <c r="L116" s="71"/>
      <c r="M116" s="71"/>
      <c r="N116" s="71"/>
      <c r="O116" s="71"/>
      <c r="P116" s="71" t="s">
        <v>380</v>
      </c>
      <c r="Q116" s="71" t="e">
        <f>IF(OR(AND($C$2="Base contract",$C$3="No, section requirements must be reviewed",#REF!= FALSE,#REF!=FALSE),AND($C$2="Contract amendment",$C$3="No, section requirements must be reviewed",#REF!=FALSE,#REF!=FALSE)),"MUNN")</f>
        <v>#REF!</v>
      </c>
      <c r="R116" s="71"/>
      <c r="S116" s="64">
        <v>43282</v>
      </c>
      <c r="T116" s="64"/>
      <c r="U116" s="64"/>
      <c r="V116" s="97" t="e">
        <f>IF(OR(AND(AG116=1,#REF!="TRUE",AT116=1),#REF!=TRUE,#REF!=TRUE),1,IF(AND(OR(AND(AG116=1,#REF!="FALSE"),AND(AG116&lt;&gt;1,#REF!="FALSE")),OR(AND(E116="Yes",F116&lt;&gt;""),AND(E116="N/A",H116&lt;&gt;""),AND(E116="Met",F116&lt;&gt;""),AND(E116="Not met",G116&lt;&gt;""),AND(E116="Unsure",G116&lt;&gt;""),AND(E116="No",G116&lt;&gt;""),AND(E116="No, submission is in draft",G116&lt;&gt;""))),1,0))</f>
        <v>#REF!</v>
      </c>
      <c r="W116" s="56" t="b">
        <f>IF(AND('Cover Sheet'!$B$19="Non-Risk",$R116=1),TRUE,FALSE)</f>
        <v>0</v>
      </c>
      <c r="X116" s="56"/>
      <c r="Y116" s="56"/>
      <c r="Z116" s="56"/>
      <c r="AA116" s="56"/>
      <c r="AB116" s="56"/>
      <c r="AC116" s="56"/>
      <c r="AD116" s="56"/>
      <c r="AE116" s="56"/>
      <c r="AF116" s="44" t="s">
        <v>2136</v>
      </c>
      <c r="AG116" s="98">
        <v>1</v>
      </c>
      <c r="AH116" s="75" t="str">
        <f t="shared" si="39"/>
        <v xml:space="preserve">I.J.5.12 </v>
      </c>
      <c r="AI116" s="44" t="str">
        <f t="shared" si="40"/>
        <v>The MCP contract specifies that the state will deny payments for new enrollees when, and for so long as, payment for those enrollees is denied by CMS based on the state’s recommendation, when the MCP imposes on enrollees premiums or charges that are in excess of the premiums or charges permitted under the Medicaid program.</v>
      </c>
      <c r="AJ116" s="57" t="b">
        <f t="shared" si="35"/>
        <v>1</v>
      </c>
      <c r="AK116" s="57">
        <f t="shared" si="36"/>
        <v>1</v>
      </c>
      <c r="AM116" s="69" t="str">
        <f t="shared" si="41"/>
        <v/>
      </c>
      <c r="AN116" s="69" t="e">
        <f>IF(E42 &lt;&gt;0, E42, IF(OR(#REF!=TRUE,#REF!= TRUE),"N/A", 0))</f>
        <v>#REF!</v>
      </c>
      <c r="AO116" s="69" t="e">
        <f>IF(F42 &lt;&gt;0, F42, IF(OR(#REF!=TRUE,#REF!= TRUE),"N/A", 0))</f>
        <v>#REF!</v>
      </c>
      <c r="AP116" s="69" t="e">
        <f>IF(G42 &lt;&gt;0, G42, IF(OR(#REF!=TRUE,#REF!= TRUE),"N/A", 0))</f>
        <v>#REF!</v>
      </c>
      <c r="AQ116" s="69" t="e">
        <f>IF(H42 &lt;&gt;0, H42, IF(OR(#REF!=TRUE,#REF!= TRUE),"N/A", 0))</f>
        <v>#REF!</v>
      </c>
      <c r="AR116" s="69" t="e">
        <f>IF(OR(AND($H$6="Both",OR(AND(AG116=0,OR(NOT(ISBLANK(E116)),NOT(ISBLANK(F116)),NOT(ISBLANK(G116)),NOT(ISBLANK(H116)))),AND(AG116=1,#REF!="TRUE",OR(AN116&lt;&gt;0,AO116&lt;&gt;0,AP116&lt;&gt;0,AQ116&lt;&gt;0)),AND(AG116=1,#REF!="FALSE",OR(NOT(ISBLANK(E116)),NOT(ISBLANK(F116)),NOT(ISBLANK(G116)),NOT(ISBLANK(H116)))))),AND($H$6="CHIP",OR(NOT(ISBLANK(E116)),NOT(ISBLANK(F116)),NOT(ISBLANK(G116)),NOT(ISBLANK(H116)))),V116=1),1,0)</f>
        <v>#REF!</v>
      </c>
      <c r="AS116" s="69" t="e">
        <f>IF(AND(OR(OR(#REF!=TRUE,#REF!=TRUE),AND($H$6="Both",OR(AND(AG116=1,#REF!="TRUE",AT116=1,OR(AN116="Yes",AN116="N/A",AN116="Met")),AND(#REF!="FALSE",OR(AND(E116="Yes",NOT(ISBLANK(F116))),AND(E116="N/A",NOT(ISBLANK(H116))),AND(E116="Met",NOT(ISBLANK(F116))))))),AND($H$6="CHIP",OR(AND(E116="Yes",NOT(ISBLANK(F116))),AND(E116="N/A",NOT(ISBLANK(H116))),AND(E116="Met",NOT(ISBLANK(F116)))))),V116=1),1,0)</f>
        <v>#REF!</v>
      </c>
      <c r="AT116" s="69" t="e">
        <f t="shared" si="37"/>
        <v>#REF!</v>
      </c>
    </row>
    <row r="117" spans="1:46" ht="89.25" hidden="1" customHeight="1" x14ac:dyDescent="0.25">
      <c r="A117" s="294" t="s">
        <v>2279</v>
      </c>
      <c r="B117" s="263" t="s">
        <v>2280</v>
      </c>
      <c r="C117" s="295" t="str">
        <f t="shared" si="34"/>
        <v>The MCP contract specifies that the state will deny payments for new enrollees when, and for so long as, payment for those enrollees is denied by CMS based on the state’s recommendation, when the MCP acts to discriminate among enrollees on the basis of their health status or need for health care services.  [If there is no additional information related to the CHIP contract, this information only needs to be entered in Section I.J.5.13 .]</v>
      </c>
      <c r="D117" s="380">
        <v>10</v>
      </c>
      <c r="E117" s="295" t="s">
        <v>311</v>
      </c>
      <c r="F117" s="295" t="s">
        <v>319</v>
      </c>
      <c r="G117" s="295" t="s">
        <v>319</v>
      </c>
      <c r="H117" s="367" t="s">
        <v>319</v>
      </c>
      <c r="I117" s="92" t="s">
        <v>168</v>
      </c>
      <c r="J117" s="92"/>
      <c r="K117" s="92"/>
      <c r="L117" s="71"/>
      <c r="M117" s="71"/>
      <c r="N117" s="71"/>
      <c r="O117" s="71"/>
      <c r="P117" s="71" t="s">
        <v>380</v>
      </c>
      <c r="Q117" s="71" t="e">
        <f>IF(OR(AND($C$2="Base contract",$C$3="No, section requirements must be reviewed",#REF!= FALSE,#REF!=FALSE),AND($C$2="Contract amendment",$C$3="No, section requirements must be reviewed",#REF!=FALSE,#REF!=FALSE)),"MUNN")</f>
        <v>#REF!</v>
      </c>
      <c r="R117" s="71"/>
      <c r="S117" s="64">
        <v>43282</v>
      </c>
      <c r="T117" s="64"/>
      <c r="U117" s="64"/>
      <c r="V117" s="97" t="e">
        <f>IF(OR(AND(AG117=1,#REF!="TRUE",AT117=1),#REF!=TRUE,#REF!=TRUE),1,IF(AND(OR(AND(AG117=1,#REF!="FALSE"),AND(AG117&lt;&gt;1,#REF!="FALSE")),OR(AND(E117="Yes",F117&lt;&gt;""),AND(E117="N/A",H117&lt;&gt;""),AND(E117="Met",F117&lt;&gt;""),AND(E117="Not met",G117&lt;&gt;""),AND(E117="Unsure",G117&lt;&gt;""),AND(E117="No",G117&lt;&gt;""),AND(E117="No, submission is in draft",G117&lt;&gt;""))),1,0))</f>
        <v>#REF!</v>
      </c>
      <c r="W117" s="56" t="b">
        <f>IF(AND('Cover Sheet'!$B$19="Non-Risk",$R117=1),TRUE,FALSE)</f>
        <v>0</v>
      </c>
      <c r="X117" s="56"/>
      <c r="Y117" s="56"/>
      <c r="Z117" s="56"/>
      <c r="AA117" s="56"/>
      <c r="AB117" s="56"/>
      <c r="AC117" s="56"/>
      <c r="AD117" s="56"/>
      <c r="AE117" s="56"/>
      <c r="AF117" s="44" t="s">
        <v>2139</v>
      </c>
      <c r="AG117" s="98">
        <v>1</v>
      </c>
      <c r="AH117" s="75" t="str">
        <f t="shared" si="39"/>
        <v xml:space="preserve">I.J.5.13 </v>
      </c>
      <c r="AI117" s="44" t="str">
        <f t="shared" si="40"/>
        <v>The MCP contract specifies that the state will deny payments for new enrollees when, and for so long as, payment for those enrollees is denied by CMS based on the state’s recommendation, when the MCP acts to discriminate among enrollees on the basis of their health status or need for health care services.</v>
      </c>
      <c r="AJ117" s="57" t="b">
        <f t="shared" si="35"/>
        <v>1</v>
      </c>
      <c r="AK117" s="57">
        <f t="shared" si="36"/>
        <v>1</v>
      </c>
      <c r="AM117" s="69" t="str">
        <f t="shared" si="41"/>
        <v/>
      </c>
      <c r="AN117" s="69" t="e">
        <f>IF(E43 &lt;&gt;0, E43, IF(OR(#REF!=TRUE,#REF!= TRUE),"N/A", 0))</f>
        <v>#REF!</v>
      </c>
      <c r="AO117" s="69" t="e">
        <f>IF(F43 &lt;&gt;0, F43, IF(OR(#REF!=TRUE,#REF!= TRUE),"N/A", 0))</f>
        <v>#REF!</v>
      </c>
      <c r="AP117" s="69" t="e">
        <f>IF(G43 &lt;&gt;0, G43, IF(OR(#REF!=TRUE,#REF!= TRUE),"N/A", 0))</f>
        <v>#REF!</v>
      </c>
      <c r="AQ117" s="69" t="e">
        <f>IF(H43 &lt;&gt;0, H43, IF(OR(#REF!=TRUE,#REF!= TRUE),"N/A", 0))</f>
        <v>#REF!</v>
      </c>
      <c r="AR117" s="69" t="e">
        <f>IF(OR(AND($H$6="Both",OR(AND(AG117=0,OR(NOT(ISBLANK(E117)),NOT(ISBLANK(F117)),NOT(ISBLANK(G117)),NOT(ISBLANK(H117)))),AND(AG117=1,#REF!="TRUE",OR(AN117&lt;&gt;0,AO117&lt;&gt;0,AP117&lt;&gt;0,AQ117&lt;&gt;0)),AND(AG117=1,#REF!="FALSE",OR(NOT(ISBLANK(E117)),NOT(ISBLANK(F117)),NOT(ISBLANK(G117)),NOT(ISBLANK(H117)))))),AND($H$6="CHIP",OR(NOT(ISBLANK(E117)),NOT(ISBLANK(F117)),NOT(ISBLANK(G117)),NOT(ISBLANK(H117)))),V117=1),1,0)</f>
        <v>#REF!</v>
      </c>
      <c r="AS117" s="69" t="e">
        <f>IF(AND(OR(OR(#REF!=TRUE,#REF!=TRUE),AND($H$6="Both",OR(AND(AG117=1,#REF!="TRUE",AT117=1,OR(AN117="Yes",AN117="N/A",AN117="Met")),AND(#REF!="FALSE",OR(AND(E117="Yes",NOT(ISBLANK(F117))),AND(E117="N/A",NOT(ISBLANK(H117))),AND(E117="Met",NOT(ISBLANK(F117))))))),AND($H$6="CHIP",OR(AND(E117="Yes",NOT(ISBLANK(F117))),AND(E117="N/A",NOT(ISBLANK(H117))),AND(E117="Met",NOT(ISBLANK(F117)))))),V117=1),1,0)</f>
        <v>#REF!</v>
      </c>
      <c r="AT117" s="69" t="e">
        <f t="shared" si="37"/>
        <v>#REF!</v>
      </c>
    </row>
    <row r="118" spans="1:46" ht="89.25" hidden="1" customHeight="1" x14ac:dyDescent="0.25">
      <c r="A118" s="294" t="s">
        <v>2281</v>
      </c>
      <c r="B118" s="263" t="s">
        <v>2282</v>
      </c>
      <c r="C118" s="295" t="str">
        <f t="shared" si="34"/>
        <v>The MCP contract specifies that the state will deny payments for new enrollees when, and for so long as, payment for those enrollees is denied by CMS based on the state’s recommendation, when the MCP misrepresents or falsifies information that it furnishes to CMS or to the state.  [If there is no additional information related to the CHIP contract, this information only needs to be entered in Section I.J.5.14 .]</v>
      </c>
      <c r="D118" s="296"/>
      <c r="E118" s="295" t="s">
        <v>311</v>
      </c>
      <c r="F118" s="295" t="s">
        <v>319</v>
      </c>
      <c r="G118" s="295" t="s">
        <v>319</v>
      </c>
      <c r="H118" s="367" t="s">
        <v>319</v>
      </c>
      <c r="I118" s="92" t="s">
        <v>168</v>
      </c>
      <c r="J118" s="92"/>
      <c r="K118" s="92"/>
      <c r="L118" s="71"/>
      <c r="M118" s="71"/>
      <c r="N118" s="71"/>
      <c r="O118" s="71"/>
      <c r="P118" s="71" t="s">
        <v>380</v>
      </c>
      <c r="Q118" s="71" t="e">
        <f>IF(OR(AND($C$2="Base contract",$C$3="No, section requirements must be reviewed",#REF!= FALSE,#REF!=FALSE),AND($C$2="Contract amendment",$C$3="No, section requirements must be reviewed",#REF!=FALSE,#REF!=FALSE)),"MUNN")</f>
        <v>#REF!</v>
      </c>
      <c r="R118" s="71"/>
      <c r="S118" s="64">
        <v>43282</v>
      </c>
      <c r="T118" s="64"/>
      <c r="U118" s="64"/>
      <c r="V118" s="97" t="e">
        <f>IF(OR(AND(AG118=1,#REF!="TRUE",AT118=1),#REF!=TRUE,#REF!=TRUE),1,IF(AND(OR(AND(AG118=1,#REF!="FALSE"),AND(AG118&lt;&gt;1,#REF!="FALSE")),OR(AND(E118="Yes",F118&lt;&gt;""),AND(E118="N/A",H118&lt;&gt;""),AND(E118="Met",F118&lt;&gt;""),AND(E118="Not met",G118&lt;&gt;""),AND(E118="Unsure",G118&lt;&gt;""),AND(E118="No",G118&lt;&gt;""),AND(E118="No, submission is in draft",G118&lt;&gt;""))),1,0))</f>
        <v>#REF!</v>
      </c>
      <c r="W118" s="56" t="b">
        <f>IF(AND('Cover Sheet'!$B$19="Non-Risk",$R118=1),TRUE,FALSE)</f>
        <v>0</v>
      </c>
      <c r="X118" s="56"/>
      <c r="Y118" s="56"/>
      <c r="Z118" s="56"/>
      <c r="AA118" s="56"/>
      <c r="AB118" s="56"/>
      <c r="AC118" s="56"/>
      <c r="AD118" s="56"/>
      <c r="AE118" s="56"/>
      <c r="AF118" s="44" t="s">
        <v>2142</v>
      </c>
      <c r="AG118" s="98">
        <v>1</v>
      </c>
      <c r="AH118" s="75" t="str">
        <f t="shared" si="39"/>
        <v xml:space="preserve">I.J.5.14 </v>
      </c>
      <c r="AI118" s="44" t="str">
        <f t="shared" si="40"/>
        <v>The MCP contract specifies that the state will deny payments for new enrollees when, and for so long as, payment for those enrollees is denied by CMS based on the state’s recommendation, when the MCP misrepresents or falsifies information that it furnishes to CMS or to the state.</v>
      </c>
      <c r="AJ118" s="57" t="b">
        <f t="shared" si="35"/>
        <v>1</v>
      </c>
      <c r="AK118" s="57">
        <f t="shared" si="36"/>
        <v>1</v>
      </c>
      <c r="AM118" s="69" t="str">
        <f t="shared" si="41"/>
        <v/>
      </c>
      <c r="AN118" s="69" t="e">
        <f>IF(E44 &lt;&gt;0, E44, IF(OR(#REF!=TRUE,#REF!= TRUE),"N/A", 0))</f>
        <v>#REF!</v>
      </c>
      <c r="AO118" s="69" t="e">
        <f>IF(F44 &lt;&gt;0, F44, IF(OR(#REF!=TRUE,#REF!= TRUE),"N/A", 0))</f>
        <v>#REF!</v>
      </c>
      <c r="AP118" s="69" t="e">
        <f>IF(G44 &lt;&gt;0, G44, IF(OR(#REF!=TRUE,#REF!= TRUE),"N/A", 0))</f>
        <v>#REF!</v>
      </c>
      <c r="AQ118" s="69" t="e">
        <f>IF(H44 &lt;&gt;0, H44, IF(OR(#REF!=TRUE,#REF!= TRUE),"N/A", 0))</f>
        <v>#REF!</v>
      </c>
      <c r="AR118" s="69" t="e">
        <f>IF(OR(AND($H$6="Both",OR(AND(AG118=0,OR(NOT(ISBLANK(E118)),NOT(ISBLANK(F118)),NOT(ISBLANK(G118)),NOT(ISBLANK(H118)))),AND(AG118=1,#REF!="TRUE",OR(AN118&lt;&gt;0,AO118&lt;&gt;0,AP118&lt;&gt;0,AQ118&lt;&gt;0)),AND(AG118=1,#REF!="FALSE",OR(NOT(ISBLANK(E118)),NOT(ISBLANK(F118)),NOT(ISBLANK(G118)),NOT(ISBLANK(H118)))))),AND($H$6="CHIP",OR(NOT(ISBLANK(E118)),NOT(ISBLANK(F118)),NOT(ISBLANK(G118)),NOT(ISBLANK(H118)))),V118=1),1,0)</f>
        <v>#REF!</v>
      </c>
      <c r="AS118" s="69" t="e">
        <f>IF(AND(OR(OR(#REF!=TRUE,#REF!=TRUE),AND($H$6="Both",OR(AND(AG118=1,#REF!="TRUE",AT118=1,OR(AN118="Yes",AN118="N/A",AN118="Met")),AND(#REF!="FALSE",OR(AND(E118="Yes",NOT(ISBLANK(F118))),AND(E118="N/A",NOT(ISBLANK(H118))),AND(E118="Met",NOT(ISBLANK(F118))))))),AND($H$6="CHIP",OR(AND(E118="Yes",NOT(ISBLANK(F118))),AND(E118="N/A",NOT(ISBLANK(H118))),AND(E118="Met",NOT(ISBLANK(F118)))))),V118=1),1,0)</f>
        <v>#REF!</v>
      </c>
      <c r="AT118" s="69" t="e">
        <f t="shared" si="37"/>
        <v>#REF!</v>
      </c>
    </row>
    <row r="119" spans="1:46" ht="89.25" hidden="1" customHeight="1" x14ac:dyDescent="0.25">
      <c r="A119" s="294" t="s">
        <v>2283</v>
      </c>
      <c r="B119" s="263" t="s">
        <v>2284</v>
      </c>
      <c r="C119" s="295" t="str">
        <f t="shared" si="34"/>
        <v>The MCP contract specifies that the state will deny payments for new enrollees when, and for so long as, payment for those enrollees is denied by CMS based on the state’s recommendation, when the MCP misrepresents or falsifies information that it furnishes to an enrollee, potential enrollee, or health care provider.  [If there is no additional information related to the CHIP contract, this information only needs to be entered in Section I.J.5.15 .]</v>
      </c>
      <c r="D119" s="296"/>
      <c r="E119" s="295" t="s">
        <v>311</v>
      </c>
      <c r="F119" s="295" t="s">
        <v>319</v>
      </c>
      <c r="G119" s="295" t="s">
        <v>319</v>
      </c>
      <c r="H119" s="367" t="s">
        <v>319</v>
      </c>
      <c r="I119" s="92" t="s">
        <v>168</v>
      </c>
      <c r="J119" s="92"/>
      <c r="K119" s="92"/>
      <c r="L119" s="71"/>
      <c r="M119" s="71"/>
      <c r="N119" s="71"/>
      <c r="O119" s="71"/>
      <c r="P119" s="71" t="s">
        <v>380</v>
      </c>
      <c r="Q119" s="71" t="e">
        <f>IF(OR(AND($C$2="Base contract",$C$3="No, section requirements must be reviewed",#REF!= FALSE,#REF!=FALSE),AND($C$2="Contract amendment",$C$3="No, section requirements must be reviewed",#REF!=FALSE,#REF!=FALSE)),"MUNN")</f>
        <v>#REF!</v>
      </c>
      <c r="R119" s="71"/>
      <c r="S119" s="64">
        <v>43282</v>
      </c>
      <c r="T119" s="64"/>
      <c r="U119" s="64"/>
      <c r="V119" s="97" t="e">
        <f>IF(OR(AND(AG119=1,#REF!="TRUE",AT119=1),#REF!=TRUE,#REF!=TRUE),1,IF(AND(OR(AND(AG119=1,#REF!="FALSE"),AND(AG119&lt;&gt;1,#REF!="FALSE")),OR(AND(E119="Yes",F119&lt;&gt;""),AND(E119="N/A",H119&lt;&gt;""),AND(E119="Met",F119&lt;&gt;""),AND(E119="Not met",G119&lt;&gt;""),AND(E119="Unsure",G119&lt;&gt;""),AND(E119="No",G119&lt;&gt;""),AND(E119="No, submission is in draft",G119&lt;&gt;""))),1,0))</f>
        <v>#REF!</v>
      </c>
      <c r="W119" s="56" t="b">
        <f>IF(AND('Cover Sheet'!$B$19="Non-Risk",$R119=1),TRUE,FALSE)</f>
        <v>0</v>
      </c>
      <c r="X119" s="56"/>
      <c r="Y119" s="56"/>
      <c r="Z119" s="56"/>
      <c r="AA119" s="56"/>
      <c r="AB119" s="56"/>
      <c r="AC119" s="56"/>
      <c r="AD119" s="56"/>
      <c r="AE119" s="56"/>
      <c r="AF119" s="44" t="s">
        <v>2145</v>
      </c>
      <c r="AG119" s="98">
        <v>1</v>
      </c>
      <c r="AH119" s="75" t="str">
        <f t="shared" si="39"/>
        <v xml:space="preserve">I.J.5.15 </v>
      </c>
      <c r="AI119" s="44" t="str">
        <f t="shared" si="40"/>
        <v>The MCP contract specifies that the state will deny payments for new enrollees when, and for so long as, payment for those enrollees is denied by CMS based on the state’s recommendation, when the MCP misrepresents or falsifies information that it furnishes to an enrollee, potential enrollee, or health care provider.</v>
      </c>
      <c r="AJ119" s="57" t="b">
        <f t="shared" si="35"/>
        <v>1</v>
      </c>
      <c r="AK119" s="57">
        <f t="shared" si="36"/>
        <v>1</v>
      </c>
      <c r="AM119" s="69" t="str">
        <f t="shared" si="41"/>
        <v/>
      </c>
      <c r="AN119" s="69" t="e">
        <f>IF(E45 &lt;&gt;0, E45, IF(OR(#REF!=TRUE,#REF!= TRUE),"N/A", 0))</f>
        <v>#REF!</v>
      </c>
      <c r="AO119" s="69" t="e">
        <f>IF(F45 &lt;&gt;0, F45, IF(OR(#REF!=TRUE,#REF!= TRUE),"N/A", 0))</f>
        <v>#REF!</v>
      </c>
      <c r="AP119" s="69" t="e">
        <f>IF(G45 &lt;&gt;0, G45, IF(OR(#REF!=TRUE,#REF!= TRUE),"N/A", 0))</f>
        <v>#REF!</v>
      </c>
      <c r="AQ119" s="69" t="e">
        <f>IF(H45 &lt;&gt;0, H45, IF(OR(#REF!=TRUE,#REF!= TRUE),"N/A", 0))</f>
        <v>#REF!</v>
      </c>
      <c r="AR119" s="69" t="e">
        <f>IF(OR(AND($H$6="Both",OR(AND(AG119=0,OR(NOT(ISBLANK(E119)),NOT(ISBLANK(F119)),NOT(ISBLANK(G119)),NOT(ISBLANK(H119)))),AND(AG119=1,#REF!="TRUE",OR(AN119&lt;&gt;0,AO119&lt;&gt;0,AP119&lt;&gt;0,AQ119&lt;&gt;0)),AND(AG119=1,#REF!="FALSE",OR(NOT(ISBLANK(E119)),NOT(ISBLANK(F119)),NOT(ISBLANK(G119)),NOT(ISBLANK(H119)))))),AND($H$6="CHIP",OR(NOT(ISBLANK(E119)),NOT(ISBLANK(F119)),NOT(ISBLANK(G119)),NOT(ISBLANK(H119)))),V119=1),1,0)</f>
        <v>#REF!</v>
      </c>
      <c r="AS119" s="69" t="e">
        <f>IF(AND(OR(OR(#REF!=TRUE,#REF!=TRUE),AND($H$6="Both",OR(AND(AG119=1,#REF!="TRUE",AT119=1,OR(AN119="Yes",AN119="N/A",AN119="Met")),AND(#REF!="FALSE",OR(AND(E119="Yes",NOT(ISBLANK(F119))),AND(E119="N/A",NOT(ISBLANK(H119))),AND(E119="Met",NOT(ISBLANK(F119))))))),AND($H$6="CHIP",OR(AND(E119="Yes",NOT(ISBLANK(F119))),AND(E119="N/A",NOT(ISBLANK(H119))),AND(E119="Met",NOT(ISBLANK(F119)))))),V119=1),1,0)</f>
        <v>#REF!</v>
      </c>
      <c r="AT119" s="69" t="e">
        <f t="shared" si="37"/>
        <v>#REF!</v>
      </c>
    </row>
    <row r="120" spans="1:46" ht="89.25" hidden="1" customHeight="1" x14ac:dyDescent="0.25">
      <c r="A120" s="294" t="s">
        <v>2285</v>
      </c>
      <c r="B120" s="263" t="s">
        <v>2286</v>
      </c>
      <c r="C120" s="295" t="str">
        <f t="shared" si="34"/>
        <v>The MCP contract specifies that the state will deny payments for new enrollees when, and for so long as, payment for those enrollees is denied by CMS based on the state’s recommendation, when the MCP fails to comply with the requirements for PIPs, as set forth (for Medicare) in 42 CFR 422.208 and 42 CFR 422.210.  [If there is no additional information related to the CHIP contract, this information only needs to be entered in Section I.J.5.16 .]</v>
      </c>
      <c r="D120" s="296"/>
      <c r="E120" s="295" t="s">
        <v>311</v>
      </c>
      <c r="F120" s="295" t="s">
        <v>319</v>
      </c>
      <c r="G120" s="295" t="s">
        <v>319</v>
      </c>
      <c r="H120" s="367" t="s">
        <v>319</v>
      </c>
      <c r="I120" s="92" t="s">
        <v>168</v>
      </c>
      <c r="J120" s="92"/>
      <c r="K120" s="92"/>
      <c r="L120" s="71"/>
      <c r="M120" s="71"/>
      <c r="N120" s="71"/>
      <c r="O120" s="71"/>
      <c r="P120" s="71" t="s">
        <v>380</v>
      </c>
      <c r="Q120" s="71" t="e">
        <f>IF(OR(AND($C$2="Base contract",$C$3="No, section requirements must be reviewed",#REF!= FALSE,#REF!=FALSE),AND($C$2="Contract amendment",$C$3="No, section requirements must be reviewed",#REF!=FALSE,#REF!=FALSE)),"MUNN")</f>
        <v>#REF!</v>
      </c>
      <c r="R120" s="71"/>
      <c r="S120" s="64">
        <v>43282</v>
      </c>
      <c r="T120" s="64"/>
      <c r="U120" s="64"/>
      <c r="V120" s="97" t="e">
        <f>IF(OR(AND(AG120=1,#REF!="TRUE",AT120=1),#REF!=TRUE,#REF!=TRUE),1,IF(AND(OR(AND(AG120=1,#REF!="FALSE"),AND(AG120&lt;&gt;1,#REF!="FALSE")),OR(AND(E120="Yes",F120&lt;&gt;""),AND(E120="N/A",H120&lt;&gt;""),AND(E120="Met",F120&lt;&gt;""),AND(E120="Not met",G120&lt;&gt;""),AND(E120="Unsure",G120&lt;&gt;""),AND(E120="No",G120&lt;&gt;""),AND(E120="No, submission is in draft",G120&lt;&gt;""))),1,0))</f>
        <v>#REF!</v>
      </c>
      <c r="W120" s="56" t="b">
        <f>IF(AND('Cover Sheet'!$B$19="Non-Risk",$R120=1),TRUE,FALSE)</f>
        <v>0</v>
      </c>
      <c r="X120" s="56"/>
      <c r="Y120" s="56"/>
      <c r="Z120" s="56"/>
      <c r="AA120" s="56"/>
      <c r="AB120" s="56"/>
      <c r="AC120" s="56"/>
      <c r="AD120" s="56"/>
      <c r="AE120" s="56"/>
      <c r="AF120" s="44" t="s">
        <v>2287</v>
      </c>
      <c r="AG120" s="98">
        <v>1</v>
      </c>
      <c r="AH120" s="75" t="str">
        <f t="shared" si="39"/>
        <v xml:space="preserve">I.J.5.16 </v>
      </c>
      <c r="AI120" s="44" t="str">
        <f t="shared" si="40"/>
        <v>The MCP contract specifies that the state will deny payments for new enrollees when, and for so long as, payment for those enrollees is denied by CMS based on the state’s recommendation, when the MCP fails to comply with the requirements for Medicare Physician Incentive Plan as set forth in 42 CFR 422.208 and 422.210.</v>
      </c>
      <c r="AJ120" s="57" t="b">
        <f t="shared" si="35"/>
        <v>0</v>
      </c>
      <c r="AK120" s="57">
        <f t="shared" si="36"/>
        <v>1</v>
      </c>
      <c r="AM120" s="69" t="str">
        <f t="shared" si="41"/>
        <v/>
      </c>
      <c r="AN120" s="69" t="e">
        <f>IF(E46 &lt;&gt;0, E46, IF(OR(#REF!=TRUE,#REF!= TRUE),"N/A", 0))</f>
        <v>#REF!</v>
      </c>
      <c r="AO120" s="69" t="e">
        <f>IF(F46 &lt;&gt;0, F46, IF(OR(#REF!=TRUE,#REF!= TRUE),"N/A", 0))</f>
        <v>#REF!</v>
      </c>
      <c r="AP120" s="69" t="e">
        <f>IF(G46 &lt;&gt;0, G46, IF(OR(#REF!=TRUE,#REF!= TRUE),"N/A", 0))</f>
        <v>#REF!</v>
      </c>
      <c r="AQ120" s="69" t="e">
        <f>IF(H46 &lt;&gt;0, H46, IF(OR(#REF!=TRUE,#REF!= TRUE),"N/A", 0))</f>
        <v>#REF!</v>
      </c>
      <c r="AR120" s="69" t="e">
        <f>IF(OR(AND($H$6="Both",OR(AND(AG120=0,OR(NOT(ISBLANK(E120)),NOT(ISBLANK(F120)),NOT(ISBLANK(G120)),NOT(ISBLANK(H120)))),AND(AG120=1,#REF!="TRUE",OR(AN120&lt;&gt;0,AO120&lt;&gt;0,AP120&lt;&gt;0,AQ120&lt;&gt;0)),AND(AG120=1,#REF!="FALSE",OR(NOT(ISBLANK(E120)),NOT(ISBLANK(F120)),NOT(ISBLANK(G120)),NOT(ISBLANK(H120)))))),AND($H$6="CHIP",OR(NOT(ISBLANK(E120)),NOT(ISBLANK(F120)),NOT(ISBLANK(G120)),NOT(ISBLANK(H120)))),V120=1),1,0)</f>
        <v>#REF!</v>
      </c>
      <c r="AS120" s="69" t="e">
        <f>IF(AND(OR(OR(#REF!=TRUE,#REF!=TRUE),AND($H$6="Both",OR(AND(AG120=1,#REF!="TRUE",AT120=1,OR(AN120="Yes",AN120="N/A",AN120="Met")),AND(#REF!="FALSE",OR(AND(E120="Yes",NOT(ISBLANK(F120))),AND(E120="N/A",NOT(ISBLANK(H120))),AND(E120="Met",NOT(ISBLANK(F120))))))),AND($H$6="CHIP",OR(AND(E120="Yes",NOT(ISBLANK(F120))),AND(E120="N/A",NOT(ISBLANK(H120))),AND(E120="Met",NOT(ISBLANK(F120)))))),V120=1),1,0)</f>
        <v>#REF!</v>
      </c>
      <c r="AT120" s="69" t="e">
        <f t="shared" si="37"/>
        <v>#REF!</v>
      </c>
    </row>
    <row r="121" spans="1:46" ht="63.75" hidden="1" customHeight="1" x14ac:dyDescent="0.25">
      <c r="A121" s="294" t="s">
        <v>2288</v>
      </c>
      <c r="B121" s="263" t="s">
        <v>2289</v>
      </c>
      <c r="C121" s="295" t="str">
        <f t="shared" si="34"/>
        <v>The contract specifies that the state will deny payments for new enrollees when, and for so long as, payment for those enrollees is denied by CMS. CMS may deny payment to the state for new enrollees if its determination is not timely contested by the MCP.  [If there is no additional information related to the CHIP contract, this information only needs to be entered in Section I.J.5.17 .]</v>
      </c>
      <c r="D121" s="296"/>
      <c r="E121" s="295" t="s">
        <v>311</v>
      </c>
      <c r="F121" s="295" t="s">
        <v>319</v>
      </c>
      <c r="G121" s="295" t="s">
        <v>319</v>
      </c>
      <c r="H121" s="367" t="s">
        <v>319</v>
      </c>
      <c r="I121" s="92" t="s">
        <v>168</v>
      </c>
      <c r="J121" s="92"/>
      <c r="K121" s="92"/>
      <c r="L121" s="71"/>
      <c r="M121" s="71"/>
      <c r="N121" s="71"/>
      <c r="O121" s="71"/>
      <c r="P121" s="71" t="s">
        <v>380</v>
      </c>
      <c r="Q121" s="71" t="e">
        <f>IF(OR(AND($C$2="Base contract",$C$3="No, section requirements must be reviewed",#REF!= FALSE,#REF!=FALSE),AND($C$2="Contract amendment",$C$3="No, section requirements must be reviewed",#REF!=FALSE,#REF!=FALSE)),"MUNN")</f>
        <v>#REF!</v>
      </c>
      <c r="R121" s="71"/>
      <c r="S121" s="64">
        <v>43282</v>
      </c>
      <c r="T121" s="64"/>
      <c r="U121" s="64"/>
      <c r="V121" s="97" t="e">
        <f>IF(OR(AND(AG121=1,#REF!="TRUE",AT121=1),#REF!=TRUE,#REF!=TRUE),1,IF(AND(OR(AND(AG121=1,#REF!="FALSE"),AND(AG121&lt;&gt;1,#REF!="FALSE")),OR(AND(E121="Yes",F121&lt;&gt;""),AND(E121="N/A",H121&lt;&gt;""),AND(E121="Met",F121&lt;&gt;""),AND(E121="Not met",G121&lt;&gt;""),AND(E121="Unsure",G121&lt;&gt;""),AND(E121="No",G121&lt;&gt;""),AND(E121="No, submission is in draft",G121&lt;&gt;""))),1,0))</f>
        <v>#REF!</v>
      </c>
      <c r="W121" s="56" t="b">
        <f>IF(AND('Cover Sheet'!$B$19="Non-Risk",$R121=1),TRUE,FALSE)</f>
        <v>0</v>
      </c>
      <c r="X121" s="56"/>
      <c r="Y121" s="56"/>
      <c r="Z121" s="56"/>
      <c r="AA121" s="56"/>
      <c r="AB121" s="56"/>
      <c r="AC121" s="56"/>
      <c r="AD121" s="56"/>
      <c r="AE121" s="56"/>
      <c r="AF121" s="44" t="s">
        <v>2151</v>
      </c>
      <c r="AG121" s="98">
        <v>1</v>
      </c>
      <c r="AH121" s="75" t="str">
        <f t="shared" si="39"/>
        <v xml:space="preserve">I.J.5.17 </v>
      </c>
      <c r="AI121" s="44" t="str">
        <f t="shared" si="40"/>
        <v>The contract specifies that the state will deny payments for new enrollees when, and for so long as, payment for those enrollees is denied by CMS. CMS may deny payment to the state for new enrollees if its determination is not timely contested by the MCP.</v>
      </c>
      <c r="AJ121" s="57" t="b">
        <f t="shared" si="35"/>
        <v>1</v>
      </c>
      <c r="AK121" s="57">
        <f t="shared" si="36"/>
        <v>1</v>
      </c>
      <c r="AM121" s="69" t="str">
        <f t="shared" si="41"/>
        <v/>
      </c>
      <c r="AN121" s="69" t="e">
        <f>IF(E47 &lt;&gt;0, E47, IF(OR(#REF!=TRUE,#REF!= TRUE),"N/A", 0))</f>
        <v>#REF!</v>
      </c>
      <c r="AO121" s="69" t="e">
        <f>IF(F47 &lt;&gt;0, F47, IF(OR(#REF!=TRUE,#REF!= TRUE),"N/A", 0))</f>
        <v>#REF!</v>
      </c>
      <c r="AP121" s="69" t="e">
        <f>IF(G47 &lt;&gt;0, G47, IF(OR(#REF!=TRUE,#REF!= TRUE),"N/A", 0))</f>
        <v>#REF!</v>
      </c>
      <c r="AQ121" s="69" t="e">
        <f>IF(H47 &lt;&gt;0, H47, IF(OR(#REF!=TRUE,#REF!= TRUE),"N/A", 0))</f>
        <v>#REF!</v>
      </c>
      <c r="AR121" s="69" t="e">
        <f>IF(OR(AND($H$6="Both",OR(AND(AG121=0,OR(NOT(ISBLANK(E121)),NOT(ISBLANK(F121)),NOT(ISBLANK(G121)),NOT(ISBLANK(H121)))),AND(AG121=1,#REF!="TRUE",OR(AN121&lt;&gt;0,AO121&lt;&gt;0,AP121&lt;&gt;0,AQ121&lt;&gt;0)),AND(AG121=1,#REF!="FALSE",OR(NOT(ISBLANK(E121)),NOT(ISBLANK(F121)),NOT(ISBLANK(G121)),NOT(ISBLANK(H121)))))),AND($H$6="CHIP",OR(NOT(ISBLANK(E121)),NOT(ISBLANK(F121)),NOT(ISBLANK(G121)),NOT(ISBLANK(H121)))),V121=1),1,0)</f>
        <v>#REF!</v>
      </c>
      <c r="AS121" s="69" t="e">
        <f>IF(AND(OR(OR(#REF!=TRUE,#REF!=TRUE),AND($H$6="Both",OR(AND(AG121=1,#REF!="TRUE",AT121=1,OR(AN121="Yes",AN121="N/A",AN121="Met")),AND(#REF!="FALSE",OR(AND(E121="Yes",NOT(ISBLANK(F121))),AND(E121="N/A",NOT(ISBLANK(H121))),AND(E121="Met",NOT(ISBLANK(F121))))))),AND($H$6="CHIP",OR(AND(E121="Yes",NOT(ISBLANK(F121))),AND(E121="N/A",NOT(ISBLANK(H121))),AND(E121="Met",NOT(ISBLANK(F121)))))),V121=1),1,0)</f>
        <v>#REF!</v>
      </c>
      <c r="AT121" s="69" t="e">
        <f t="shared" si="37"/>
        <v>#REF!</v>
      </c>
    </row>
    <row r="122" spans="1:46" ht="106.5" hidden="1" customHeight="1" x14ac:dyDescent="0.25">
      <c r="A122" s="294" t="s">
        <v>2290</v>
      </c>
      <c r="B122" s="295" t="s">
        <v>2291</v>
      </c>
      <c r="C122" s="295" t="str">
        <f t="shared" si="34"/>
        <v>The contract specifies the circumstances under which the state will impose optional temporary management. Temporary management may only be imposed when the state finds, through onsite surveys, enrollee or other complaints, financial status, or any other source:
• There is continued egregious behavior by the MCP;
• There is substantial risk to enrollees’ health; or
• The sanction is necessary to ensure the health of the MCP’s enrollees in one of two circumstances:
o While improvements are made to remedy violations that require sanctions; or
o Until there is an orderly termination or reorganization of the MCP. 
  [If there is no additional information related to the CHIP contract, this information only needs to be entered in Section I.J.5.18 .]</v>
      </c>
      <c r="D122" s="296"/>
      <c r="E122" s="295" t="s">
        <v>311</v>
      </c>
      <c r="F122" s="295" t="s">
        <v>319</v>
      </c>
      <c r="G122" s="295" t="s">
        <v>319</v>
      </c>
      <c r="H122" s="367" t="s">
        <v>319</v>
      </c>
      <c r="I122" s="92" t="s">
        <v>168</v>
      </c>
      <c r="J122" s="92"/>
      <c r="K122" s="92"/>
      <c r="L122" s="71"/>
      <c r="M122" s="71"/>
      <c r="N122" s="71"/>
      <c r="O122" s="71"/>
      <c r="P122" s="71" t="s">
        <v>380</v>
      </c>
      <c r="Q122" s="71" t="e">
        <f>IF(OR(AND($C$2="Base contract",$C$3="No, section requirements must be reviewed",#REF!= FALSE,#REF!=FALSE),AND($C$2="Contract amendment",$C$3="No, section requirements must be reviewed",#REF!=FALSE,#REF!=FALSE)),"MUNN")</f>
        <v>#REF!</v>
      </c>
      <c r="R122" s="71"/>
      <c r="S122" s="64">
        <v>43282</v>
      </c>
      <c r="T122" s="64"/>
      <c r="U122" s="64"/>
      <c r="V122" s="97" t="e">
        <f>IF(OR(AND(AG122=1,#REF!="TRUE",AT122=1),#REF!=TRUE,#REF!=TRUE),1,IF(AND(OR(AND(AG122=1,#REF!="FALSE"),AND(AG122&lt;&gt;1,#REF!="FALSE")),OR(AND(E122="Yes",F122&lt;&gt;""),AND(E122="N/A",H122&lt;&gt;""),AND(E122="Met",F122&lt;&gt;""),AND(E122="Not met",G122&lt;&gt;""),AND(E122="Unsure",G122&lt;&gt;""),AND(E122="No",G122&lt;&gt;""),AND(E122="No, submission is in draft",G122&lt;&gt;""))),1,0))</f>
        <v>#REF!</v>
      </c>
      <c r="W122" s="56" t="b">
        <f>IF(AND('Cover Sheet'!$B$19="Non-Risk",$R122=1),TRUE,FALSE)</f>
        <v>0</v>
      </c>
      <c r="X122" s="56"/>
      <c r="Y122" s="56"/>
      <c r="Z122" s="56"/>
      <c r="AA122" s="56"/>
      <c r="AB122" s="56"/>
      <c r="AC122" s="56"/>
      <c r="AD122" s="56"/>
      <c r="AE122" s="56"/>
      <c r="AF122" s="44" t="s">
        <v>2292</v>
      </c>
      <c r="AG122" s="98">
        <v>1</v>
      </c>
      <c r="AH122" s="75" t="str">
        <f t="shared" si="39"/>
        <v xml:space="preserve">I.J.5.18 </v>
      </c>
      <c r="AI122" s="44" t="str">
        <f t="shared" si="40"/>
        <v xml:space="preserve">The contract specifies the circumstances under which the state will impose optional temporary management. Temporary management may only be imposed when the state finds, through on-site surveys, enrollee or other complaints, financial status, or any other source:
• There is continued egregious behavior by the MCP;
• There is substantial risk to enrollees’ health; or
• The sanction is necessary to ensure the health of the MCP’s enrollees in one of two circumstances:
o While improvements are made to remedy violations that require sanctions; or
o Until there is an orderly termination or reorganization of the MCP. 
</v>
      </c>
      <c r="AJ122" s="57" t="b">
        <f t="shared" si="35"/>
        <v>0</v>
      </c>
      <c r="AK122" s="57">
        <f t="shared" si="36"/>
        <v>1</v>
      </c>
      <c r="AM122" s="69" t="str">
        <f t="shared" si="41"/>
        <v/>
      </c>
      <c r="AN122" s="69" t="e">
        <f>IF(E48 &lt;&gt;0, E48, IF(OR(#REF!=TRUE,#REF!= TRUE),"N/A", 0))</f>
        <v>#REF!</v>
      </c>
      <c r="AO122" s="69" t="e">
        <f>IF(F48 &lt;&gt;0, F48, IF(OR(#REF!=TRUE,#REF!= TRUE),"N/A", 0))</f>
        <v>#REF!</v>
      </c>
      <c r="AP122" s="69" t="e">
        <f>IF(G48 &lt;&gt;0, G48, IF(OR(#REF!=TRUE,#REF!= TRUE),"N/A", 0))</f>
        <v>#REF!</v>
      </c>
      <c r="AQ122" s="69" t="e">
        <f>IF(H48 &lt;&gt;0, H48, IF(OR(#REF!=TRUE,#REF!= TRUE),"N/A", 0))</f>
        <v>#REF!</v>
      </c>
      <c r="AR122" s="69" t="e">
        <f>IF(OR(AND($H$6="Both",OR(AND(AG122=0,OR(NOT(ISBLANK(E122)),NOT(ISBLANK(F122)),NOT(ISBLANK(G122)),NOT(ISBLANK(H122)))),AND(AG122=1,#REF!="TRUE",OR(AN122&lt;&gt;0,AO122&lt;&gt;0,AP122&lt;&gt;0,AQ122&lt;&gt;0)),AND(AG122=1,#REF!="FALSE",OR(NOT(ISBLANK(E122)),NOT(ISBLANK(F122)),NOT(ISBLANK(G122)),NOT(ISBLANK(H122)))))),AND($H$6="CHIP",OR(NOT(ISBLANK(E122)),NOT(ISBLANK(F122)),NOT(ISBLANK(G122)),NOT(ISBLANK(H122)))),V122=1),1,0)</f>
        <v>#REF!</v>
      </c>
      <c r="AS122" s="69" t="e">
        <f>IF(AND(OR(OR(#REF!=TRUE,#REF!=TRUE),AND($H$6="Both",OR(AND(AG122=1,#REF!="TRUE",AT122=1,OR(AN122="Yes",AN122="N/A",AN122="Met")),AND(#REF!="FALSE",OR(AND(E122="Yes",NOT(ISBLANK(F122))),AND(E122="N/A",NOT(ISBLANK(H122))),AND(E122="Met",NOT(ISBLANK(F122))))))),AND($H$6="CHIP",OR(AND(E122="Yes",NOT(ISBLANK(F122))),AND(E122="N/A",NOT(ISBLANK(H122))),AND(E122="Met",NOT(ISBLANK(F122)))))),V122=1),1,0)</f>
        <v>#REF!</v>
      </c>
      <c r="AT122" s="69" t="e">
        <f t="shared" si="37"/>
        <v>#REF!</v>
      </c>
    </row>
    <row r="123" spans="1:46" ht="110.25" hidden="1" customHeight="1" x14ac:dyDescent="0.25">
      <c r="A123" s="294" t="s">
        <v>2293</v>
      </c>
      <c r="B123" s="263" t="s">
        <v>2294</v>
      </c>
      <c r="C123" s="295" t="str">
        <f t="shared" si="34"/>
        <v>The contract specifies that the state must impose mandatory temporary management when an MCP repeatedly fails to meet substantive requirements in sections 1903(m) or 1932 of the Act or 42 CFR 438. The state may not delay the imposition of temporary management to provide a hearing and may not terminate temporary management until it determines that the MCP can ensure the sanctioned behavior will not reoccur.   [If there is no additional information related to the CHIP contract, this information only needs to be entered in Section I.J.5.19 .]</v>
      </c>
      <c r="D123" s="296"/>
      <c r="E123" s="295" t="s">
        <v>311</v>
      </c>
      <c r="F123" s="295" t="s">
        <v>319</v>
      </c>
      <c r="G123" s="295" t="s">
        <v>319</v>
      </c>
      <c r="H123" s="367" t="s">
        <v>319</v>
      </c>
      <c r="I123" s="92" t="s">
        <v>168</v>
      </c>
      <c r="J123" s="92"/>
      <c r="K123" s="92"/>
      <c r="L123" s="71"/>
      <c r="M123" s="71"/>
      <c r="N123" s="71"/>
      <c r="O123" s="71"/>
      <c r="P123" s="71" t="s">
        <v>380</v>
      </c>
      <c r="Q123" s="71" t="e">
        <f>IF(OR(AND($C$2="Base contract",$C$3="No, section requirements must be reviewed",#REF!= FALSE,#REF!=FALSE),AND($C$2="Contract amendment",$C$3="No, section requirements must be reviewed",#REF!=FALSE,#REF!=FALSE)),"MUNN")</f>
        <v>#REF!</v>
      </c>
      <c r="R123" s="71"/>
      <c r="S123" s="64">
        <v>43282</v>
      </c>
      <c r="T123" s="64"/>
      <c r="U123" s="64"/>
      <c r="V123" s="97" t="e">
        <f>IF(OR(AND(AG123=1,#REF!="TRUE",AT123=1),#REF!=TRUE,#REF!=TRUE),1,IF(AND(OR(AND(AG123=1,#REF!="FALSE"),AND(AG123&lt;&gt;1,#REF!="FALSE")),OR(AND(E123="Yes",F123&lt;&gt;""),AND(E123="N/A",H123&lt;&gt;""),AND(E123="Met",F123&lt;&gt;""),AND(E123="Not met",G123&lt;&gt;""),AND(E123="Unsure",G123&lt;&gt;""),AND(E123="No",G123&lt;&gt;""),AND(E123="No, submission is in draft",G123&lt;&gt;""))),1,0))</f>
        <v>#REF!</v>
      </c>
      <c r="W123" s="56" t="b">
        <f>IF(AND('Cover Sheet'!$B$19="Non-Risk",$R123=1),TRUE,FALSE)</f>
        <v>0</v>
      </c>
      <c r="X123" s="56"/>
      <c r="Y123" s="56"/>
      <c r="Z123" s="56"/>
      <c r="AA123" s="56"/>
      <c r="AB123" s="56"/>
      <c r="AC123" s="56"/>
      <c r="AD123" s="56"/>
      <c r="AE123" s="56"/>
      <c r="AF123" s="44" t="s">
        <v>2295</v>
      </c>
      <c r="AG123" s="98">
        <v>1</v>
      </c>
      <c r="AH123" s="75" t="str">
        <f t="shared" si="39"/>
        <v xml:space="preserve">I.J.5.19 </v>
      </c>
      <c r="AI123" s="44" t="str">
        <f t="shared" si="40"/>
        <v xml:space="preserve">The contract specifies that the state must impose mandatory temporary management when an MCP repeatedly fails to meet substantive requirements in Sections 1903(m) or 1932 of the Act or 42 CFR Part 438. The state may not delay the imposition of temporary management to provide a hearing and may not terminate temporary management until it determines that the MCP can ensure the sanctioned behavior will not reoccur. </v>
      </c>
      <c r="AJ123" s="57" t="b">
        <f t="shared" si="35"/>
        <v>0</v>
      </c>
      <c r="AK123" s="57">
        <f t="shared" si="36"/>
        <v>1</v>
      </c>
      <c r="AM123" s="69" t="str">
        <f t="shared" si="41"/>
        <v/>
      </c>
      <c r="AN123" s="69" t="e">
        <f>IF(E49 &lt;&gt;0, E49, IF(OR(#REF!=TRUE,#REF!= TRUE),"N/A", 0))</f>
        <v>#REF!</v>
      </c>
      <c r="AO123" s="69" t="e">
        <f>IF(F49 &lt;&gt;0, F49, IF(OR(#REF!=TRUE,#REF!= TRUE),"N/A", 0))</f>
        <v>#REF!</v>
      </c>
      <c r="AP123" s="69" t="e">
        <f>IF(G49 &lt;&gt;0, G49, IF(OR(#REF!=TRUE,#REF!= TRUE),"N/A", 0))</f>
        <v>#REF!</v>
      </c>
      <c r="AQ123" s="69" t="e">
        <f>IF(H49 &lt;&gt;0, H49, IF(OR(#REF!=TRUE,#REF!= TRUE),"N/A", 0))</f>
        <v>#REF!</v>
      </c>
      <c r="AR123" s="69" t="e">
        <f>IF(OR(AND($H$6="Both",OR(AND(AG123=0,OR(NOT(ISBLANK(E123)),NOT(ISBLANK(F123)),NOT(ISBLANK(G123)),NOT(ISBLANK(H123)))),AND(AG123=1,#REF!="TRUE",OR(AN123&lt;&gt;0,AO123&lt;&gt;0,AP123&lt;&gt;0,AQ123&lt;&gt;0)),AND(AG123=1,#REF!="FALSE",OR(NOT(ISBLANK(E123)),NOT(ISBLANK(F123)),NOT(ISBLANK(G123)),NOT(ISBLANK(H123)))))),AND($H$6="CHIP",OR(NOT(ISBLANK(E123)),NOT(ISBLANK(F123)),NOT(ISBLANK(G123)),NOT(ISBLANK(H123)))),V123=1),1,0)</f>
        <v>#REF!</v>
      </c>
      <c r="AS123" s="69" t="e">
        <f>IF(AND(OR(OR(#REF!=TRUE,#REF!=TRUE),AND($H$6="Both",OR(AND(AG123=1,#REF!="TRUE",AT123=1,OR(AN123="Yes",AN123="N/A",AN123="Met")),AND(#REF!="FALSE",OR(AND(E123="Yes",NOT(ISBLANK(F123))),AND(E123="N/A",NOT(ISBLANK(H123))),AND(E123="Met",NOT(ISBLANK(F123))))))),AND($H$6="CHIP",OR(AND(E123="Yes",NOT(ISBLANK(F123))),AND(E123="N/A",NOT(ISBLANK(H123))),AND(E123="Met",NOT(ISBLANK(F123)))))),V123=1),1,0)</f>
        <v>#REF!</v>
      </c>
      <c r="AT123" s="69" t="e">
        <f t="shared" si="37"/>
        <v>#REF!</v>
      </c>
    </row>
    <row r="124" spans="1:46" ht="105.75" hidden="1" customHeight="1" x14ac:dyDescent="0.25">
      <c r="A124" s="294" t="s">
        <v>2296</v>
      </c>
      <c r="B124" s="295" t="s">
        <v>2297</v>
      </c>
      <c r="C124" s="295" t="s">
        <v>2298</v>
      </c>
      <c r="D124" s="296"/>
      <c r="E124" s="295" t="s">
        <v>311</v>
      </c>
      <c r="F124" s="295" t="s">
        <v>319</v>
      </c>
      <c r="G124" s="295" t="s">
        <v>319</v>
      </c>
      <c r="H124" s="367" t="s">
        <v>319</v>
      </c>
      <c r="I124" s="92" t="s">
        <v>168</v>
      </c>
      <c r="J124" s="92"/>
      <c r="K124" s="92"/>
      <c r="L124" s="71"/>
      <c r="M124" s="71"/>
      <c r="N124" s="71"/>
      <c r="O124" s="71"/>
      <c r="P124" s="71" t="s">
        <v>380</v>
      </c>
      <c r="Q124" s="71" t="e">
        <f>IF(OR(AND($C$2="Base contract",$C$3="No, section requirements must be reviewed",#REF!= FALSE,#REF!=FALSE),AND($C$2="Contract amendment",$C$3="No, section requirements must be reviewed",#REF!=FALSE,#REF!=FALSE)),"MUNN")</f>
        <v>#REF!</v>
      </c>
      <c r="R124" s="71"/>
      <c r="S124" s="64">
        <v>43282</v>
      </c>
      <c r="T124" s="64"/>
      <c r="U124" s="64"/>
      <c r="V124" s="97" t="e">
        <f>IF(OR(AND(AG124=1,#REF!="TRUE",AT124=1),#REF!=TRUE,#REF!=TRUE),1,IF(AND(OR(AND(AG124=1,#REF!="FALSE"),AND(AG124&lt;&gt;1,#REF!="FALSE")),OR(AND(E124="Yes",F124&lt;&gt;""),AND(E124="N/A",H124&lt;&gt;""),AND(E124="Met",F124&lt;&gt;""),AND(E124="Not met",G124&lt;&gt;""),AND(E124="Unsure",G124&lt;&gt;""),AND(E124="No",G124&lt;&gt;""),AND(E124="No, submission is in draft",G124&lt;&gt;""))),1,0))</f>
        <v>#REF!</v>
      </c>
      <c r="W124" s="56" t="b">
        <f>IF(AND('Cover Sheet'!$B$19="Non-Risk",$R124=1),TRUE,FALSE)</f>
        <v>0</v>
      </c>
      <c r="X124" s="56"/>
      <c r="Y124" s="56"/>
      <c r="Z124" s="56"/>
      <c r="AA124" s="56"/>
      <c r="AB124" s="56"/>
      <c r="AC124" s="56"/>
      <c r="AD124" s="56"/>
      <c r="AE124" s="56"/>
      <c r="AF124" s="79"/>
      <c r="AG124" s="98">
        <v>0</v>
      </c>
      <c r="AH124" s="108"/>
      <c r="AI124" s="79"/>
      <c r="AJ124" s="57" t="str">
        <f t="shared" si="35"/>
        <v/>
      </c>
      <c r="AK124" s="57">
        <f t="shared" si="36"/>
        <v>0</v>
      </c>
      <c r="AM124" s="69" t="str">
        <f t="shared" si="41"/>
        <v/>
      </c>
      <c r="AR124" s="69" t="e">
        <f>IF(OR(AND($H$6="Both",OR(AND(AG124=0,OR(NOT(ISBLANK(E124)),NOT(ISBLANK(F124)),NOT(ISBLANK(G124)),NOT(ISBLANK(H124)))),AND(AG124=1,#REF!="TRUE",OR(AN124&lt;&gt;0,AO124&lt;&gt;0,AP124&lt;&gt;0,AQ124&lt;&gt;0)),AND(AG124=1,#REF!="FALSE",OR(NOT(ISBLANK(E124)),NOT(ISBLANK(F124)),NOT(ISBLANK(G124)),NOT(ISBLANK(H124)))))),AND($H$6="CHIP",OR(NOT(ISBLANK(E124)),NOT(ISBLANK(F124)),NOT(ISBLANK(G124)),NOT(ISBLANK(H124)))),V124=1),1,0)</f>
        <v>#REF!</v>
      </c>
      <c r="AS124" s="69" t="e">
        <f>IF(AND(OR(OR(#REF!=TRUE,#REF!=TRUE),AND($H$6="Both",OR(AND(AG124=1,#REF!="TRUE",AT124=1,OR(AN124="Yes",AN124="N/A",AN124="Met")),AND(#REF!="FALSE",OR(AND(E124="Yes",NOT(ISBLANK(F124))),AND(E124="N/A",NOT(ISBLANK(H124))),AND(E124="Met",NOT(ISBLANK(F124))))))),AND($H$6="CHIP",OR(AND(E124="Yes",NOT(ISBLANK(F124))),AND(E124="N/A",NOT(ISBLANK(H124))),AND(E124="Met",NOT(ISBLANK(F124)))))),V124=1),1,0)</f>
        <v>#REF!</v>
      </c>
      <c r="AT124" s="69">
        <f t="shared" si="37"/>
        <v>0</v>
      </c>
    </row>
    <row r="125" spans="1:46" ht="15.75" hidden="1" customHeight="1" x14ac:dyDescent="0.25">
      <c r="A125" s="357"/>
      <c r="B125" s="358"/>
      <c r="C125" s="359" t="s">
        <v>2299</v>
      </c>
      <c r="D125" s="360"/>
      <c r="E125" s="361"/>
      <c r="F125" s="361"/>
      <c r="G125" s="361"/>
      <c r="H125" s="362"/>
      <c r="I125" s="74"/>
      <c r="J125" s="74"/>
      <c r="K125" s="74"/>
      <c r="L125" s="87"/>
      <c r="M125" s="87"/>
      <c r="S125" s="116"/>
      <c r="T125" s="116"/>
      <c r="U125" s="116"/>
      <c r="V125" s="126"/>
      <c r="W125" s="68"/>
      <c r="X125" s="68"/>
      <c r="Y125" s="68"/>
      <c r="Z125" s="68"/>
      <c r="AA125" s="68"/>
      <c r="AB125" s="68"/>
      <c r="AC125" s="68"/>
      <c r="AD125" s="68"/>
      <c r="AE125" s="68"/>
      <c r="AF125" s="109"/>
      <c r="AG125" s="110"/>
      <c r="AI125" s="109"/>
    </row>
    <row r="126" spans="1:46" ht="77.25" hidden="1" customHeight="1" x14ac:dyDescent="0.25">
      <c r="A126" s="294" t="s">
        <v>2300</v>
      </c>
      <c r="B126" s="295" t="s">
        <v>2301</v>
      </c>
      <c r="C126" s="295" t="str">
        <f t="shared" si="34"/>
        <v>The contract specifies that the state may terminate an MCP contract, and place enrollees into a different MCP or provide CHIP benefits through other state plan authority, if the state determines that the MCP has failed to carry out the substantive terms of its contracts or meet the applicable requirements of sections 1932, 1903(m) or 1905(t) of the Act.   [If there is no additional information related to the CHIP contract, this information only needs to be entered in Section I.J.6.01 .]</v>
      </c>
      <c r="D126" s="296"/>
      <c r="E126" s="295" t="s">
        <v>311</v>
      </c>
      <c r="F126" s="295" t="s">
        <v>319</v>
      </c>
      <c r="G126" s="295" t="s">
        <v>319</v>
      </c>
      <c r="H126" s="367" t="s">
        <v>319</v>
      </c>
      <c r="I126" s="92" t="s">
        <v>168</v>
      </c>
      <c r="J126" s="92"/>
      <c r="K126" s="92"/>
      <c r="L126" s="71"/>
      <c r="M126" s="71"/>
      <c r="N126" s="71"/>
      <c r="O126" s="71"/>
      <c r="P126" s="71" t="s">
        <v>380</v>
      </c>
      <c r="Q126" s="71" t="e">
        <f>IF(OR(AND($C$2="Base contract",$C$3="No, section requirements must be reviewed",#REF!= FALSE,#REF!=FALSE),AND($C$2="Contract amendment",$C$3="No, section requirements must be reviewed",#REF!=FALSE,#REF!=FALSE)),"MUNN")</f>
        <v>#REF!</v>
      </c>
      <c r="R126" s="71"/>
      <c r="S126" s="64">
        <v>43282</v>
      </c>
      <c r="T126" s="64"/>
      <c r="U126" s="64"/>
      <c r="V126" s="97" t="e">
        <f>IF(OR(AND(AG126=1,#REF!="TRUE",AT126=1),#REF!=TRUE,#REF!=TRUE),1,IF(AND(OR(AND(AG126=1,#REF!="FALSE"),AND(AG126&lt;&gt;1,#REF!="FALSE")),OR(AND(E126="Yes",F126&lt;&gt;""),AND(E126="N/A",H126&lt;&gt;""),AND(E126="Met",F126&lt;&gt;""),AND(E126="Not met",G126&lt;&gt;""),AND(E126="Unsure",G126&lt;&gt;""),AND(E126="No",G126&lt;&gt;""),AND(E126="No, submission is in draft",G126&lt;&gt;""))),1,0))</f>
        <v>#REF!</v>
      </c>
      <c r="W126" s="56" t="b">
        <f>IF(AND('Cover Sheet'!$B$19="Non-Risk",$R126=1),TRUE,FALSE)</f>
        <v>0</v>
      </c>
      <c r="X126" s="56"/>
      <c r="Y126" s="56"/>
      <c r="Z126" s="56"/>
      <c r="AA126" s="56"/>
      <c r="AB126" s="56"/>
      <c r="AC126" s="56"/>
      <c r="AD126" s="56"/>
      <c r="AE126" s="56"/>
      <c r="AF126" s="44" t="s">
        <v>2302</v>
      </c>
      <c r="AG126" s="98">
        <v>1</v>
      </c>
      <c r="AH126" s="75" t="str">
        <f>A52</f>
        <v xml:space="preserve">I.J.6.01 </v>
      </c>
      <c r="AI126" s="44" t="str">
        <f>C52</f>
        <v xml:space="preserve">The contract specifies that the state may terminate the MCP contract, and place enrollees into a different MCP or provide Medicaid benefits through other state plan authority, if the state determines that the MCP has failed to carry out the substantive terms of its contracts or meet the applicable requirements of Sections 1932, 1903(m) or 1905(t) of the Act. </v>
      </c>
      <c r="AJ126" s="57" t="b">
        <f t="shared" si="35"/>
        <v>0</v>
      </c>
      <c r="AK126" s="57">
        <f t="shared" si="36"/>
        <v>1</v>
      </c>
      <c r="AM126" s="69" t="str">
        <f>IF(AL126=1,1,"")</f>
        <v/>
      </c>
      <c r="AN126" s="69" t="e">
        <f>IF(E52 &lt;&gt;0, E52, IF(OR(#REF!=TRUE,#REF!= TRUE),"N/A", 0))</f>
        <v>#REF!</v>
      </c>
      <c r="AO126" s="69" t="e">
        <f>IF(F52 &lt;&gt;0, F52, IF(OR(#REF!=TRUE,#REF!= TRUE),"N/A", 0))</f>
        <v>#REF!</v>
      </c>
      <c r="AP126" s="69" t="e">
        <f>IF(G52 &lt;&gt;0, G52, IF(OR(#REF!=TRUE,#REF!= TRUE),"N/A", 0))</f>
        <v>#REF!</v>
      </c>
      <c r="AQ126" s="69" t="e">
        <f>IF(H52 &lt;&gt;0, H52, IF(OR(#REF!=TRUE,#REF!= TRUE),"N/A", 0))</f>
        <v>#REF!</v>
      </c>
      <c r="AR126" s="69" t="e">
        <f>IF(OR(AND($H$6="Both",OR(AND(AG126=0,OR(NOT(ISBLANK(E126)),NOT(ISBLANK(F126)),NOT(ISBLANK(G126)),NOT(ISBLANK(H126)))),AND(AG126=1,#REF!="TRUE",OR(AN126&lt;&gt;0,AO126&lt;&gt;0,AP126&lt;&gt;0,AQ126&lt;&gt;0)),AND(AG126=1,#REF!="FALSE",OR(NOT(ISBLANK(E126)),NOT(ISBLANK(F126)),NOT(ISBLANK(G126)),NOT(ISBLANK(H126)))))),AND($H$6="CHIP",OR(NOT(ISBLANK(E126)),NOT(ISBLANK(F126)),NOT(ISBLANK(G126)),NOT(ISBLANK(H126)))),V126=1),1,0)</f>
        <v>#REF!</v>
      </c>
      <c r="AS126" s="69" t="e">
        <f>IF(AND(OR(OR(#REF!=TRUE,#REF!=TRUE),AND($H$6="Both",OR(AND(AG126=1,#REF!="TRUE",AT126=1,OR(AN126="Yes",AN126="N/A",AN126="Met")),AND(#REF!="FALSE",OR(AND(E126="Yes",NOT(ISBLANK(F126))),AND(E126="N/A",NOT(ISBLANK(H126))),AND(E126="Met",NOT(ISBLANK(F126))))))),AND($H$6="CHIP",OR(AND(E126="Yes",NOT(ISBLANK(F126))),AND(E126="N/A",NOT(ISBLANK(H126))),AND(E126="Met",NOT(ISBLANK(F126)))))),V126=1),1,0)</f>
        <v>#REF!</v>
      </c>
      <c r="AT126" s="69" t="e">
        <f t="shared" si="37"/>
        <v>#REF!</v>
      </c>
    </row>
    <row r="127" spans="1:46" ht="15.75" hidden="1" customHeight="1" x14ac:dyDescent="0.25">
      <c r="A127" s="357"/>
      <c r="B127" s="358"/>
      <c r="C127" s="359" t="s">
        <v>2303</v>
      </c>
      <c r="D127" s="360"/>
      <c r="E127" s="361"/>
      <c r="F127" s="361"/>
      <c r="G127" s="361"/>
      <c r="H127" s="362"/>
      <c r="I127" s="74"/>
      <c r="J127" s="74"/>
      <c r="K127" s="74"/>
      <c r="L127" s="87"/>
      <c r="M127" s="87"/>
      <c r="S127" s="116"/>
      <c r="T127" s="116"/>
      <c r="U127" s="116"/>
      <c r="V127" s="126"/>
      <c r="W127" s="68"/>
      <c r="X127" s="68"/>
      <c r="Y127" s="68"/>
      <c r="Z127" s="68"/>
      <c r="AA127" s="68"/>
      <c r="AB127" s="68"/>
      <c r="AC127" s="68"/>
      <c r="AD127" s="68"/>
      <c r="AE127" s="68"/>
      <c r="AF127" s="109"/>
      <c r="AG127" s="110"/>
      <c r="AI127" s="109"/>
    </row>
    <row r="128" spans="1:46" ht="51" hidden="1" customHeight="1" x14ac:dyDescent="0.25">
      <c r="A128" s="294" t="s">
        <v>2304</v>
      </c>
      <c r="B128" s="295" t="s">
        <v>2305</v>
      </c>
      <c r="C128" s="295" t="str">
        <f t="shared" si="34"/>
        <v>The contract specifies that CHIP enrollees are not held liable for the MCP’s debts, in the event the MCP becomes insolvent.   [If there is no additional information related to the CHIP contract, this information only needs to be entered in Section I.J.7.01 .]</v>
      </c>
      <c r="D128" s="296"/>
      <c r="E128" s="295" t="s">
        <v>311</v>
      </c>
      <c r="F128" s="295" t="s">
        <v>319</v>
      </c>
      <c r="G128" s="295" t="s">
        <v>319</v>
      </c>
      <c r="H128" s="367" t="s">
        <v>319</v>
      </c>
      <c r="I128" s="92" t="s">
        <v>168</v>
      </c>
      <c r="J128" s="92"/>
      <c r="K128" s="92" t="s">
        <v>185</v>
      </c>
      <c r="L128" s="71" t="s">
        <v>190</v>
      </c>
      <c r="M128" s="71" t="s">
        <v>195</v>
      </c>
      <c r="N128" s="71"/>
      <c r="O128" s="71"/>
      <c r="P128" s="71" t="s">
        <v>380</v>
      </c>
      <c r="Q128" s="71" t="e">
        <f>IF(OR(AND($C$2="Base contract",$C$3="No, section requirements must be reviewed",#REF!= FALSE,#REF!=FALSE),AND($C$2="Contract amendment",$C$3="No, section requirements must be reviewed",#REF!=FALSE,#REF!=FALSE)),"MUNN")</f>
        <v>#REF!</v>
      </c>
      <c r="R128" s="71"/>
      <c r="S128" s="64">
        <v>43282</v>
      </c>
      <c r="T128" s="64"/>
      <c r="U128" s="64"/>
      <c r="V128" s="97" t="e">
        <f>IF(OR(AND(AG128=1,#REF!="TRUE",AT128=1),#REF!=TRUE,#REF!=TRUE),1,IF(AND(OR(AND(AG128=1,#REF!="FALSE"),AND(AG128&lt;&gt;1,#REF!="FALSE")),OR(AND(E128="Yes",F128&lt;&gt;""),AND(E128="N/A",H128&lt;&gt;""),AND(E128="Met",F128&lt;&gt;""),AND(E128="Not met",G128&lt;&gt;""),AND(E128="Unsure",G128&lt;&gt;""),AND(E128="No",G128&lt;&gt;""),AND(E128="No, submission is in draft",G128&lt;&gt;""))),1,0))</f>
        <v>#REF!</v>
      </c>
      <c r="W128" s="56" t="b">
        <f>IF(AND('Cover Sheet'!$B$19="Non-Risk",$R128=1),TRUE,FALSE)</f>
        <v>0</v>
      </c>
      <c r="X128" s="56"/>
      <c r="Y128" s="56"/>
      <c r="Z128" s="56"/>
      <c r="AA128" s="56"/>
      <c r="AB128" s="56"/>
      <c r="AC128" s="56"/>
      <c r="AD128" s="56"/>
      <c r="AE128" s="56"/>
      <c r="AF128" s="44" t="s">
        <v>2306</v>
      </c>
      <c r="AG128" s="98">
        <v>1</v>
      </c>
      <c r="AH128" s="75" t="str">
        <f>A54</f>
        <v xml:space="preserve">I.J.7.01 </v>
      </c>
      <c r="AI128" s="44" t="str">
        <f>C54</f>
        <v xml:space="preserve">The contract specifies that Medicaid enrollees are not held liable for the MCP’s debts in the event the MCP becomes insolvent. </v>
      </c>
      <c r="AJ128" s="57" t="b">
        <f t="shared" si="35"/>
        <v>0</v>
      </c>
      <c r="AK128" s="57">
        <f t="shared" si="36"/>
        <v>1</v>
      </c>
      <c r="AM128" s="69" t="str">
        <f t="shared" ref="AM128:AM134" si="42">IF(AL128=1,1,"")</f>
        <v/>
      </c>
      <c r="AN128" s="69" t="e">
        <f>IF(E54 &lt;&gt;0, E54, IF(OR(#REF!=TRUE,#REF!= TRUE),"N/A", 0))</f>
        <v>#REF!</v>
      </c>
      <c r="AO128" s="69" t="e">
        <f>IF(F54 &lt;&gt;0, F54, IF(OR(#REF!=TRUE,#REF!= TRUE),"N/A", 0))</f>
        <v>#REF!</v>
      </c>
      <c r="AP128" s="69" t="e">
        <f>IF(G54 &lt;&gt;0, G54, IF(OR(#REF!=TRUE,#REF!= TRUE),"N/A", 0))</f>
        <v>#REF!</v>
      </c>
      <c r="AQ128" s="69" t="e">
        <f>IF(H54 &lt;&gt;0, H54, IF(OR(#REF!=TRUE,#REF!= TRUE),"N/A", 0))</f>
        <v>#REF!</v>
      </c>
      <c r="AR128" s="69" t="e">
        <f>IF(OR(AND($H$6="Both",OR(AND(AG128=0,OR(NOT(ISBLANK(E128)),NOT(ISBLANK(F128)),NOT(ISBLANK(G128)),NOT(ISBLANK(H128)))),AND(AG128=1,#REF!="TRUE",OR(AN128&lt;&gt;0,AO128&lt;&gt;0,AP128&lt;&gt;0,AQ128&lt;&gt;0)),AND(AG128=1,#REF!="FALSE",OR(NOT(ISBLANK(E128)),NOT(ISBLANK(F128)),NOT(ISBLANK(G128)),NOT(ISBLANK(H128)))))),AND($H$6="CHIP",OR(NOT(ISBLANK(E128)),NOT(ISBLANK(F128)),NOT(ISBLANK(G128)),NOT(ISBLANK(H128)))),V128=1),1,0)</f>
        <v>#REF!</v>
      </c>
      <c r="AS128" s="69" t="e">
        <f>IF(AND(OR(OR(#REF!=TRUE,#REF!=TRUE),AND($H$6="Both",OR(AND(AG128=1,#REF!="TRUE",AT128=1,OR(AN128="Yes",AN128="N/A",AN128="Met")),AND(#REF!="FALSE",OR(AND(E128="Yes",NOT(ISBLANK(F128))),AND(E128="N/A",NOT(ISBLANK(H128))),AND(E128="Met",NOT(ISBLANK(F128))))))),AND($H$6="CHIP",OR(AND(E128="Yes",NOT(ISBLANK(F128))),AND(E128="N/A",NOT(ISBLANK(H128))),AND(E128="Met",NOT(ISBLANK(F128)))))),V128=1),1,0)</f>
        <v>#REF!</v>
      </c>
      <c r="AT128" s="69" t="e">
        <f t="shared" si="37"/>
        <v>#REF!</v>
      </c>
    </row>
    <row r="129" spans="1:46" ht="51" hidden="1" customHeight="1" x14ac:dyDescent="0.25">
      <c r="A129" s="294" t="s">
        <v>2307</v>
      </c>
      <c r="B129" s="295" t="s">
        <v>2308</v>
      </c>
      <c r="C129" s="295" t="str">
        <f t="shared" si="34"/>
        <v>The contract specifies that CHIP enrollees are not held liable for covered services provided to the enrollee, for which the state does not pay the MCP.  [If there is no additional information related to the CHIP contract, this information only needs to be entered in Section I.J.7.02.]</v>
      </c>
      <c r="D129" s="296"/>
      <c r="E129" s="295" t="s">
        <v>311</v>
      </c>
      <c r="F129" s="295" t="s">
        <v>319</v>
      </c>
      <c r="G129" s="295" t="s">
        <v>319</v>
      </c>
      <c r="H129" s="367" t="s">
        <v>319</v>
      </c>
      <c r="I129" s="92" t="s">
        <v>168</v>
      </c>
      <c r="J129" s="92"/>
      <c r="K129" s="92" t="s">
        <v>185</v>
      </c>
      <c r="L129" s="71" t="s">
        <v>190</v>
      </c>
      <c r="M129" s="71" t="s">
        <v>195</v>
      </c>
      <c r="N129" s="71"/>
      <c r="O129" s="71"/>
      <c r="P129" s="71" t="s">
        <v>380</v>
      </c>
      <c r="Q129" s="71" t="e">
        <f>IF(OR(AND($C$2="Base contract",$C$3="No, section requirements must be reviewed",#REF!= FALSE,#REF!=FALSE),AND($C$2="Contract amendment",$C$3="No, section requirements must be reviewed",#REF!=FALSE,#REF!=FALSE)),"MUNN")</f>
        <v>#REF!</v>
      </c>
      <c r="R129" s="71"/>
      <c r="S129" s="64">
        <v>43282</v>
      </c>
      <c r="T129" s="64"/>
      <c r="U129" s="64"/>
      <c r="V129" s="97" t="e">
        <f>IF(OR(AND(AG129=1,#REF!="TRUE",AT129=1),#REF!=TRUE,#REF!=TRUE),1,IF(AND(OR(AND(AG129=1,#REF!="FALSE"),AND(AG129&lt;&gt;1,#REF!="FALSE")),OR(AND(E129="Yes",F129&lt;&gt;""),AND(E129="N/A",H129&lt;&gt;""),AND(E129="Met",F129&lt;&gt;""),AND(E129="Not met",G129&lt;&gt;""),AND(E129="Unsure",G129&lt;&gt;""),AND(E129="No",G129&lt;&gt;""),AND(E129="No, submission is in draft",G129&lt;&gt;""))),1,0))</f>
        <v>#REF!</v>
      </c>
      <c r="W129" s="56" t="b">
        <f>IF(AND('Cover Sheet'!$B$19="Non-Risk",$R129=1),TRUE,FALSE)</f>
        <v>0</v>
      </c>
      <c r="X129" s="56"/>
      <c r="Y129" s="56"/>
      <c r="Z129" s="56"/>
      <c r="AA129" s="56"/>
      <c r="AB129" s="56"/>
      <c r="AC129" s="56"/>
      <c r="AD129" s="56"/>
      <c r="AE129" s="56"/>
      <c r="AF129" s="44" t="s">
        <v>2309</v>
      </c>
      <c r="AG129" s="98">
        <v>1</v>
      </c>
      <c r="AH129" s="75" t="str">
        <f>A55</f>
        <v>I.J.7.02</v>
      </c>
      <c r="AI129" s="44" t="str">
        <f>C55</f>
        <v>The contract specifies that Medicaid enrollees are not held liable for covered services provided to the enrollee, for which the state does not pay the MCP.</v>
      </c>
      <c r="AJ129" s="57" t="b">
        <f t="shared" si="35"/>
        <v>0</v>
      </c>
      <c r="AK129" s="57">
        <f t="shared" si="36"/>
        <v>1</v>
      </c>
      <c r="AM129" s="69" t="str">
        <f t="shared" si="42"/>
        <v/>
      </c>
      <c r="AN129" s="69" t="e">
        <f>IF(E55 &lt;&gt;0, E55, IF(OR(#REF!=TRUE,#REF!= TRUE),"N/A", 0))</f>
        <v>#REF!</v>
      </c>
      <c r="AO129" s="69" t="e">
        <f>IF(F55 &lt;&gt;0, F55, IF(OR(#REF!=TRUE,#REF!= TRUE),"N/A", 0))</f>
        <v>#REF!</v>
      </c>
      <c r="AP129" s="69" t="e">
        <f>IF(G55 &lt;&gt;0, G55, IF(OR(#REF!=TRUE,#REF!= TRUE),"N/A", 0))</f>
        <v>#REF!</v>
      </c>
      <c r="AQ129" s="69" t="e">
        <f>IF(H55 &lt;&gt;0, H55, IF(OR(#REF!=TRUE,#REF!= TRUE),"N/A", 0))</f>
        <v>#REF!</v>
      </c>
      <c r="AR129" s="69" t="e">
        <f>IF(OR(AND($H$6="Both",OR(AND(AG129=0,OR(NOT(ISBLANK(E129)),NOT(ISBLANK(F129)),NOT(ISBLANK(G129)),NOT(ISBLANK(H129)))),AND(AG129=1,#REF!="TRUE",OR(AN129&lt;&gt;0,AO129&lt;&gt;0,AP129&lt;&gt;0,AQ129&lt;&gt;0)),AND(AG129=1,#REF!="FALSE",OR(NOT(ISBLANK(E129)),NOT(ISBLANK(F129)),NOT(ISBLANK(G129)),NOT(ISBLANK(H129)))))),AND($H$6="CHIP",OR(NOT(ISBLANK(E129)),NOT(ISBLANK(F129)),NOT(ISBLANK(G129)),NOT(ISBLANK(H129)))),V129=1),1,0)</f>
        <v>#REF!</v>
      </c>
      <c r="AS129" s="69" t="e">
        <f>IF(AND(OR(OR(#REF!=TRUE,#REF!=TRUE),AND($H$6="Both",OR(AND(AG129=1,#REF!="TRUE",AT129=1,OR(AN129="Yes",AN129="N/A",AN129="Met")),AND(#REF!="FALSE",OR(AND(E129="Yes",NOT(ISBLANK(F129))),AND(E129="N/A",NOT(ISBLANK(H129))),AND(E129="Met",NOT(ISBLANK(F129))))))),AND($H$6="CHIP",OR(AND(E129="Yes",NOT(ISBLANK(F129))),AND(E129="N/A",NOT(ISBLANK(H129))),AND(E129="Met",NOT(ISBLANK(F129)))))),V129=1),1,0)</f>
        <v>#REF!</v>
      </c>
      <c r="AT129" s="69" t="e">
        <f t="shared" si="37"/>
        <v>#REF!</v>
      </c>
    </row>
    <row r="130" spans="1:46" ht="51" hidden="1" customHeight="1" x14ac:dyDescent="0.25">
      <c r="A130" s="294" t="s">
        <v>2307</v>
      </c>
      <c r="B130" s="295" t="s">
        <v>2308</v>
      </c>
      <c r="C130" s="295" t="s">
        <v>2309</v>
      </c>
      <c r="D130" s="296"/>
      <c r="E130" s="263" t="s">
        <v>311</v>
      </c>
      <c r="F130" s="295" t="s">
        <v>319</v>
      </c>
      <c r="G130" s="295" t="s">
        <v>319</v>
      </c>
      <c r="H130" s="367" t="s">
        <v>319</v>
      </c>
      <c r="I130" s="92"/>
      <c r="J130" s="92"/>
      <c r="K130" s="92"/>
      <c r="L130" s="71"/>
      <c r="M130" s="71"/>
      <c r="N130" s="71"/>
      <c r="O130" s="71" t="s">
        <v>200</v>
      </c>
      <c r="P130" s="71" t="s">
        <v>380</v>
      </c>
      <c r="Q130" s="71" t="e">
        <f>IF(OR(AND($C$2="Base contract",$C$3="No, section requirements must be reviewed",#REF!= FALSE,#REF!=FALSE),AND($C$2="Contract amendment",$C$3="No, section requirements must be reviewed",#REF!=FALSE,#REF!=FALSE)),"MUNN")</f>
        <v>#REF!</v>
      </c>
      <c r="R130" s="71"/>
      <c r="S130" s="64">
        <v>44179</v>
      </c>
      <c r="T130" s="64"/>
      <c r="U130" s="64"/>
      <c r="V130" s="97" t="e">
        <f>IF(OR(AND(AG130=1,#REF!="TRUE",AT130=1),#REF!=TRUE,#REF!=TRUE),1,IF(AND(OR(AND(AG130=1,#REF!="FALSE"),AND(AG130&lt;&gt;1,#REF!="FALSE")),OR(AND(E130="Yes",F130&lt;&gt;""),AND(E130="N/A",H130&lt;&gt;""),AND(E130="Met",F130&lt;&gt;""),AND(E130="Not met",G130&lt;&gt;""),AND(E130="Unsure",G130&lt;&gt;""),AND(E130="No",G130&lt;&gt;""),AND(E130="No, submission is in draft",G130&lt;&gt;""))),1,0))</f>
        <v>#REF!</v>
      </c>
      <c r="W130" s="56" t="b">
        <f>IF(AND('Cover Sheet'!$B$19="Non-Risk",$R130=1),TRUE,FALSE)</f>
        <v>0</v>
      </c>
      <c r="X130" s="56"/>
      <c r="Y130" s="56"/>
      <c r="Z130" s="56"/>
      <c r="AA130" s="56"/>
      <c r="AB130" s="56"/>
      <c r="AC130" s="56"/>
      <c r="AD130" s="56"/>
      <c r="AE130" s="56"/>
      <c r="AF130" s="44" t="s">
        <v>2309</v>
      </c>
      <c r="AG130" s="98">
        <v>0</v>
      </c>
      <c r="AH130" s="108"/>
      <c r="AI130" s="79"/>
      <c r="AJ130" s="57" t="str">
        <f>IF(AG130=1,AI130=AF130,"")</f>
        <v/>
      </c>
      <c r="AK130" s="57">
        <f>IF($AG$2=1, IF(AG130=1,1,0),0)</f>
        <v>0</v>
      </c>
      <c r="AM130" s="69" t="str">
        <f>IF(AL130=1,1,"")</f>
        <v/>
      </c>
      <c r="AR130" s="69" t="e">
        <f>IF(OR(AND($H$6="Both",OR(AND(AG130=0,OR(NOT(ISBLANK(E130)),NOT(ISBLANK(F130)),NOT(ISBLANK(G130)),NOT(ISBLANK(H130)))),AND(AG130=1,#REF!="TRUE",OR(AN130&lt;&gt;0,AO130&lt;&gt;0,AP130&lt;&gt;0,AQ130&lt;&gt;0)),AND(AG130=1,#REF!="FALSE",OR(NOT(ISBLANK(E130)),NOT(ISBLANK(F130)),NOT(ISBLANK(G130)),NOT(ISBLANK(H130)))))),AND($H$6="CHIP",OR(NOT(ISBLANK(E130)),NOT(ISBLANK(F130)),NOT(ISBLANK(G130)),NOT(ISBLANK(H130)))),V130=1),1,0)</f>
        <v>#REF!</v>
      </c>
      <c r="AS130" s="69" t="e">
        <f>IF(AND(OR(OR(#REF!=TRUE,#REF!=TRUE),AND($H$6="Both",OR(AND(AG130=1,#REF!="TRUE",AT130=1,OR(AN130="Yes",AN130="N/A",AN130="Met")),AND(#REF!="FALSE",OR(AND(E130="Yes",NOT(ISBLANK(F130))),AND(E130="N/A",NOT(ISBLANK(H130))),AND(E130="Met",NOT(ISBLANK(F130))))))),AND($H$6="CHIP",OR(AND(E130="Yes",NOT(ISBLANK(F130))),AND(E130="N/A",NOT(ISBLANK(H130))),AND(E130="Met",NOT(ISBLANK(F130)))))),V130=1),1,0)</f>
        <v>#REF!</v>
      </c>
      <c r="AT130" s="69">
        <f>IF(OR(AND(AN130="Yes",AO130&lt;&gt;0),AND(AN130="N/A",AQ130&lt;&gt;0),AND(AN130="Met",AO130&lt;&gt;0),AND(AN130="Not met",AP130&lt;&gt;0),AND(AN130="Unsure",AP130&lt;&gt;0),AND(AN130="No",AP130&lt;&gt;0),AND(AN130="No, submission is in draft",AP130&lt;&gt;0)),1,0)</f>
        <v>0</v>
      </c>
    </row>
    <row r="131" spans="1:46" ht="76.5" hidden="1" customHeight="1" x14ac:dyDescent="0.25">
      <c r="A131" s="294" t="s">
        <v>2310</v>
      </c>
      <c r="B131" s="295" t="s">
        <v>2311</v>
      </c>
      <c r="C131" s="295" t="str">
        <f t="shared" si="34"/>
        <v>The contract specifies that CHIP enrollees are not held liable for covered services provided to the enrollee, for which the state or MCP does not pay the provider that furnished the service under a contractual, referral, or other arrangement.  [If there is no additional information related to the CHIP contract, this information only needs to be entered in Section I.J.7.03.]</v>
      </c>
      <c r="D131" s="296"/>
      <c r="E131" s="295" t="s">
        <v>311</v>
      </c>
      <c r="F131" s="295" t="s">
        <v>319</v>
      </c>
      <c r="G131" s="295" t="s">
        <v>319</v>
      </c>
      <c r="H131" s="367" t="s">
        <v>319</v>
      </c>
      <c r="I131" s="92" t="s">
        <v>168</v>
      </c>
      <c r="J131" s="92"/>
      <c r="K131" s="92" t="s">
        <v>185</v>
      </c>
      <c r="L131" s="71" t="s">
        <v>190</v>
      </c>
      <c r="M131" s="71" t="s">
        <v>195</v>
      </c>
      <c r="N131" s="71"/>
      <c r="O131" s="71"/>
      <c r="P131" s="71" t="s">
        <v>380</v>
      </c>
      <c r="Q131" s="71" t="e">
        <f>IF(OR(AND($C$2="Base contract",$C$3="No, section requirements must be reviewed",#REF!= FALSE,#REF!=FALSE),AND($C$2="Contract amendment",$C$3="No, section requirements must be reviewed",#REF!=FALSE,#REF!=FALSE)),"MUNN")</f>
        <v>#REF!</v>
      </c>
      <c r="R131" s="71"/>
      <c r="S131" s="64">
        <v>43282</v>
      </c>
      <c r="T131" s="64"/>
      <c r="U131" s="64"/>
      <c r="V131" s="97" t="e">
        <f>IF(OR(AND(AG131=1,#REF!="TRUE",AT131=1),#REF!=TRUE,#REF!=TRUE),1,IF(AND(OR(AND(AG131=1,#REF!="FALSE"),AND(AG131&lt;&gt;1,#REF!="FALSE")),OR(AND(E131="Yes",F131&lt;&gt;""),AND(E131="N/A",H131&lt;&gt;""),AND(E131="Met",F131&lt;&gt;""),AND(E131="Not met",G131&lt;&gt;""),AND(E131="Unsure",G131&lt;&gt;""),AND(E131="No",G131&lt;&gt;""),AND(E131="No, submission is in draft",G131&lt;&gt;""))),1,0))</f>
        <v>#REF!</v>
      </c>
      <c r="W131" s="56" t="b">
        <f>IF(AND('Cover Sheet'!$B$19="Non-Risk",$R131=1),TRUE,FALSE)</f>
        <v>0</v>
      </c>
      <c r="X131" s="56"/>
      <c r="Y131" s="56"/>
      <c r="Z131" s="56"/>
      <c r="AA131" s="56"/>
      <c r="AB131" s="56"/>
      <c r="AC131" s="56"/>
      <c r="AD131" s="56"/>
      <c r="AE131" s="56"/>
      <c r="AF131" s="44" t="s">
        <v>2312</v>
      </c>
      <c r="AG131" s="98">
        <v>1</v>
      </c>
      <c r="AH131" s="75" t="str">
        <f>A56</f>
        <v>I.J.7.03</v>
      </c>
      <c r="AI131" s="44" t="str">
        <f>C56</f>
        <v>The contract specifies that Medicaid enrollees are not held liable for covered services provided to the enrollee, for which the state or MCP does not pay the provider that furnished the service under a contractual, referral, or other arrangement.</v>
      </c>
      <c r="AJ131" s="57" t="b">
        <f t="shared" si="35"/>
        <v>0</v>
      </c>
      <c r="AK131" s="57">
        <f t="shared" si="36"/>
        <v>1</v>
      </c>
      <c r="AM131" s="69" t="str">
        <f t="shared" si="42"/>
        <v/>
      </c>
      <c r="AN131" s="69" t="e">
        <f>IF(E56 &lt;&gt;0, E56, IF(OR(#REF!=TRUE,#REF!= TRUE),"N/A", 0))</f>
        <v>#REF!</v>
      </c>
      <c r="AO131" s="69" t="e">
        <f>IF(F56 &lt;&gt;0, F56, IF(OR(#REF!=TRUE,#REF!= TRUE),"N/A", 0))</f>
        <v>#REF!</v>
      </c>
      <c r="AP131" s="69" t="e">
        <f>IF(G56 &lt;&gt;0, G56, IF(OR(#REF!=TRUE,#REF!= TRUE),"N/A", 0))</f>
        <v>#REF!</v>
      </c>
      <c r="AQ131" s="69" t="e">
        <f>IF(H56 &lt;&gt;0, H56, IF(OR(#REF!=TRUE,#REF!= TRUE),"N/A", 0))</f>
        <v>#REF!</v>
      </c>
      <c r="AR131" s="69" t="e">
        <f>IF(OR(AND($H$6="Both",OR(AND(AG131=0,OR(NOT(ISBLANK(E131)),NOT(ISBLANK(F131)),NOT(ISBLANK(G131)),NOT(ISBLANK(H131)))),AND(AG131=1,#REF!="TRUE",OR(AN131&lt;&gt;0,AO131&lt;&gt;0,AP131&lt;&gt;0,AQ131&lt;&gt;0)),AND(AG131=1,#REF!="FALSE",OR(NOT(ISBLANK(E131)),NOT(ISBLANK(F131)),NOT(ISBLANK(G131)),NOT(ISBLANK(H131)))))),AND($H$6="CHIP",OR(NOT(ISBLANK(E131)),NOT(ISBLANK(F131)),NOT(ISBLANK(G131)),NOT(ISBLANK(H131)))),V131=1),1,0)</f>
        <v>#REF!</v>
      </c>
      <c r="AS131" s="69" t="e">
        <f>IF(AND(OR(OR(#REF!=TRUE,#REF!=TRUE),AND($H$6="Both",OR(AND(AG131=1,#REF!="TRUE",AT131=1,OR(AN131="Yes",AN131="N/A",AN131="Met")),AND(#REF!="FALSE",OR(AND(E131="Yes",NOT(ISBLANK(F131))),AND(E131="N/A",NOT(ISBLANK(H131))),AND(E131="Met",NOT(ISBLANK(F131))))))),AND($H$6="CHIP",OR(AND(E131="Yes",NOT(ISBLANK(F131))),AND(E131="N/A",NOT(ISBLANK(H131))),AND(E131="Met",NOT(ISBLANK(F131)))))),V131=1),1,0)</f>
        <v>#REF!</v>
      </c>
      <c r="AT131" s="69" t="e">
        <f t="shared" si="37"/>
        <v>#REF!</v>
      </c>
    </row>
    <row r="132" spans="1:46" ht="76.5" hidden="1" customHeight="1" x14ac:dyDescent="0.25">
      <c r="A132" s="330" t="s">
        <v>2310</v>
      </c>
      <c r="B132" s="263" t="s">
        <v>2311</v>
      </c>
      <c r="C132" s="263" t="s">
        <v>2171</v>
      </c>
      <c r="D132" s="380"/>
      <c r="E132" s="263" t="s">
        <v>311</v>
      </c>
      <c r="F132" s="263" t="s">
        <v>319</v>
      </c>
      <c r="G132" s="263" t="s">
        <v>319</v>
      </c>
      <c r="H132" s="367" t="s">
        <v>319</v>
      </c>
      <c r="I132" s="92"/>
      <c r="J132" s="92"/>
      <c r="K132" s="92"/>
      <c r="L132" s="71"/>
      <c r="M132" s="71"/>
      <c r="N132" s="71"/>
      <c r="O132" s="71" t="s">
        <v>200</v>
      </c>
      <c r="P132" s="71" t="s">
        <v>380</v>
      </c>
      <c r="Q132" s="71" t="e">
        <f>IF(OR(AND($C$2="Base contract",$C$3="No, section requirements must be reviewed",#REF!= FALSE,#REF!=FALSE),AND($C$2="Contract amendment",$C$3="No, section requirements must be reviewed",#REF!=FALSE,#REF!=FALSE)),"MUNN")</f>
        <v>#REF!</v>
      </c>
      <c r="R132" s="71"/>
      <c r="S132" s="64">
        <v>44179</v>
      </c>
      <c r="T132" s="64"/>
      <c r="U132" s="64"/>
      <c r="V132" s="97" t="e">
        <f>IF(OR(AND(AG132=1,#REF!="TRUE",AT132=1),#REF!=TRUE,#REF!=TRUE),1,IF(AND(OR(AND(AG132=1,#REF!="FALSE"),AND(AG132&lt;&gt;1,#REF!="FALSE")),OR(AND(E132="Yes",F132&lt;&gt;""),AND(E132="N/A",H132&lt;&gt;""),AND(E132="Met",F132&lt;&gt;""),AND(E132="Not met",G132&lt;&gt;""),AND(E132="Unsure",G132&lt;&gt;""),AND(E132="No",G132&lt;&gt;""),AND(E132="No, submission is in draft",G132&lt;&gt;""))),1,0))</f>
        <v>#REF!</v>
      </c>
      <c r="W132" s="56" t="b">
        <f>IF(AND('Cover Sheet'!$B$19="Non-Risk",$R132=1),TRUE,FALSE)</f>
        <v>0</v>
      </c>
      <c r="X132" s="56"/>
      <c r="Y132" s="56"/>
      <c r="Z132" s="56"/>
      <c r="AA132" s="56"/>
      <c r="AB132" s="56"/>
      <c r="AC132" s="56"/>
      <c r="AD132" s="56"/>
      <c r="AE132" s="56"/>
      <c r="AF132" s="44" t="s">
        <v>2312</v>
      </c>
      <c r="AG132" s="98">
        <v>0</v>
      </c>
      <c r="AH132" s="108"/>
      <c r="AI132" s="79"/>
      <c r="AJ132" s="57" t="str">
        <f>IF(AG132=1,AI132=AF132,"")</f>
        <v/>
      </c>
      <c r="AK132" s="57">
        <f>IF($AG$2=1, IF(AG132=1,1,0),0)</f>
        <v>0</v>
      </c>
      <c r="AM132" s="69" t="str">
        <f t="shared" si="42"/>
        <v/>
      </c>
      <c r="AR132" s="69" t="e">
        <f>IF(OR(AND($H$6="Both",OR(AND(AG132=0,OR(NOT(ISBLANK(E132)),NOT(ISBLANK(F132)),NOT(ISBLANK(G132)),NOT(ISBLANK(H132)))),AND(AG132=1,#REF!="TRUE",OR(AN132&lt;&gt;0,AO132&lt;&gt;0,AP132&lt;&gt;0,AQ132&lt;&gt;0)),AND(AG132=1,#REF!="FALSE",OR(NOT(ISBLANK(E132)),NOT(ISBLANK(F132)),NOT(ISBLANK(G132)),NOT(ISBLANK(H132)))))),AND($H$6="CHIP",OR(NOT(ISBLANK(E132)),NOT(ISBLANK(F132)),NOT(ISBLANK(G132)),NOT(ISBLANK(H132)))),V132=1),1,0)</f>
        <v>#REF!</v>
      </c>
      <c r="AS132" s="69" t="e">
        <f>IF(AND(OR(OR(#REF!=TRUE,#REF!=TRUE),AND($H$6="Both",OR(AND(AG132=1,#REF!="TRUE",AT132=1,OR(AN132="Yes",AN132="N/A",AN132="Met")),AND(#REF!="FALSE",OR(AND(E132="Yes",NOT(ISBLANK(F132))),AND(E132="N/A",NOT(ISBLANK(H132))),AND(E132="Met",NOT(ISBLANK(F132))))))),AND($H$6="CHIP",OR(AND(E132="Yes",NOT(ISBLANK(F132))),AND(E132="N/A",NOT(ISBLANK(H132))),AND(E132="Met",NOT(ISBLANK(F132)))))),V132=1),1,0)</f>
        <v>#REF!</v>
      </c>
      <c r="AT132" s="69">
        <f>IF(OR(AND(AN132="Yes",AO132&lt;&gt;0),AND(AN132="N/A",AQ132&lt;&gt;0),AND(AN132="Met",AO132&lt;&gt;0),AND(AN132="Not met",AP132&lt;&gt;0),AND(AN132="Unsure",AP132&lt;&gt;0),AND(AN132="No",AP132&lt;&gt;0),AND(AN132="No, submission is in draft",AP132&lt;&gt;0)),1,0)</f>
        <v>0</v>
      </c>
    </row>
    <row r="133" spans="1:46" ht="77.25" hidden="1" customHeight="1" x14ac:dyDescent="0.25">
      <c r="A133" s="294" t="s">
        <v>2313</v>
      </c>
      <c r="B133" s="295" t="s">
        <v>2314</v>
      </c>
      <c r="C133" s="295" t="str">
        <f t="shared" si="34"/>
        <v>The contract specifies that CHIP enrollees are not held liable for covered services furnished under a contract, referral, or other arrangement to the extent that those payments are in excess of the amount the enrollee would owe if the MCP covered the services directly.   [If there is no additional information related to the CHIP contract, this information only needs to be entered in Section I.J.7.04.]</v>
      </c>
      <c r="D133" s="296"/>
      <c r="E133" s="295" t="s">
        <v>311</v>
      </c>
      <c r="F133" s="295" t="s">
        <v>319</v>
      </c>
      <c r="G133" s="295" t="s">
        <v>319</v>
      </c>
      <c r="H133" s="367" t="s">
        <v>319</v>
      </c>
      <c r="I133" s="92" t="s">
        <v>168</v>
      </c>
      <c r="J133" s="92"/>
      <c r="K133" s="92" t="s">
        <v>185</v>
      </c>
      <c r="L133" s="71" t="s">
        <v>190</v>
      </c>
      <c r="M133" s="71" t="s">
        <v>195</v>
      </c>
      <c r="N133" s="71"/>
      <c r="O133" s="71"/>
      <c r="P133" s="71" t="s">
        <v>380</v>
      </c>
      <c r="Q133" s="71" t="e">
        <f>IF(OR(AND($C$2="Base contract",$C$3="No, section requirements must be reviewed",#REF!= FALSE,#REF!=FALSE),AND($C$2="Contract amendment",$C$3="No, section requirements must be reviewed",#REF!=FALSE,#REF!=FALSE)),"MUNN")</f>
        <v>#REF!</v>
      </c>
      <c r="R133" s="71"/>
      <c r="S133" s="64">
        <v>43282</v>
      </c>
      <c r="T133" s="64"/>
      <c r="U133" s="64"/>
      <c r="V133" s="97" t="e">
        <f>IF(OR(AND(AG133=1,#REF!="TRUE",AT133=1),#REF!=TRUE,#REF!=TRUE),1,IF(AND(OR(AND(AG133=1,#REF!="FALSE"),AND(AG133&lt;&gt;1,#REF!="FALSE")),OR(AND(E133="Yes",F133&lt;&gt;""),AND(E133="N/A",H133&lt;&gt;""),AND(E133="Met",F133&lt;&gt;""),AND(E133="Not met",G133&lt;&gt;""),AND(E133="Unsure",G133&lt;&gt;""),AND(E133="No",G133&lt;&gt;""),AND(E133="No, submission is in draft",G133&lt;&gt;""))),1,0))</f>
        <v>#REF!</v>
      </c>
      <c r="W133" s="56" t="b">
        <f>IF(AND('Cover Sheet'!$B$19="Non-Risk",$R133=1),TRUE,FALSE)</f>
        <v>0</v>
      </c>
      <c r="X133" s="56"/>
      <c r="Y133" s="56"/>
      <c r="Z133" s="56"/>
      <c r="AA133" s="56"/>
      <c r="AB133" s="56"/>
      <c r="AC133" s="56"/>
      <c r="AD133" s="56"/>
      <c r="AE133" s="56"/>
      <c r="AF133" s="44" t="s">
        <v>2315</v>
      </c>
      <c r="AG133" s="98">
        <v>1</v>
      </c>
      <c r="AH133" s="75" t="str">
        <f>A57</f>
        <v>I.J.7.04</v>
      </c>
      <c r="AI133" s="44" t="str">
        <f>C57</f>
        <v xml:space="preserve">The contract specifies that Medicaid enrollees are not held liable for covered services furnished under a contract, referral, or other arrangement to the extent that those payments are in excess of the amount the enrollee would owe if the MCP covered the services directly. </v>
      </c>
      <c r="AJ133" s="57" t="b">
        <f t="shared" si="35"/>
        <v>0</v>
      </c>
      <c r="AK133" s="57">
        <f t="shared" si="36"/>
        <v>1</v>
      </c>
      <c r="AM133" s="69" t="str">
        <f t="shared" si="42"/>
        <v/>
      </c>
      <c r="AN133" s="69" t="e">
        <f>IF(E57 &lt;&gt;0, E57, IF(OR(#REF!=TRUE,#REF!= TRUE),"N/A", 0))</f>
        <v>#REF!</v>
      </c>
      <c r="AO133" s="69" t="e">
        <f>IF(F57 &lt;&gt;0, F57, IF(OR(#REF!=TRUE,#REF!= TRUE),"N/A", 0))</f>
        <v>#REF!</v>
      </c>
      <c r="AP133" s="69" t="e">
        <f>IF(G57 &lt;&gt;0, G57, IF(OR(#REF!=TRUE,#REF!= TRUE),"N/A", 0))</f>
        <v>#REF!</v>
      </c>
      <c r="AQ133" s="69" t="e">
        <f>IF(H57 &lt;&gt;0, H57, IF(OR(#REF!=TRUE,#REF!= TRUE),"N/A", 0))</f>
        <v>#REF!</v>
      </c>
      <c r="AR133" s="69" t="e">
        <f>IF(OR(AND($H$6="Both",OR(AND(AG133=0,OR(NOT(ISBLANK(E133)),NOT(ISBLANK(F133)),NOT(ISBLANK(G133)),NOT(ISBLANK(H133)))),AND(AG133=1,#REF!="TRUE",OR(AN133&lt;&gt;0,AO133&lt;&gt;0,AP133&lt;&gt;0,AQ133&lt;&gt;0)),AND(AG133=1,#REF!="FALSE",OR(NOT(ISBLANK(E133)),NOT(ISBLANK(F133)),NOT(ISBLANK(G133)),NOT(ISBLANK(H133)))))),AND($H$6="CHIP",OR(NOT(ISBLANK(E133)),NOT(ISBLANK(F133)),NOT(ISBLANK(G133)),NOT(ISBLANK(H133)))),V133=1),1,0)</f>
        <v>#REF!</v>
      </c>
      <c r="AS133" s="69" t="e">
        <f>IF(AND(OR(OR(#REF!=TRUE,#REF!=TRUE),AND($H$6="Both",OR(AND(AG133=1,#REF!="TRUE",AT133=1,OR(AN133="Yes",AN133="N/A",AN133="Met")),AND(#REF!="FALSE",OR(AND(E133="Yes",NOT(ISBLANK(F133))),AND(E133="N/A",NOT(ISBLANK(H133))),AND(E133="Met",NOT(ISBLANK(F133))))))),AND($H$6="CHIP",OR(AND(E133="Yes",NOT(ISBLANK(F133))),AND(E133="N/A",NOT(ISBLANK(H133))),AND(E133="Met",NOT(ISBLANK(F133)))))),V133=1),1,0)</f>
        <v>#REF!</v>
      </c>
      <c r="AT133" s="69" t="e">
        <f t="shared" si="37"/>
        <v>#REF!</v>
      </c>
    </row>
    <row r="134" spans="1:46" ht="77.25" hidden="1" customHeight="1" x14ac:dyDescent="0.25">
      <c r="A134" s="383" t="s">
        <v>2313</v>
      </c>
      <c r="B134" s="356" t="s">
        <v>2314</v>
      </c>
      <c r="C134" s="356" t="s">
        <v>2174</v>
      </c>
      <c r="D134" s="391"/>
      <c r="E134" s="339" t="s">
        <v>311</v>
      </c>
      <c r="F134" s="339" t="s">
        <v>319</v>
      </c>
      <c r="G134" s="339" t="s">
        <v>319</v>
      </c>
      <c r="H134" s="385" t="s">
        <v>319</v>
      </c>
      <c r="I134" s="92"/>
      <c r="J134" s="92"/>
      <c r="K134" s="92"/>
      <c r="L134" s="71"/>
      <c r="M134" s="71"/>
      <c r="N134" s="71"/>
      <c r="O134" s="71" t="s">
        <v>200</v>
      </c>
      <c r="P134" s="71" t="s">
        <v>380</v>
      </c>
      <c r="Q134" s="71" t="e">
        <f>IF(OR(AND($C$2="Base contract",$C$3="No, section requirements must be reviewed",#REF!= FALSE,#REF!=FALSE),AND($C$2="Contract amendment",$C$3="No, section requirements must be reviewed",#REF!=FALSE,#REF!=FALSE)),"MUNN")</f>
        <v>#REF!</v>
      </c>
      <c r="R134" s="71"/>
      <c r="S134" s="64">
        <v>44179</v>
      </c>
      <c r="T134" s="64"/>
      <c r="U134" s="64"/>
      <c r="V134" s="97" t="e">
        <f>IF(OR(AND(AG134=1,#REF!="TRUE",AT134=1),#REF!=TRUE,#REF!=TRUE),1,IF(AND(OR(AND(AG134=1,#REF!="FALSE"),AND(AG134&lt;&gt;1,#REF!="FALSE")),OR(AND(E134="Yes",F134&lt;&gt;""),AND(E134="N/A",H134&lt;&gt;""),AND(E134="Met",F134&lt;&gt;""),AND(E134="Not met",G134&lt;&gt;""),AND(E134="Unsure",G134&lt;&gt;""),AND(E134="No",G134&lt;&gt;""),AND(E134="No, submission is in draft",G134&lt;&gt;""))),1,0))</f>
        <v>#REF!</v>
      </c>
      <c r="W134" s="56" t="b">
        <f>IF(AND('Cover Sheet'!$B$19="Non-Risk",$R134=1),TRUE,FALSE)</f>
        <v>0</v>
      </c>
      <c r="X134" s="56"/>
      <c r="Y134" s="56"/>
      <c r="Z134" s="56"/>
      <c r="AA134" s="56"/>
      <c r="AB134" s="56"/>
      <c r="AC134" s="56"/>
      <c r="AD134" s="56"/>
      <c r="AE134" s="56"/>
      <c r="AF134" s="44" t="s">
        <v>2315</v>
      </c>
      <c r="AG134" s="98">
        <v>0</v>
      </c>
      <c r="AH134" s="108"/>
      <c r="AI134" s="79"/>
      <c r="AJ134" s="57" t="str">
        <f>IF(AG134=1,AI134=AF134,"")</f>
        <v/>
      </c>
      <c r="AK134" s="57">
        <f>IF($AG$2=1, IF(AG134=1,1,0),0)</f>
        <v>0</v>
      </c>
      <c r="AM134" s="69" t="str">
        <f t="shared" si="42"/>
        <v/>
      </c>
      <c r="AR134" s="69" t="e">
        <f>IF(OR(AND($H$6="Both",OR(AND(AG134=0,OR(NOT(ISBLANK(E134)),NOT(ISBLANK(F134)),NOT(ISBLANK(G134)),NOT(ISBLANK(H134)))),AND(AG134=1,#REF!="TRUE",OR(AN134&lt;&gt;0,AO134&lt;&gt;0,AP134&lt;&gt;0,AQ134&lt;&gt;0)),AND(AG134=1,#REF!="FALSE",OR(NOT(ISBLANK(E134)),NOT(ISBLANK(F134)),NOT(ISBLANK(G134)),NOT(ISBLANK(H134)))))),AND($H$6="CHIP",OR(NOT(ISBLANK(E134)),NOT(ISBLANK(F134)),NOT(ISBLANK(G134)),NOT(ISBLANK(H134)))),V134=1),1,0)</f>
        <v>#REF!</v>
      </c>
      <c r="AS134" s="69" t="e">
        <f>IF(AND(OR(OR(#REF!=TRUE,#REF!=TRUE),AND($H$6="Both",OR(AND(AG134=1,#REF!="TRUE",AT134=1,OR(AN134="Yes",AN134="N/A",AN134="Met")),AND(#REF!="FALSE",OR(AND(E134="Yes",NOT(ISBLANK(F134))),AND(E134="N/A",NOT(ISBLANK(H134))),AND(E134="Met",NOT(ISBLANK(F134))))))),AND($H$6="CHIP",OR(AND(E134="Yes",NOT(ISBLANK(F134))),AND(E134="N/A",NOT(ISBLANK(H134))),AND(E134="Met",NOT(ISBLANK(F134)))))),V134=1),1,0)</f>
        <v>#REF!</v>
      </c>
      <c r="AT134" s="69">
        <f>IF(OR(AND(AN134="Yes",AO134&lt;&gt;0),AND(AN134="N/A",AQ134&lt;&gt;0),AND(AN134="Met",AO134&lt;&gt;0),AND(AN134="Not met",AP134&lt;&gt;0),AND(AN134="Unsure",AP134&lt;&gt;0),AND(AN134="No",AP134&lt;&gt;0),AND(AN134="No, submission is in draft",AP134&lt;&gt;0)),1,0)</f>
        <v>0</v>
      </c>
    </row>
    <row r="135" spans="1:46" ht="15.75" hidden="1" customHeight="1" x14ac:dyDescent="0.25">
      <c r="A135" s="386"/>
      <c r="B135" s="387"/>
      <c r="C135" s="392" t="s">
        <v>2316</v>
      </c>
      <c r="D135" s="388"/>
      <c r="E135" s="389"/>
      <c r="F135" s="389"/>
      <c r="G135" s="389"/>
      <c r="H135" s="390"/>
      <c r="I135" s="74"/>
      <c r="J135" s="74"/>
      <c r="K135" s="74"/>
      <c r="L135" s="87"/>
      <c r="M135" s="87"/>
      <c r="S135" s="116"/>
      <c r="T135" s="116"/>
      <c r="U135" s="116"/>
      <c r="V135" s="126"/>
      <c r="W135" s="68"/>
      <c r="X135" s="68"/>
      <c r="Y135" s="68"/>
      <c r="Z135" s="68"/>
      <c r="AA135" s="68"/>
      <c r="AB135" s="68"/>
      <c r="AC135" s="68"/>
      <c r="AD135" s="68"/>
      <c r="AE135" s="68"/>
      <c r="AF135" s="109"/>
      <c r="AG135" s="110"/>
      <c r="AI135" s="109"/>
    </row>
    <row r="136" spans="1:46" ht="76.5" hidden="1" customHeight="1" x14ac:dyDescent="0.25">
      <c r="A136" s="294" t="s">
        <v>2317</v>
      </c>
      <c r="B136" s="295" t="s">
        <v>2318</v>
      </c>
      <c r="C136" s="299" t="s">
        <v>2319</v>
      </c>
      <c r="D136" s="296"/>
      <c r="E136" s="295" t="s">
        <v>311</v>
      </c>
      <c r="F136" s="295" t="s">
        <v>319</v>
      </c>
      <c r="G136" s="295" t="s">
        <v>319</v>
      </c>
      <c r="H136" s="367" t="s">
        <v>319</v>
      </c>
      <c r="I136" s="92" t="s">
        <v>168</v>
      </c>
      <c r="J136" s="92"/>
      <c r="K136" s="92" t="s">
        <v>185</v>
      </c>
      <c r="L136" s="71" t="s">
        <v>190</v>
      </c>
      <c r="M136" s="71"/>
      <c r="N136" s="71"/>
      <c r="O136" s="71"/>
      <c r="P136" s="71" t="s">
        <v>380</v>
      </c>
      <c r="Q136" s="71" t="e">
        <f>IF(OR(AND($C$2="Base contract",$C$3="No, section requirements must be reviewed",#REF!= FALSE,#REF!=FALSE),AND($C$2="Contract amendment",$C$3="No, section requirements must be reviewed",#REF!=FALSE,#REF!=FALSE)),"MUNN")</f>
        <v>#REF!</v>
      </c>
      <c r="R136" s="71"/>
      <c r="S136" s="64">
        <v>43282</v>
      </c>
      <c r="T136" s="64"/>
      <c r="U136" s="64"/>
      <c r="V136" s="97" t="e">
        <f>IF(OR(AND(AG136=1,#REF!="TRUE",AT136=1),#REF!=TRUE,#REF!=TRUE),1,IF(AND(OR(AND(AG136=1,#REF!="FALSE"),AND(AG136&lt;&gt;1,#REF!="FALSE")),OR(AND(E136="Yes",F136&lt;&gt;""),AND(E136="N/A",H136&lt;&gt;""),AND(E136="Met",F136&lt;&gt;""),AND(E136="Not met",G136&lt;&gt;""),AND(E136="Unsure",G136&lt;&gt;""),AND(E136="No",G136&lt;&gt;""),AND(E136="No, submission is in draft",G136&lt;&gt;""))),1,0))</f>
        <v>#REF!</v>
      </c>
      <c r="W136" s="56" t="b">
        <f>IF(AND('Cover Sheet'!$B$19="Non-Risk",$R136=1),TRUE,FALSE)</f>
        <v>0</v>
      </c>
      <c r="X136" s="56"/>
      <c r="Y136" s="56"/>
      <c r="Z136" s="56"/>
      <c r="AA136" s="56"/>
      <c r="AB136" s="56"/>
      <c r="AC136" s="56"/>
      <c r="AD136" s="56"/>
      <c r="AE136" s="56"/>
      <c r="AF136" s="79"/>
      <c r="AG136" s="98">
        <v>0</v>
      </c>
      <c r="AH136" s="108"/>
      <c r="AI136" s="79"/>
      <c r="AJ136" s="57" t="str">
        <f t="shared" si="35"/>
        <v/>
      </c>
      <c r="AK136" s="57">
        <f t="shared" si="36"/>
        <v>0</v>
      </c>
      <c r="AM136" s="69" t="str">
        <f t="shared" ref="AM136:AM142" si="43">IF(AL136=1,1,"")</f>
        <v/>
      </c>
      <c r="AR136" s="69" t="e">
        <f>IF(OR(AND($H$6="Both",OR(AND(AG136=0,OR(NOT(ISBLANK(E136)),NOT(ISBLANK(F136)),NOT(ISBLANK(G136)),NOT(ISBLANK(H136)))),AND(AG136=1,#REF!="TRUE",OR(AN136&lt;&gt;0,AO136&lt;&gt;0,AP136&lt;&gt;0,AQ136&lt;&gt;0)),AND(AG136=1,#REF!="FALSE",OR(NOT(ISBLANK(E136)),NOT(ISBLANK(F136)),NOT(ISBLANK(G136)),NOT(ISBLANK(H136)))))),AND($H$6="CHIP",OR(NOT(ISBLANK(E136)),NOT(ISBLANK(F136)),NOT(ISBLANK(G136)),NOT(ISBLANK(H136)))),V136=1),1,0)</f>
        <v>#REF!</v>
      </c>
      <c r="AS136" s="69" t="e">
        <f>IF(AND(OR(OR(#REF!=TRUE,#REF!=TRUE),AND($H$6="Both",OR(AND(AG136=1,#REF!="TRUE",AT136=1,OR(AN136="Yes",AN136="N/A",AN136="Met")),AND(#REF!="FALSE",OR(AND(E136="Yes",NOT(ISBLANK(F136))),AND(E136="N/A",NOT(ISBLANK(H136))),AND(E136="Met",NOT(ISBLANK(F136))))))),AND($H$6="CHIP",OR(AND(E136="Yes",NOT(ISBLANK(F136))),AND(E136="N/A",NOT(ISBLANK(H136))),AND(E136="Met",NOT(ISBLANK(F136)))))),V136=1),1,0)</f>
        <v>#REF!</v>
      </c>
      <c r="AT136" s="69">
        <f t="shared" si="37"/>
        <v>0</v>
      </c>
    </row>
    <row r="137" spans="1:46" ht="51" hidden="1" customHeight="1" x14ac:dyDescent="0.25">
      <c r="A137" s="294" t="s">
        <v>2320</v>
      </c>
      <c r="B137" s="295" t="s">
        <v>2321</v>
      </c>
      <c r="C137" s="377" t="s">
        <v>2322</v>
      </c>
      <c r="D137" s="296"/>
      <c r="E137" s="295" t="s">
        <v>311</v>
      </c>
      <c r="F137" s="295" t="s">
        <v>319</v>
      </c>
      <c r="G137" s="295" t="s">
        <v>319</v>
      </c>
      <c r="H137" s="367" t="s">
        <v>319</v>
      </c>
      <c r="I137" s="92" t="s">
        <v>168</v>
      </c>
      <c r="J137" s="92"/>
      <c r="K137" s="92" t="s">
        <v>185</v>
      </c>
      <c r="L137" s="71" t="s">
        <v>190</v>
      </c>
      <c r="M137" s="71"/>
      <c r="N137" s="71"/>
      <c r="O137" s="71"/>
      <c r="P137" s="71" t="s">
        <v>380</v>
      </c>
      <c r="Q137" s="71" t="e">
        <f>IF(OR(AND($C$2="Base contract",$C$3="No, section requirements must be reviewed",#REF!= FALSE,#REF!=FALSE),AND($C$2="Contract amendment",$C$3="No, section requirements must be reviewed",#REF!=FALSE,#REF!=FALSE)),"MUNN")</f>
        <v>#REF!</v>
      </c>
      <c r="R137" s="71"/>
      <c r="S137" s="64">
        <v>43282</v>
      </c>
      <c r="T137" s="64"/>
      <c r="U137" s="64"/>
      <c r="V137" s="97" t="e">
        <f>IF(OR(AND(AG137=1,#REF!="TRUE",AT137=1),#REF!=TRUE,#REF!=TRUE),1,IF(AND(OR(AND(AG137=1,#REF!="FALSE"),AND(AG137&lt;&gt;1,#REF!="FALSE")),OR(AND(E137="Yes",F137&lt;&gt;""),AND(E137="N/A",H137&lt;&gt;""),AND(E137="Met",F137&lt;&gt;""),AND(E137="Not met",G137&lt;&gt;""),AND(E137="Unsure",G137&lt;&gt;""),AND(E137="No",G137&lt;&gt;""),AND(E137="No, submission is in draft",G137&lt;&gt;""))),1,0))</f>
        <v>#REF!</v>
      </c>
      <c r="W137" s="56" t="b">
        <f>IF(AND('Cover Sheet'!$B$19="Non-Risk",$R137=1),TRUE,FALSE)</f>
        <v>0</v>
      </c>
      <c r="X137" s="56"/>
      <c r="Y137" s="56"/>
      <c r="Z137" s="56"/>
      <c r="AA137" s="56"/>
      <c r="AB137" s="56"/>
      <c r="AC137" s="56"/>
      <c r="AD137" s="56"/>
      <c r="AE137" s="56"/>
      <c r="AF137" s="79"/>
      <c r="AG137" s="98">
        <v>0</v>
      </c>
      <c r="AH137" s="108"/>
      <c r="AI137" s="79"/>
      <c r="AJ137" s="57" t="str">
        <f t="shared" si="35"/>
        <v/>
      </c>
      <c r="AK137" s="57">
        <f t="shared" si="36"/>
        <v>0</v>
      </c>
      <c r="AM137" s="69" t="str">
        <f t="shared" si="43"/>
        <v/>
      </c>
      <c r="AR137" s="69" t="e">
        <f>IF(OR(AND($H$6="Both",OR(AND(AG137=0,OR(NOT(ISBLANK(E137)),NOT(ISBLANK(F137)),NOT(ISBLANK(G137)),NOT(ISBLANK(H137)))),AND(AG137=1,#REF!="TRUE",OR(AN137&lt;&gt;0,AO137&lt;&gt;0,AP137&lt;&gt;0,AQ137&lt;&gt;0)),AND(AG137=1,#REF!="FALSE",OR(NOT(ISBLANK(E137)),NOT(ISBLANK(F137)),NOT(ISBLANK(G137)),NOT(ISBLANK(H137)))))),AND($H$6="CHIP",OR(NOT(ISBLANK(E137)),NOT(ISBLANK(F137)),NOT(ISBLANK(G137)),NOT(ISBLANK(H137)))),V137=1),1,0)</f>
        <v>#REF!</v>
      </c>
      <c r="AS137" s="69" t="e">
        <f>IF(AND(OR(OR(#REF!=TRUE,#REF!=TRUE),AND($H$6="Both",OR(AND(AG137=1,#REF!="TRUE",AT137=1,OR(AN137="Yes",AN137="N/A",AN137="Met")),AND(#REF!="FALSE",OR(AND(E137="Yes",NOT(ISBLANK(F137))),AND(E137="N/A",NOT(ISBLANK(H137))),AND(E137="Met",NOT(ISBLANK(F137))))))),AND($H$6="CHIP",OR(AND(E137="Yes",NOT(ISBLANK(F137))),AND(E137="N/A",NOT(ISBLANK(H137))),AND(E137="Met",NOT(ISBLANK(F137)))))),V137=1),1,0)</f>
        <v>#REF!</v>
      </c>
      <c r="AT137" s="69">
        <f t="shared" si="37"/>
        <v>0</v>
      </c>
    </row>
    <row r="138" spans="1:46" ht="51" hidden="1" customHeight="1" x14ac:dyDescent="0.25">
      <c r="A138" s="294" t="s">
        <v>2323</v>
      </c>
      <c r="B138" s="295" t="s">
        <v>2324</v>
      </c>
      <c r="C138" s="377" t="s">
        <v>2325</v>
      </c>
      <c r="D138" s="296"/>
      <c r="E138" s="295" t="s">
        <v>311</v>
      </c>
      <c r="F138" s="295" t="s">
        <v>319</v>
      </c>
      <c r="G138" s="295" t="s">
        <v>319</v>
      </c>
      <c r="H138" s="367" t="s">
        <v>319</v>
      </c>
      <c r="I138" s="92" t="s">
        <v>168</v>
      </c>
      <c r="J138" s="92"/>
      <c r="K138" s="92" t="s">
        <v>185</v>
      </c>
      <c r="L138" s="71" t="s">
        <v>190</v>
      </c>
      <c r="M138" s="71"/>
      <c r="N138" s="71"/>
      <c r="O138" s="71"/>
      <c r="P138" s="71" t="s">
        <v>380</v>
      </c>
      <c r="Q138" s="71" t="e">
        <f>IF(OR(AND($C$2="Base contract",$C$3="No, section requirements must be reviewed",#REF!= FALSE,#REF!=FALSE),AND($C$2="Contract amendment",$C$3="No, section requirements must be reviewed",#REF!=FALSE,#REF!=FALSE)),"MUNN")</f>
        <v>#REF!</v>
      </c>
      <c r="R138" s="71"/>
      <c r="S138" s="64">
        <v>43282</v>
      </c>
      <c r="T138" s="64"/>
      <c r="U138" s="64"/>
      <c r="V138" s="97" t="e">
        <f>IF(OR(AND(AG138=1,#REF!="TRUE",AT138=1),#REF!=TRUE,#REF!=TRUE),1,IF(AND(OR(AND(AG138=1,#REF!="FALSE"),AND(AG138&lt;&gt;1,#REF!="FALSE")),OR(AND(E138="Yes",F138&lt;&gt;""),AND(E138="N/A",H138&lt;&gt;""),AND(E138="Met",F138&lt;&gt;""),AND(E138="Not met",G138&lt;&gt;""),AND(E138="Unsure",G138&lt;&gt;""),AND(E138="No",G138&lt;&gt;""),AND(E138="No, submission is in draft",G138&lt;&gt;""))),1,0))</f>
        <v>#REF!</v>
      </c>
      <c r="W138" s="56" t="b">
        <f>IF(AND('Cover Sheet'!$B$19="Non-Risk",$R138=1),TRUE,FALSE)</f>
        <v>0</v>
      </c>
      <c r="X138" s="56"/>
      <c r="Y138" s="56"/>
      <c r="Z138" s="56"/>
      <c r="AA138" s="56"/>
      <c r="AB138" s="56"/>
      <c r="AC138" s="56"/>
      <c r="AD138" s="56"/>
      <c r="AE138" s="56"/>
      <c r="AF138" s="79"/>
      <c r="AG138" s="98">
        <v>0</v>
      </c>
      <c r="AH138" s="108"/>
      <c r="AI138" s="79"/>
      <c r="AJ138" s="57" t="str">
        <f t="shared" si="35"/>
        <v/>
      </c>
      <c r="AK138" s="57">
        <f t="shared" si="36"/>
        <v>0</v>
      </c>
      <c r="AM138" s="69" t="str">
        <f t="shared" si="43"/>
        <v/>
      </c>
      <c r="AR138" s="69" t="e">
        <f>IF(OR(AND($H$6="Both",OR(AND(AG138=0,OR(NOT(ISBLANK(E138)),NOT(ISBLANK(F138)),NOT(ISBLANK(G138)),NOT(ISBLANK(H138)))),AND(AG138=1,#REF!="TRUE",OR(AN138&lt;&gt;0,AO138&lt;&gt;0,AP138&lt;&gt;0,AQ138&lt;&gt;0)),AND(AG138=1,#REF!="FALSE",OR(NOT(ISBLANK(E138)),NOT(ISBLANK(F138)),NOT(ISBLANK(G138)),NOT(ISBLANK(H138)))))),AND($H$6="CHIP",OR(NOT(ISBLANK(E138)),NOT(ISBLANK(F138)),NOT(ISBLANK(G138)),NOT(ISBLANK(H138)))),V138=1),1,0)</f>
        <v>#REF!</v>
      </c>
      <c r="AS138" s="69" t="e">
        <f>IF(AND(OR(OR(#REF!=TRUE,#REF!=TRUE),AND($H$6="Both",OR(AND(AG138=1,#REF!="TRUE",AT138=1,OR(AN138="Yes",AN138="N/A",AN138="Met")),AND(#REF!="FALSE",OR(AND(E138="Yes",NOT(ISBLANK(F138))),AND(E138="N/A",NOT(ISBLANK(H138))),AND(E138="Met",NOT(ISBLANK(F138))))))),AND($H$6="CHIP",OR(AND(E138="Yes",NOT(ISBLANK(F138))),AND(E138="N/A",NOT(ISBLANK(H138))),AND(E138="Met",NOT(ISBLANK(F138)))))),V138=1),1,0)</f>
        <v>#REF!</v>
      </c>
      <c r="AT138" s="69">
        <f t="shared" si="37"/>
        <v>0</v>
      </c>
    </row>
    <row r="139" spans="1:46" ht="63.75" hidden="1" customHeight="1" x14ac:dyDescent="0.25">
      <c r="A139" s="294" t="s">
        <v>2326</v>
      </c>
      <c r="B139" s="295" t="s">
        <v>2327</v>
      </c>
      <c r="C139" s="377" t="s">
        <v>2328</v>
      </c>
      <c r="D139" s="296"/>
      <c r="E139" s="295" t="s">
        <v>311</v>
      </c>
      <c r="F139" s="295" t="s">
        <v>319</v>
      </c>
      <c r="G139" s="295" t="s">
        <v>319</v>
      </c>
      <c r="H139" s="367" t="s">
        <v>319</v>
      </c>
      <c r="I139" s="92" t="s">
        <v>168</v>
      </c>
      <c r="J139" s="92"/>
      <c r="K139" s="92" t="s">
        <v>185</v>
      </c>
      <c r="L139" s="71" t="s">
        <v>190</v>
      </c>
      <c r="M139" s="71"/>
      <c r="N139" s="71"/>
      <c r="O139" s="71"/>
      <c r="P139" s="71" t="s">
        <v>380</v>
      </c>
      <c r="Q139" s="71" t="e">
        <f>IF(OR(AND($C$2="Base contract",$C$3="No, section requirements must be reviewed",#REF!= FALSE,#REF!=FALSE),AND($C$2="Contract amendment",$C$3="No, section requirements must be reviewed",#REF!=FALSE,#REF!=FALSE)),"MUNN")</f>
        <v>#REF!</v>
      </c>
      <c r="R139" s="71"/>
      <c r="S139" s="64">
        <v>43282</v>
      </c>
      <c r="T139" s="64"/>
      <c r="U139" s="64"/>
      <c r="V139" s="97" t="e">
        <f>IF(OR(AND(AG139=1,#REF!="TRUE",AT139=1),#REF!=TRUE,#REF!=TRUE),1,IF(AND(OR(AND(AG139=1,#REF!="FALSE"),AND(AG139&lt;&gt;1,#REF!="FALSE")),OR(AND(E139="Yes",F139&lt;&gt;""),AND(E139="N/A",H139&lt;&gt;""),AND(E139="Met",F139&lt;&gt;""),AND(E139="Not met",G139&lt;&gt;""),AND(E139="Unsure",G139&lt;&gt;""),AND(E139="No",G139&lt;&gt;""),AND(E139="No, submission is in draft",G139&lt;&gt;""))),1,0))</f>
        <v>#REF!</v>
      </c>
      <c r="W139" s="56" t="b">
        <f>IF(AND('Cover Sheet'!$B$19="Non-Risk",$R139=1),TRUE,FALSE)</f>
        <v>0</v>
      </c>
      <c r="X139" s="56"/>
      <c r="Y139" s="56"/>
      <c r="Z139" s="56"/>
      <c r="AA139" s="56"/>
      <c r="AB139" s="56"/>
      <c r="AC139" s="56"/>
      <c r="AD139" s="56"/>
      <c r="AE139" s="56"/>
      <c r="AF139" s="79"/>
      <c r="AG139" s="98">
        <v>0</v>
      </c>
      <c r="AH139" s="108"/>
      <c r="AI139" s="79"/>
      <c r="AJ139" s="57" t="str">
        <f t="shared" si="35"/>
        <v/>
      </c>
      <c r="AK139" s="57">
        <f t="shared" si="36"/>
        <v>0</v>
      </c>
      <c r="AM139" s="69" t="str">
        <f t="shared" si="43"/>
        <v/>
      </c>
      <c r="AR139" s="69" t="e">
        <f>IF(OR(AND($H$6="Both",OR(AND(AG139=0,OR(NOT(ISBLANK(E139)),NOT(ISBLANK(F139)),NOT(ISBLANK(G139)),NOT(ISBLANK(H139)))),AND(AG139=1,#REF!="TRUE",OR(AN139&lt;&gt;0,AO139&lt;&gt;0,AP139&lt;&gt;0,AQ139&lt;&gt;0)),AND(AG139=1,#REF!="FALSE",OR(NOT(ISBLANK(E139)),NOT(ISBLANK(F139)),NOT(ISBLANK(G139)),NOT(ISBLANK(H139)))))),AND($H$6="CHIP",OR(NOT(ISBLANK(E139)),NOT(ISBLANK(F139)),NOT(ISBLANK(G139)),NOT(ISBLANK(H139)))),V139=1),1,0)</f>
        <v>#REF!</v>
      </c>
      <c r="AS139" s="69" t="e">
        <f>IF(AND(OR(OR(#REF!=TRUE,#REF!=TRUE),AND($H$6="Both",OR(AND(AG139=1,#REF!="TRUE",AT139=1,OR(AN139="Yes",AN139="N/A",AN139="Met")),AND(#REF!="FALSE",OR(AND(E139="Yes",NOT(ISBLANK(F139))),AND(E139="N/A",NOT(ISBLANK(H139))),AND(E139="Met",NOT(ISBLANK(F139))))))),AND($H$6="CHIP",OR(AND(E139="Yes",NOT(ISBLANK(F139))),AND(E139="N/A",NOT(ISBLANK(H139))),AND(E139="Met",NOT(ISBLANK(F139)))))),V139=1),1,0)</f>
        <v>#REF!</v>
      </c>
      <c r="AT139" s="69">
        <f t="shared" si="37"/>
        <v>0</v>
      </c>
    </row>
    <row r="140" spans="1:46" ht="63.75" hidden="1" customHeight="1" x14ac:dyDescent="0.25">
      <c r="A140" s="294" t="s">
        <v>2329</v>
      </c>
      <c r="B140" s="295" t="s">
        <v>2330</v>
      </c>
      <c r="C140" s="377" t="s">
        <v>2331</v>
      </c>
      <c r="D140" s="296"/>
      <c r="E140" s="295" t="s">
        <v>311</v>
      </c>
      <c r="F140" s="295" t="s">
        <v>319</v>
      </c>
      <c r="G140" s="295" t="s">
        <v>319</v>
      </c>
      <c r="H140" s="367" t="s">
        <v>319</v>
      </c>
      <c r="I140" s="92" t="s">
        <v>168</v>
      </c>
      <c r="J140" s="92"/>
      <c r="K140" s="92" t="s">
        <v>185</v>
      </c>
      <c r="L140" s="71" t="s">
        <v>190</v>
      </c>
      <c r="M140" s="71"/>
      <c r="N140" s="71"/>
      <c r="O140" s="71"/>
      <c r="P140" s="71" t="s">
        <v>380</v>
      </c>
      <c r="Q140" s="71" t="e">
        <f>IF(OR(AND($C$2="Base contract",$C$3="No, section requirements must be reviewed",#REF!= FALSE,#REF!=FALSE),AND($C$2="Contract amendment",$C$3="No, section requirements must be reviewed",#REF!=FALSE,#REF!=FALSE)),"MUNN")</f>
        <v>#REF!</v>
      </c>
      <c r="R140" s="71"/>
      <c r="S140" s="64">
        <v>43282</v>
      </c>
      <c r="T140" s="64"/>
      <c r="U140" s="64"/>
      <c r="V140" s="97" t="e">
        <f>IF(OR(AND(AG140=1,#REF!="TRUE",AT140=1),#REF!=TRUE,#REF!=TRUE),1,IF(AND(OR(AND(AG140=1,#REF!="FALSE"),AND(AG140&lt;&gt;1,#REF!="FALSE")),OR(AND(E140="Yes",F140&lt;&gt;""),AND(E140="N/A",H140&lt;&gt;""),AND(E140="Met",F140&lt;&gt;""),AND(E140="Not met",G140&lt;&gt;""),AND(E140="Unsure",G140&lt;&gt;""),AND(E140="No",G140&lt;&gt;""),AND(E140="No, submission is in draft",G140&lt;&gt;""))),1,0))</f>
        <v>#REF!</v>
      </c>
      <c r="W140" s="56" t="b">
        <f>IF(AND('Cover Sheet'!$B$19="Non-Risk",$R140=1),TRUE,FALSE)</f>
        <v>0</v>
      </c>
      <c r="X140" s="56"/>
      <c r="Y140" s="56"/>
      <c r="Z140" s="56"/>
      <c r="AA140" s="56"/>
      <c r="AB140" s="56"/>
      <c r="AC140" s="56"/>
      <c r="AD140" s="56"/>
      <c r="AE140" s="56"/>
      <c r="AF140" s="79"/>
      <c r="AG140" s="98">
        <v>0</v>
      </c>
      <c r="AH140" s="108"/>
      <c r="AI140" s="79"/>
      <c r="AJ140" s="57" t="str">
        <f t="shared" si="35"/>
        <v/>
      </c>
      <c r="AK140" s="57">
        <f t="shared" si="36"/>
        <v>0</v>
      </c>
      <c r="AM140" s="69" t="str">
        <f t="shared" si="43"/>
        <v/>
      </c>
      <c r="AR140" s="69" t="e">
        <f>IF(OR(AND($H$6="Both",OR(AND(AG140=0,OR(NOT(ISBLANK(E140)),NOT(ISBLANK(F140)),NOT(ISBLANK(G140)),NOT(ISBLANK(H140)))),AND(AG140=1,#REF!="TRUE",OR(AN140&lt;&gt;0,AO140&lt;&gt;0,AP140&lt;&gt;0,AQ140&lt;&gt;0)),AND(AG140=1,#REF!="FALSE",OR(NOT(ISBLANK(E140)),NOT(ISBLANK(F140)),NOT(ISBLANK(G140)),NOT(ISBLANK(H140)))))),AND($H$6="CHIP",OR(NOT(ISBLANK(E140)),NOT(ISBLANK(F140)),NOT(ISBLANK(G140)),NOT(ISBLANK(H140)))),V140=1),1,0)</f>
        <v>#REF!</v>
      </c>
      <c r="AS140" s="69" t="e">
        <f>IF(AND(OR(OR(#REF!=TRUE,#REF!=TRUE),AND($H$6="Both",OR(AND(AG140=1,#REF!="TRUE",AT140=1,OR(AN140="Yes",AN140="N/A",AN140="Met")),AND(#REF!="FALSE",OR(AND(E140="Yes",NOT(ISBLANK(F140))),AND(E140="N/A",NOT(ISBLANK(H140))),AND(E140="Met",NOT(ISBLANK(F140))))))),AND($H$6="CHIP",OR(AND(E140="Yes",NOT(ISBLANK(F140))),AND(E140="N/A",NOT(ISBLANK(H140))),AND(E140="Met",NOT(ISBLANK(F140)))))),V140=1),1,0)</f>
        <v>#REF!</v>
      </c>
      <c r="AT140" s="69">
        <f t="shared" si="37"/>
        <v>0</v>
      </c>
    </row>
    <row r="141" spans="1:46" ht="63.75" hidden="1" customHeight="1" x14ac:dyDescent="0.25">
      <c r="A141" s="294" t="s">
        <v>2332</v>
      </c>
      <c r="B141" s="295" t="s">
        <v>2333</v>
      </c>
      <c r="C141" s="377" t="s">
        <v>2334</v>
      </c>
      <c r="D141" s="296"/>
      <c r="E141" s="295" t="s">
        <v>311</v>
      </c>
      <c r="F141" s="295" t="s">
        <v>319</v>
      </c>
      <c r="G141" s="295" t="s">
        <v>319</v>
      </c>
      <c r="H141" s="367" t="s">
        <v>319</v>
      </c>
      <c r="I141" s="92" t="s">
        <v>168</v>
      </c>
      <c r="J141" s="92"/>
      <c r="K141" s="92" t="s">
        <v>185</v>
      </c>
      <c r="L141" s="71" t="s">
        <v>190</v>
      </c>
      <c r="M141" s="71"/>
      <c r="N141" s="71"/>
      <c r="O141" s="71"/>
      <c r="P141" s="71" t="s">
        <v>380</v>
      </c>
      <c r="Q141" s="71" t="e">
        <f>IF(OR(AND($C$2="Base contract",$C$3="No, section requirements must be reviewed",#REF!= FALSE,#REF!=FALSE),AND($C$2="Contract amendment",$C$3="No, section requirements must be reviewed",#REF!=FALSE,#REF!=FALSE)),"MUNN")</f>
        <v>#REF!</v>
      </c>
      <c r="R141" s="71"/>
      <c r="S141" s="64">
        <v>43282</v>
      </c>
      <c r="T141" s="64"/>
      <c r="U141" s="64"/>
      <c r="V141" s="97" t="e">
        <f>IF(OR(AND(AG141=1,#REF!="TRUE",AT141=1),#REF!=TRUE,#REF!=TRUE),1,IF(AND(OR(AND(AG141=1,#REF!="FALSE"),AND(AG141&lt;&gt;1,#REF!="FALSE")),OR(AND(E141="Yes",F141&lt;&gt;""),AND(E141="N/A",H141&lt;&gt;""),AND(E141="Met",F141&lt;&gt;""),AND(E141="Not met",G141&lt;&gt;""),AND(E141="Unsure",G141&lt;&gt;""),AND(E141="No",G141&lt;&gt;""),AND(E141="No, submission is in draft",G141&lt;&gt;""))),1,0))</f>
        <v>#REF!</v>
      </c>
      <c r="W141" s="56" t="b">
        <f>IF(AND('Cover Sheet'!$B$19="Non-Risk",$R141=1),TRUE,FALSE)</f>
        <v>0</v>
      </c>
      <c r="X141" s="56"/>
      <c r="Y141" s="56"/>
      <c r="Z141" s="56"/>
      <c r="AA141" s="56"/>
      <c r="AB141" s="56"/>
      <c r="AC141" s="56"/>
      <c r="AD141" s="56"/>
      <c r="AE141" s="56"/>
      <c r="AF141" s="79"/>
      <c r="AG141" s="98">
        <v>0</v>
      </c>
      <c r="AH141" s="108"/>
      <c r="AI141" s="79"/>
      <c r="AJ141" s="57" t="str">
        <f t="shared" si="35"/>
        <v/>
      </c>
      <c r="AK141" s="57">
        <f t="shared" si="36"/>
        <v>0</v>
      </c>
      <c r="AM141" s="69" t="str">
        <f t="shared" si="43"/>
        <v/>
      </c>
      <c r="AR141" s="69" t="e">
        <f>IF(OR(AND($H$6="Both",OR(AND(AG141=0,OR(NOT(ISBLANK(E141)),NOT(ISBLANK(F141)),NOT(ISBLANK(G141)),NOT(ISBLANK(H141)))),AND(AG141=1,#REF!="TRUE",OR(AN141&lt;&gt;0,AO141&lt;&gt;0,AP141&lt;&gt;0,AQ141&lt;&gt;0)),AND(AG141=1,#REF!="FALSE",OR(NOT(ISBLANK(E141)),NOT(ISBLANK(F141)),NOT(ISBLANK(G141)),NOT(ISBLANK(H141)))))),AND($H$6="CHIP",OR(NOT(ISBLANK(E141)),NOT(ISBLANK(F141)),NOT(ISBLANK(G141)),NOT(ISBLANK(H141)))),V141=1),1,0)</f>
        <v>#REF!</v>
      </c>
      <c r="AS141" s="69" t="e">
        <f>IF(AND(OR(OR(#REF!=TRUE,#REF!=TRUE),AND($H$6="Both",OR(AND(AG141=1,#REF!="TRUE",AT141=1,OR(AN141="Yes",AN141="N/A",AN141="Met")),AND(#REF!="FALSE",OR(AND(E141="Yes",NOT(ISBLANK(F141))),AND(E141="N/A",NOT(ISBLANK(H141))),AND(E141="Met",NOT(ISBLANK(F141))))))),AND($H$6="CHIP",OR(AND(E141="Yes",NOT(ISBLANK(F141))),AND(E141="N/A",NOT(ISBLANK(H141))),AND(E141="Met",NOT(ISBLANK(F141)))))),V141=1),1,0)</f>
        <v>#REF!</v>
      </c>
      <c r="AT141" s="69">
        <f t="shared" si="37"/>
        <v>0</v>
      </c>
    </row>
    <row r="142" spans="1:46" ht="23.25" hidden="1" customHeight="1" x14ac:dyDescent="0.25">
      <c r="A142" s="351" t="s">
        <v>2335</v>
      </c>
      <c r="B142" s="339" t="s">
        <v>2333</v>
      </c>
      <c r="C142" s="339" t="s">
        <v>2336</v>
      </c>
      <c r="D142" s="344"/>
      <c r="E142" s="339" t="s">
        <v>311</v>
      </c>
      <c r="F142" s="339" t="s">
        <v>319</v>
      </c>
      <c r="G142" s="339" t="s">
        <v>319</v>
      </c>
      <c r="H142" s="385" t="s">
        <v>319</v>
      </c>
      <c r="I142" s="92" t="s">
        <v>168</v>
      </c>
      <c r="J142" s="92"/>
      <c r="K142" s="92" t="s">
        <v>185</v>
      </c>
      <c r="L142" s="71" t="s">
        <v>190</v>
      </c>
      <c r="M142" s="71"/>
      <c r="N142" s="71"/>
      <c r="O142" s="71"/>
      <c r="P142" s="71" t="s">
        <v>380</v>
      </c>
      <c r="Q142" s="71" t="e">
        <f>IF(OR(AND($C$2="Base contract",$C$3="No, section requirements must be reviewed",#REF!= FALSE,#REF!=FALSE),AND($C$2="Contract amendment",$C$3="No, section requirements must be reviewed",#REF!=FALSE,#REF!=FALSE)),"MUNN")</f>
        <v>#REF!</v>
      </c>
      <c r="R142" s="71"/>
      <c r="S142" s="64">
        <v>43282</v>
      </c>
      <c r="T142" s="64"/>
      <c r="U142" s="64"/>
      <c r="V142" s="97" t="e">
        <f>IF(OR(AND(AG142=1,#REF!="TRUE",AT142=1),#REF!=TRUE,#REF!=TRUE),1,IF(AND(OR(AND(AG142=1,#REF!="FALSE"),AND(AG142&lt;&gt;1,#REF!="FALSE")),OR(AND(E142="Yes",F142&lt;&gt;""),AND(E142="N/A",H142&lt;&gt;""),AND(E142="Met",F142&lt;&gt;""),AND(E142="Not met",G142&lt;&gt;""),AND(E142="Unsure",G142&lt;&gt;""),AND(E142="No",G142&lt;&gt;""),AND(E142="No, submission is in draft",G142&lt;&gt;""))),1,0))</f>
        <v>#REF!</v>
      </c>
      <c r="W142" s="56" t="b">
        <f>IF(AND('Cover Sheet'!$B$19="Non-Risk",$R142=1),TRUE,FALSE)</f>
        <v>0</v>
      </c>
      <c r="X142" s="56"/>
      <c r="Y142" s="56"/>
      <c r="Z142" s="56"/>
      <c r="AA142" s="56"/>
      <c r="AB142" s="56"/>
      <c r="AC142" s="56"/>
      <c r="AD142" s="56"/>
      <c r="AE142" s="56"/>
      <c r="AF142" s="79"/>
      <c r="AG142" s="98">
        <v>0</v>
      </c>
      <c r="AH142" s="108"/>
      <c r="AI142" s="79"/>
      <c r="AJ142" s="57" t="str">
        <f t="shared" si="35"/>
        <v/>
      </c>
      <c r="AK142" s="57">
        <f t="shared" si="36"/>
        <v>0</v>
      </c>
      <c r="AM142" s="69" t="str">
        <f t="shared" si="43"/>
        <v/>
      </c>
      <c r="AR142" s="69" t="e">
        <f>IF(OR(AND($H$6="Both",OR(AND(AG142=0,OR(NOT(ISBLANK(E142)),NOT(ISBLANK(F142)),NOT(ISBLANK(G142)),NOT(ISBLANK(H142)))),AND(AG142=1,#REF!="TRUE",OR(AN142&lt;&gt;0,AO142&lt;&gt;0,AP142&lt;&gt;0,AQ142&lt;&gt;0)),AND(AG142=1,#REF!="FALSE",OR(NOT(ISBLANK(E142)),NOT(ISBLANK(F142)),NOT(ISBLANK(G142)),NOT(ISBLANK(H142)))))),AND($H$6="CHIP",OR(NOT(ISBLANK(E142)),NOT(ISBLANK(F142)),NOT(ISBLANK(G142)),NOT(ISBLANK(H142)))),V142=1),1,0)</f>
        <v>#REF!</v>
      </c>
      <c r="AS142" s="69" t="e">
        <f>IF(AND(OR(OR(#REF!=TRUE,#REF!=TRUE),AND($H$6="Both",OR(AND(AG142=1,#REF!="TRUE",AT142=1,OR(AN142="Yes",AN142="N/A",AN142="Met")),AND(#REF!="FALSE",OR(AND(E142="Yes",NOT(ISBLANK(F142))),AND(E142="N/A",NOT(ISBLANK(H142))),AND(E142="Met",NOT(ISBLANK(F142))))))),AND($H$6="CHIP",OR(AND(E142="Yes",NOT(ISBLANK(F142))),AND(E142="N/A",NOT(ISBLANK(H142))),AND(E142="Met",NOT(ISBLANK(F142)))))),V142=1),1,0)</f>
        <v>#REF!</v>
      </c>
      <c r="AT142" s="69">
        <f t="shared" si="37"/>
        <v>0</v>
      </c>
    </row>
    <row r="143" spans="1:46" ht="15" customHeight="1" x14ac:dyDescent="0.25">
      <c r="A143" s="302" t="s">
        <v>442</v>
      </c>
      <c r="B143" s="303"/>
      <c r="C143" s="547"/>
      <c r="D143" s="304"/>
      <c r="E143" s="269"/>
      <c r="F143" s="270"/>
      <c r="G143" s="271"/>
      <c r="H143" s="271"/>
      <c r="AF143" s="74"/>
      <c r="AG143" s="74"/>
      <c r="AH143" s="74"/>
      <c r="AI143" s="74"/>
    </row>
    <row r="144" spans="1:46" ht="18.75" customHeight="1" x14ac:dyDescent="0.25">
      <c r="A144" s="550">
        <v>1</v>
      </c>
      <c r="B144" s="571" t="s">
        <v>2337</v>
      </c>
      <c r="C144" s="571"/>
      <c r="D144" s="571"/>
      <c r="E144" s="571"/>
      <c r="F144" s="571"/>
      <c r="G144" s="571"/>
      <c r="H144" s="571"/>
      <c r="AF144" s="74"/>
      <c r="AG144" s="74"/>
      <c r="AH144" s="74"/>
      <c r="AI144" s="86"/>
    </row>
    <row r="145" spans="1:16379" ht="17.25" customHeight="1" x14ac:dyDescent="0.25">
      <c r="A145" s="550">
        <v>2</v>
      </c>
      <c r="B145" s="571" t="s">
        <v>2338</v>
      </c>
      <c r="C145" s="571"/>
      <c r="D145" s="571"/>
      <c r="E145" s="571"/>
      <c r="F145" s="571"/>
      <c r="G145" s="571"/>
      <c r="H145" s="571"/>
      <c r="AF145" s="74"/>
      <c r="AG145" s="74"/>
      <c r="AH145" s="74"/>
      <c r="AI145" s="86"/>
    </row>
    <row r="146" spans="1:16379" ht="33.75" customHeight="1" x14ac:dyDescent="0.25">
      <c r="A146" s="550">
        <v>3</v>
      </c>
      <c r="B146" s="571" t="s">
        <v>2339</v>
      </c>
      <c r="C146" s="571"/>
      <c r="D146" s="571"/>
      <c r="E146" s="571"/>
      <c r="F146" s="571"/>
      <c r="G146" s="571"/>
      <c r="H146" s="571"/>
      <c r="I146" s="153"/>
      <c r="J146" s="597"/>
      <c r="K146" s="597"/>
      <c r="L146" s="597"/>
      <c r="M146" s="153"/>
      <c r="N146" s="597"/>
      <c r="O146" s="597"/>
      <c r="P146" s="597"/>
      <c r="Q146" s="153"/>
      <c r="R146" s="597"/>
      <c r="S146" s="597"/>
      <c r="T146" s="553"/>
      <c r="U146" s="553"/>
      <c r="V146" s="153"/>
      <c r="W146" s="553"/>
      <c r="X146" s="153"/>
      <c r="Y146" s="153"/>
      <c r="Z146" s="153"/>
      <c r="AA146" s="153"/>
      <c r="AB146" s="153"/>
      <c r="AC146" s="153"/>
      <c r="AD146" s="153"/>
      <c r="AE146" s="153"/>
      <c r="AF146" s="553"/>
      <c r="AG146" s="553"/>
      <c r="AH146" s="153"/>
      <c r="AI146" s="597"/>
      <c r="AJ146" s="597"/>
      <c r="AK146" s="597"/>
      <c r="AL146" s="153"/>
      <c r="AM146" s="597"/>
      <c r="AN146" s="597"/>
      <c r="AO146" s="153"/>
      <c r="AP146" s="597"/>
      <c r="AQ146" s="597"/>
      <c r="AR146" s="597"/>
      <c r="AS146" s="153"/>
      <c r="AT146" s="597"/>
      <c r="AU146" s="597"/>
      <c r="AV146" s="153"/>
      <c r="AW146" s="597"/>
      <c r="AX146" s="597"/>
      <c r="AY146" s="597"/>
      <c r="AZ146" s="153"/>
      <c r="BA146" s="597"/>
      <c r="BB146" s="597"/>
      <c r="BC146" s="597"/>
      <c r="BD146" s="153"/>
      <c r="BE146" s="597"/>
      <c r="BF146" s="597"/>
      <c r="BG146" s="597"/>
      <c r="BH146" s="153"/>
      <c r="BI146" s="597"/>
      <c r="BJ146" s="597"/>
      <c r="BK146" s="597"/>
      <c r="BL146" s="153"/>
      <c r="BM146" s="597"/>
      <c r="BN146" s="597"/>
      <c r="BO146" s="597"/>
      <c r="BP146" s="153"/>
      <c r="BQ146" s="597"/>
      <c r="BR146" s="597"/>
      <c r="BS146" s="597"/>
      <c r="BT146" s="153"/>
      <c r="BU146" s="597"/>
      <c r="BV146" s="597"/>
      <c r="BW146" s="597"/>
      <c r="BX146" s="153"/>
      <c r="BY146" s="597"/>
      <c r="BZ146" s="597"/>
      <c r="CA146" s="597"/>
      <c r="CB146" s="153"/>
      <c r="CC146" s="597"/>
      <c r="CD146" s="597"/>
      <c r="CE146" s="597"/>
      <c r="CF146" s="153"/>
      <c r="CG146" s="597"/>
      <c r="CH146" s="597"/>
      <c r="CI146" s="597"/>
      <c r="CJ146" s="153"/>
      <c r="CK146" s="597"/>
      <c r="CL146" s="597"/>
      <c r="CM146" s="597"/>
      <c r="CN146" s="153"/>
      <c r="CO146" s="597"/>
      <c r="CP146" s="597"/>
      <c r="CQ146" s="597"/>
      <c r="CR146" s="153"/>
      <c r="CS146" s="597"/>
      <c r="CT146" s="597"/>
      <c r="CU146" s="597"/>
      <c r="CV146" s="153"/>
      <c r="CW146" s="597"/>
      <c r="CX146" s="597"/>
      <c r="CY146" s="597"/>
      <c r="CZ146" s="153"/>
      <c r="DA146" s="597"/>
      <c r="DB146" s="597"/>
      <c r="DC146" s="597"/>
      <c r="DD146" s="153"/>
      <c r="DE146" s="597"/>
      <c r="DF146" s="597"/>
      <c r="DG146" s="597"/>
      <c r="DH146" s="153"/>
      <c r="DI146" s="597"/>
      <c r="DJ146" s="597"/>
      <c r="DK146" s="597"/>
      <c r="DL146" s="153"/>
      <c r="DM146" s="597"/>
      <c r="DN146" s="597"/>
      <c r="DO146" s="597"/>
      <c r="DP146" s="153"/>
      <c r="DQ146" s="597"/>
      <c r="DR146" s="597"/>
      <c r="DS146" s="597"/>
      <c r="DT146" s="153"/>
      <c r="DU146" s="597"/>
      <c r="DV146" s="597"/>
      <c r="DW146" s="597"/>
      <c r="DX146" s="153"/>
      <c r="DY146" s="597"/>
      <c r="DZ146" s="597"/>
      <c r="EA146" s="597"/>
      <c r="EB146" s="153"/>
      <c r="EC146" s="597"/>
      <c r="ED146" s="597"/>
      <c r="EE146" s="597"/>
      <c r="EF146" s="153"/>
      <c r="EG146" s="597"/>
      <c r="EH146" s="597"/>
      <c r="EI146" s="597"/>
      <c r="EJ146" s="153"/>
      <c r="EK146" s="597"/>
      <c r="EL146" s="597"/>
      <c r="EM146" s="597"/>
      <c r="EN146" s="153"/>
      <c r="EO146" s="597"/>
      <c r="EP146" s="597"/>
      <c r="EQ146" s="597"/>
      <c r="ER146" s="153"/>
      <c r="ES146" s="597"/>
      <c r="ET146" s="597"/>
      <c r="EU146" s="597"/>
      <c r="EV146" s="153"/>
      <c r="EW146" s="597"/>
      <c r="EX146" s="597"/>
      <c r="EY146" s="597"/>
      <c r="EZ146" s="153"/>
      <c r="FA146" s="597"/>
      <c r="FB146" s="597"/>
      <c r="FC146" s="597"/>
      <c r="FD146" s="153"/>
      <c r="FE146" s="597"/>
      <c r="FF146" s="597"/>
      <c r="FG146" s="597"/>
      <c r="FH146" s="153"/>
      <c r="FI146" s="597"/>
      <c r="FJ146" s="597"/>
      <c r="FK146" s="597"/>
      <c r="FL146" s="153"/>
      <c r="FM146" s="597"/>
      <c r="FN146" s="597"/>
      <c r="FO146" s="597"/>
      <c r="FP146" s="153"/>
      <c r="FQ146" s="597"/>
      <c r="FR146" s="597"/>
      <c r="FS146" s="597"/>
      <c r="FT146" s="153"/>
      <c r="FU146" s="597"/>
      <c r="FV146" s="597"/>
      <c r="FW146" s="597"/>
      <c r="FX146" s="153"/>
      <c r="FY146" s="597"/>
      <c r="FZ146" s="597"/>
      <c r="GA146" s="597"/>
      <c r="GB146" s="153"/>
      <c r="GC146" s="597"/>
      <c r="GD146" s="597"/>
      <c r="GE146" s="597"/>
      <c r="GF146" s="153"/>
      <c r="GG146" s="597"/>
      <c r="GH146" s="597"/>
      <c r="GI146" s="597"/>
      <c r="GJ146" s="153"/>
      <c r="GK146" s="597"/>
      <c r="GL146" s="597"/>
      <c r="GM146" s="597"/>
      <c r="GN146" s="153"/>
      <c r="GO146" s="597"/>
      <c r="GP146" s="597"/>
      <c r="GQ146" s="597"/>
      <c r="GR146" s="153"/>
      <c r="GS146" s="597"/>
      <c r="GT146" s="597"/>
      <c r="GU146" s="597"/>
      <c r="GV146" s="153"/>
      <c r="GW146" s="597"/>
      <c r="GX146" s="597"/>
      <c r="GY146" s="597"/>
      <c r="GZ146" s="153"/>
      <c r="HA146" s="597"/>
      <c r="HB146" s="597"/>
      <c r="HC146" s="597"/>
      <c r="HD146" s="153"/>
      <c r="HE146" s="597"/>
      <c r="HF146" s="597"/>
      <c r="HG146" s="597"/>
      <c r="HH146" s="153"/>
      <c r="HI146" s="597"/>
      <c r="HJ146" s="597"/>
      <c r="HK146" s="597"/>
      <c r="HL146" s="153"/>
      <c r="HM146" s="597"/>
      <c r="HN146" s="597"/>
      <c r="HO146" s="597"/>
      <c r="HP146" s="153"/>
      <c r="HQ146" s="597"/>
      <c r="HR146" s="597"/>
      <c r="HS146" s="597"/>
      <c r="HT146" s="153"/>
      <c r="HU146" s="597"/>
      <c r="HV146" s="597"/>
      <c r="HW146" s="597"/>
      <c r="HX146" s="153"/>
      <c r="HY146" s="597"/>
      <c r="HZ146" s="597"/>
      <c r="IA146" s="597"/>
      <c r="IB146" s="153"/>
      <c r="IC146" s="597"/>
      <c r="ID146" s="597"/>
      <c r="IE146" s="597"/>
      <c r="IF146" s="153"/>
      <c r="IG146" s="597"/>
      <c r="IH146" s="597"/>
      <c r="II146" s="597"/>
      <c r="IJ146" s="153"/>
      <c r="IK146" s="597"/>
      <c r="IL146" s="597"/>
      <c r="IM146" s="597"/>
      <c r="IN146" s="153"/>
      <c r="IO146" s="597"/>
      <c r="IP146" s="597"/>
      <c r="IQ146" s="597"/>
      <c r="IR146" s="153"/>
      <c r="IS146" s="597"/>
      <c r="IT146" s="597"/>
      <c r="IU146" s="597"/>
      <c r="IV146" s="153"/>
      <c r="IW146" s="597"/>
      <c r="IX146" s="597"/>
      <c r="IY146" s="597"/>
      <c r="IZ146" s="153"/>
      <c r="JA146" s="597"/>
      <c r="JB146" s="597"/>
      <c r="JC146" s="597"/>
      <c r="JD146" s="153"/>
      <c r="JE146" s="597"/>
      <c r="JF146" s="597"/>
      <c r="JG146" s="597"/>
      <c r="JH146" s="153"/>
      <c r="JI146" s="597"/>
      <c r="JJ146" s="597"/>
      <c r="JK146" s="597"/>
      <c r="JL146" s="153"/>
      <c r="JM146" s="597"/>
      <c r="JN146" s="597"/>
      <c r="JO146" s="597"/>
      <c r="JP146" s="153"/>
      <c r="JQ146" s="597"/>
      <c r="JR146" s="597"/>
      <c r="JS146" s="597"/>
      <c r="JT146" s="153"/>
      <c r="JU146" s="597"/>
      <c r="JV146" s="597"/>
      <c r="JW146" s="597"/>
      <c r="JX146" s="153"/>
      <c r="JY146" s="597"/>
      <c r="JZ146" s="597"/>
      <c r="KA146" s="597"/>
      <c r="KB146" s="153"/>
      <c r="KC146" s="597"/>
      <c r="KD146" s="597"/>
      <c r="KE146" s="597"/>
      <c r="KF146" s="153"/>
      <c r="KG146" s="597"/>
      <c r="KH146" s="597"/>
      <c r="KI146" s="597"/>
      <c r="KJ146" s="153"/>
      <c r="KK146" s="597"/>
      <c r="KL146" s="597"/>
      <c r="KM146" s="597"/>
      <c r="KN146" s="153"/>
      <c r="KO146" s="597"/>
      <c r="KP146" s="597"/>
      <c r="KQ146" s="597"/>
      <c r="KR146" s="153"/>
      <c r="KS146" s="597"/>
      <c r="KT146" s="597"/>
      <c r="KU146" s="597"/>
      <c r="KV146" s="153"/>
      <c r="KW146" s="597"/>
      <c r="KX146" s="597"/>
      <c r="KY146" s="597"/>
      <c r="KZ146" s="153"/>
      <c r="LA146" s="597"/>
      <c r="LB146" s="597"/>
      <c r="LC146" s="597"/>
      <c r="LD146" s="153"/>
      <c r="LE146" s="597"/>
      <c r="LF146" s="597"/>
      <c r="LG146" s="597"/>
      <c r="LH146" s="153"/>
      <c r="LI146" s="597"/>
      <c r="LJ146" s="597"/>
      <c r="LK146" s="597"/>
      <c r="LL146" s="153"/>
      <c r="LM146" s="597"/>
      <c r="LN146" s="597"/>
      <c r="LO146" s="597"/>
      <c r="LP146" s="153"/>
      <c r="LQ146" s="597"/>
      <c r="LR146" s="597"/>
      <c r="LS146" s="597"/>
      <c r="LT146" s="153"/>
      <c r="LU146" s="597"/>
      <c r="LV146" s="597"/>
      <c r="LW146" s="597"/>
      <c r="LX146" s="153"/>
      <c r="LY146" s="597"/>
      <c r="LZ146" s="597"/>
      <c r="MA146" s="597"/>
      <c r="MB146" s="153"/>
      <c r="MC146" s="597"/>
      <c r="MD146" s="597"/>
      <c r="ME146" s="597"/>
      <c r="MF146" s="153"/>
      <c r="MG146" s="597"/>
      <c r="MH146" s="597"/>
      <c r="MI146" s="597"/>
      <c r="MJ146" s="153"/>
      <c r="MK146" s="597"/>
      <c r="ML146" s="597"/>
      <c r="MM146" s="597"/>
      <c r="MN146" s="153"/>
      <c r="MO146" s="597"/>
      <c r="MP146" s="597"/>
      <c r="MQ146" s="597"/>
      <c r="MR146" s="153"/>
      <c r="MS146" s="597"/>
      <c r="MT146" s="597"/>
      <c r="MU146" s="597"/>
      <c r="MV146" s="153"/>
      <c r="MW146" s="597"/>
      <c r="MX146" s="597"/>
      <c r="MY146" s="597"/>
      <c r="MZ146" s="153"/>
      <c r="NA146" s="597"/>
      <c r="NB146" s="597"/>
      <c r="NC146" s="597"/>
      <c r="ND146" s="153"/>
      <c r="NE146" s="597"/>
      <c r="NF146" s="597"/>
      <c r="NG146" s="597"/>
      <c r="NH146" s="153"/>
      <c r="NI146" s="597"/>
      <c r="NJ146" s="597"/>
      <c r="NK146" s="597"/>
      <c r="NL146" s="153"/>
      <c r="NM146" s="597"/>
      <c r="NN146" s="597"/>
      <c r="NO146" s="597"/>
      <c r="NP146" s="153"/>
      <c r="NQ146" s="597"/>
      <c r="NR146" s="597"/>
      <c r="NS146" s="597"/>
      <c r="NT146" s="153"/>
      <c r="NU146" s="597"/>
      <c r="NV146" s="597"/>
      <c r="NW146" s="597"/>
      <c r="NX146" s="153"/>
      <c r="NY146" s="597"/>
      <c r="NZ146" s="597"/>
      <c r="OA146" s="597"/>
      <c r="OB146" s="153"/>
      <c r="OC146" s="597"/>
      <c r="OD146" s="597"/>
      <c r="OE146" s="597"/>
      <c r="OF146" s="153"/>
      <c r="OG146" s="597"/>
      <c r="OH146" s="597"/>
      <c r="OI146" s="597"/>
      <c r="OJ146" s="153"/>
      <c r="OK146" s="597"/>
      <c r="OL146" s="597"/>
      <c r="OM146" s="597"/>
      <c r="ON146" s="153"/>
      <c r="OO146" s="597"/>
      <c r="OP146" s="597"/>
      <c r="OQ146" s="597"/>
      <c r="OR146" s="153"/>
      <c r="OS146" s="597"/>
      <c r="OT146" s="597"/>
      <c r="OU146" s="597"/>
      <c r="OV146" s="153"/>
      <c r="OW146" s="597"/>
      <c r="OX146" s="597"/>
      <c r="OY146" s="597"/>
      <c r="OZ146" s="153"/>
      <c r="PA146" s="597"/>
      <c r="PB146" s="597"/>
      <c r="PC146" s="597"/>
      <c r="PD146" s="153"/>
      <c r="PE146" s="597"/>
      <c r="PF146" s="597"/>
      <c r="PG146" s="597"/>
      <c r="PH146" s="153"/>
      <c r="PI146" s="597"/>
      <c r="PJ146" s="597"/>
      <c r="PK146" s="597"/>
      <c r="PL146" s="153"/>
      <c r="PM146" s="597"/>
      <c r="PN146" s="597"/>
      <c r="PO146" s="597"/>
      <c r="PP146" s="153"/>
      <c r="PQ146" s="597"/>
      <c r="PR146" s="597"/>
      <c r="PS146" s="597"/>
      <c r="PT146" s="153"/>
      <c r="PU146" s="597"/>
      <c r="PV146" s="597"/>
      <c r="PW146" s="597"/>
      <c r="PX146" s="153"/>
      <c r="PY146" s="597"/>
      <c r="PZ146" s="597"/>
      <c r="QA146" s="597"/>
      <c r="QB146" s="153"/>
      <c r="QC146" s="597"/>
      <c r="QD146" s="597"/>
      <c r="QE146" s="597"/>
      <c r="QF146" s="153"/>
      <c r="QG146" s="597"/>
      <c r="QH146" s="597"/>
      <c r="QI146" s="597"/>
      <c r="QJ146" s="153"/>
      <c r="QK146" s="597"/>
      <c r="QL146" s="597"/>
      <c r="QM146" s="597"/>
      <c r="QN146" s="153"/>
      <c r="QO146" s="597"/>
      <c r="QP146" s="597"/>
      <c r="QQ146" s="597"/>
      <c r="QR146" s="153"/>
      <c r="QS146" s="597"/>
      <c r="QT146" s="597"/>
      <c r="QU146" s="597"/>
      <c r="QV146" s="153"/>
      <c r="QW146" s="597"/>
      <c r="QX146" s="597"/>
      <c r="QY146" s="597"/>
      <c r="QZ146" s="153"/>
      <c r="RA146" s="597"/>
      <c r="RB146" s="597"/>
      <c r="RC146" s="597"/>
      <c r="RD146" s="153"/>
      <c r="RE146" s="597"/>
      <c r="RF146" s="597"/>
      <c r="RG146" s="597"/>
      <c r="RH146" s="153"/>
      <c r="RI146" s="597"/>
      <c r="RJ146" s="597"/>
      <c r="RK146" s="597"/>
      <c r="RL146" s="153"/>
      <c r="RM146" s="597"/>
      <c r="RN146" s="597"/>
      <c r="RO146" s="597"/>
      <c r="RP146" s="153"/>
      <c r="RQ146" s="597"/>
      <c r="RR146" s="597"/>
      <c r="RS146" s="597"/>
      <c r="RT146" s="153"/>
      <c r="RU146" s="597"/>
      <c r="RV146" s="597"/>
      <c r="RW146" s="597"/>
      <c r="RX146" s="153"/>
      <c r="RY146" s="597"/>
      <c r="RZ146" s="597"/>
      <c r="SA146" s="597"/>
      <c r="SB146" s="153"/>
      <c r="SC146" s="597"/>
      <c r="SD146" s="597"/>
      <c r="SE146" s="597"/>
      <c r="SF146" s="153"/>
      <c r="SG146" s="597"/>
      <c r="SH146" s="597"/>
      <c r="SI146" s="597"/>
      <c r="SJ146" s="153"/>
      <c r="SK146" s="597"/>
      <c r="SL146" s="597"/>
      <c r="SM146" s="597"/>
      <c r="SN146" s="153"/>
      <c r="SO146" s="597"/>
      <c r="SP146" s="597"/>
      <c r="SQ146" s="597"/>
      <c r="SR146" s="153"/>
      <c r="SS146" s="597"/>
      <c r="ST146" s="597"/>
      <c r="SU146" s="597"/>
      <c r="SV146" s="153"/>
      <c r="SW146" s="597"/>
      <c r="SX146" s="597"/>
      <c r="SY146" s="597"/>
      <c r="SZ146" s="153"/>
      <c r="TA146" s="597"/>
      <c r="TB146" s="597"/>
      <c r="TC146" s="597"/>
      <c r="TD146" s="153"/>
      <c r="TE146" s="597"/>
      <c r="TF146" s="597"/>
      <c r="TG146" s="597"/>
      <c r="TH146" s="153"/>
      <c r="TI146" s="597"/>
      <c r="TJ146" s="597"/>
      <c r="TK146" s="597"/>
      <c r="TL146" s="153"/>
      <c r="TM146" s="597"/>
      <c r="TN146" s="597"/>
      <c r="TO146" s="597"/>
      <c r="TP146" s="153"/>
      <c r="TQ146" s="597"/>
      <c r="TR146" s="597"/>
      <c r="TS146" s="597"/>
      <c r="TT146" s="153"/>
      <c r="TU146" s="597"/>
      <c r="TV146" s="597"/>
      <c r="TW146" s="597"/>
      <c r="TX146" s="153"/>
      <c r="TY146" s="597"/>
      <c r="TZ146" s="597"/>
      <c r="UA146" s="597"/>
      <c r="UB146" s="153"/>
      <c r="UC146" s="597"/>
      <c r="UD146" s="597"/>
      <c r="UE146" s="597"/>
      <c r="UF146" s="153"/>
      <c r="UG146" s="597"/>
      <c r="UH146" s="597"/>
      <c r="UI146" s="597"/>
      <c r="UJ146" s="153"/>
      <c r="UK146" s="597"/>
      <c r="UL146" s="597"/>
      <c r="UM146" s="597"/>
      <c r="UN146" s="153"/>
      <c r="UO146" s="597"/>
      <c r="UP146" s="597"/>
      <c r="UQ146" s="597"/>
      <c r="UR146" s="153"/>
      <c r="US146" s="597"/>
      <c r="UT146" s="597"/>
      <c r="UU146" s="597"/>
      <c r="UV146" s="153"/>
      <c r="UW146" s="597"/>
      <c r="UX146" s="597"/>
      <c r="UY146" s="597"/>
      <c r="UZ146" s="153"/>
      <c r="VA146" s="597"/>
      <c r="VB146" s="597"/>
      <c r="VC146" s="597"/>
      <c r="VD146" s="153"/>
      <c r="VE146" s="597"/>
      <c r="VF146" s="597"/>
      <c r="VG146" s="597"/>
      <c r="VH146" s="153"/>
      <c r="VI146" s="597"/>
      <c r="VJ146" s="597"/>
      <c r="VK146" s="597"/>
      <c r="VL146" s="153"/>
      <c r="VM146" s="597"/>
      <c r="VN146" s="597"/>
      <c r="VO146" s="597"/>
      <c r="VP146" s="153"/>
      <c r="VQ146" s="597"/>
      <c r="VR146" s="597"/>
      <c r="VS146" s="597"/>
      <c r="VT146" s="153"/>
      <c r="VU146" s="597"/>
      <c r="VV146" s="597"/>
      <c r="VW146" s="597"/>
      <c r="VX146" s="153"/>
      <c r="VY146" s="597"/>
      <c r="VZ146" s="597"/>
      <c r="WA146" s="597"/>
      <c r="WB146" s="153"/>
      <c r="WC146" s="597"/>
      <c r="WD146" s="597"/>
      <c r="WE146" s="597"/>
      <c r="WF146" s="153"/>
      <c r="WG146" s="597"/>
      <c r="WH146" s="597"/>
      <c r="WI146" s="597"/>
      <c r="WJ146" s="153"/>
      <c r="WK146" s="597"/>
      <c r="WL146" s="597"/>
      <c r="WM146" s="597"/>
      <c r="WN146" s="153"/>
      <c r="WO146" s="597"/>
      <c r="WP146" s="597"/>
      <c r="WQ146" s="597"/>
      <c r="WR146" s="153"/>
      <c r="WS146" s="597"/>
      <c r="WT146" s="597"/>
      <c r="WU146" s="597"/>
      <c r="WV146" s="153"/>
      <c r="WW146" s="597"/>
      <c r="WX146" s="597"/>
      <c r="WY146" s="597"/>
      <c r="WZ146" s="153"/>
      <c r="XA146" s="597"/>
      <c r="XB146" s="597"/>
      <c r="XC146" s="597"/>
      <c r="XD146" s="153"/>
      <c r="XE146" s="597"/>
      <c r="XF146" s="597"/>
      <c r="XG146" s="597"/>
      <c r="XH146" s="153"/>
      <c r="XI146" s="597"/>
      <c r="XJ146" s="597"/>
      <c r="XK146" s="597"/>
      <c r="XL146" s="153"/>
      <c r="XM146" s="597"/>
      <c r="XN146" s="597"/>
      <c r="XO146" s="597"/>
      <c r="XP146" s="153"/>
      <c r="XQ146" s="597"/>
      <c r="XR146" s="597"/>
      <c r="XS146" s="597"/>
      <c r="XT146" s="153"/>
      <c r="XU146" s="597"/>
      <c r="XV146" s="597"/>
      <c r="XW146" s="597"/>
      <c r="XX146" s="153"/>
      <c r="XY146" s="597"/>
      <c r="XZ146" s="597"/>
      <c r="YA146" s="597"/>
      <c r="YB146" s="153"/>
      <c r="YC146" s="597"/>
      <c r="YD146" s="597"/>
      <c r="YE146" s="597"/>
      <c r="YF146" s="153"/>
      <c r="YG146" s="597"/>
      <c r="YH146" s="597"/>
      <c r="YI146" s="597"/>
      <c r="YJ146" s="153"/>
      <c r="YK146" s="597"/>
      <c r="YL146" s="597"/>
      <c r="YM146" s="597"/>
      <c r="YN146" s="153"/>
      <c r="YO146" s="597"/>
      <c r="YP146" s="597"/>
      <c r="YQ146" s="597"/>
      <c r="YR146" s="153"/>
      <c r="YS146" s="597"/>
      <c r="YT146" s="597"/>
      <c r="YU146" s="597"/>
      <c r="YV146" s="153"/>
      <c r="YW146" s="597"/>
      <c r="YX146" s="597"/>
      <c r="YY146" s="597"/>
      <c r="YZ146" s="153"/>
      <c r="ZA146" s="597"/>
      <c r="ZB146" s="597"/>
      <c r="ZC146" s="597"/>
      <c r="ZD146" s="153"/>
      <c r="ZE146" s="597"/>
      <c r="ZF146" s="597"/>
      <c r="ZG146" s="597"/>
      <c r="ZH146" s="153"/>
      <c r="ZI146" s="597"/>
      <c r="ZJ146" s="597"/>
      <c r="ZK146" s="597"/>
      <c r="ZL146" s="153"/>
      <c r="ZM146" s="597"/>
      <c r="ZN146" s="597"/>
      <c r="ZO146" s="597"/>
      <c r="ZP146" s="153"/>
      <c r="ZQ146" s="597"/>
      <c r="ZR146" s="597"/>
      <c r="ZS146" s="597"/>
      <c r="ZT146" s="153"/>
      <c r="ZU146" s="597"/>
      <c r="ZV146" s="597"/>
      <c r="ZW146" s="597"/>
      <c r="ZX146" s="153"/>
      <c r="ZY146" s="597"/>
      <c r="ZZ146" s="597"/>
      <c r="AAA146" s="597"/>
      <c r="AAB146" s="153"/>
      <c r="AAC146" s="597"/>
      <c r="AAD146" s="597"/>
      <c r="AAE146" s="597"/>
      <c r="AAF146" s="153"/>
      <c r="AAG146" s="597"/>
      <c r="AAH146" s="597"/>
      <c r="AAI146" s="597"/>
      <c r="AAJ146" s="153"/>
      <c r="AAK146" s="597"/>
      <c r="AAL146" s="597"/>
      <c r="AAM146" s="597"/>
      <c r="AAN146" s="153"/>
      <c r="AAO146" s="597"/>
      <c r="AAP146" s="597"/>
      <c r="AAQ146" s="597"/>
      <c r="AAR146" s="153"/>
      <c r="AAS146" s="597"/>
      <c r="AAT146" s="597"/>
      <c r="AAU146" s="597"/>
      <c r="AAV146" s="153"/>
      <c r="AAW146" s="597"/>
      <c r="AAX146" s="597"/>
      <c r="AAY146" s="597"/>
      <c r="AAZ146" s="153"/>
      <c r="ABA146" s="597"/>
      <c r="ABB146" s="597"/>
      <c r="ABC146" s="597"/>
      <c r="ABD146" s="153"/>
      <c r="ABE146" s="597"/>
      <c r="ABF146" s="597"/>
      <c r="ABG146" s="597"/>
      <c r="ABH146" s="153"/>
      <c r="ABI146" s="597"/>
      <c r="ABJ146" s="597"/>
      <c r="ABK146" s="597"/>
      <c r="ABL146" s="153"/>
      <c r="ABM146" s="597"/>
      <c r="ABN146" s="597"/>
      <c r="ABO146" s="597"/>
      <c r="ABP146" s="153"/>
      <c r="ABQ146" s="597"/>
      <c r="ABR146" s="597"/>
      <c r="ABS146" s="597"/>
      <c r="ABT146" s="153"/>
      <c r="ABU146" s="597"/>
      <c r="ABV146" s="597"/>
      <c r="ABW146" s="597"/>
      <c r="ABX146" s="153"/>
      <c r="ABY146" s="597"/>
      <c r="ABZ146" s="597"/>
      <c r="ACA146" s="597"/>
      <c r="ACB146" s="153"/>
      <c r="ACC146" s="597"/>
      <c r="ACD146" s="597"/>
      <c r="ACE146" s="597"/>
      <c r="ACF146" s="153"/>
      <c r="ACG146" s="597"/>
      <c r="ACH146" s="597"/>
      <c r="ACI146" s="597"/>
      <c r="ACJ146" s="153"/>
      <c r="ACK146" s="597"/>
      <c r="ACL146" s="597"/>
      <c r="ACM146" s="597"/>
      <c r="ACN146" s="153"/>
      <c r="ACO146" s="597"/>
      <c r="ACP146" s="597"/>
      <c r="ACQ146" s="597"/>
      <c r="ACR146" s="153"/>
      <c r="ACS146" s="597"/>
      <c r="ACT146" s="597"/>
      <c r="ACU146" s="597"/>
      <c r="ACV146" s="153"/>
      <c r="ACW146" s="597"/>
      <c r="ACX146" s="597"/>
      <c r="ACY146" s="597"/>
      <c r="ACZ146" s="153"/>
      <c r="ADA146" s="597"/>
      <c r="ADB146" s="597"/>
      <c r="ADC146" s="597"/>
      <c r="ADD146" s="153"/>
      <c r="ADE146" s="597"/>
      <c r="ADF146" s="597"/>
      <c r="ADG146" s="597"/>
      <c r="ADH146" s="153"/>
      <c r="ADI146" s="597"/>
      <c r="ADJ146" s="597"/>
      <c r="ADK146" s="597"/>
      <c r="ADL146" s="153"/>
      <c r="ADM146" s="597"/>
      <c r="ADN146" s="597"/>
      <c r="ADO146" s="597"/>
      <c r="ADP146" s="153"/>
      <c r="ADQ146" s="597"/>
      <c r="ADR146" s="597"/>
      <c r="ADS146" s="597"/>
      <c r="ADT146" s="153"/>
      <c r="ADU146" s="597"/>
      <c r="ADV146" s="597"/>
      <c r="ADW146" s="597"/>
      <c r="ADX146" s="153"/>
      <c r="ADY146" s="597"/>
      <c r="ADZ146" s="597"/>
      <c r="AEA146" s="597"/>
      <c r="AEB146" s="153"/>
      <c r="AEC146" s="597"/>
      <c r="AED146" s="597"/>
      <c r="AEE146" s="597"/>
      <c r="AEF146" s="153"/>
      <c r="AEG146" s="597"/>
      <c r="AEH146" s="597"/>
      <c r="AEI146" s="597"/>
      <c r="AEJ146" s="153"/>
      <c r="AEK146" s="597"/>
      <c r="AEL146" s="597"/>
      <c r="AEM146" s="597"/>
      <c r="AEN146" s="153"/>
      <c r="AEO146" s="597"/>
      <c r="AEP146" s="597"/>
      <c r="AEQ146" s="597"/>
      <c r="AER146" s="153"/>
      <c r="AES146" s="597"/>
      <c r="AET146" s="597"/>
      <c r="AEU146" s="597"/>
      <c r="AEV146" s="153"/>
      <c r="AEW146" s="597"/>
      <c r="AEX146" s="597"/>
      <c r="AEY146" s="597"/>
      <c r="AEZ146" s="153"/>
      <c r="AFA146" s="597"/>
      <c r="AFB146" s="597"/>
      <c r="AFC146" s="597"/>
      <c r="AFD146" s="153"/>
      <c r="AFE146" s="597"/>
      <c r="AFF146" s="597"/>
      <c r="AFG146" s="597"/>
      <c r="AFH146" s="153"/>
      <c r="AFI146" s="597"/>
      <c r="AFJ146" s="597"/>
      <c r="AFK146" s="597"/>
      <c r="AFL146" s="153"/>
      <c r="AFM146" s="597"/>
      <c r="AFN146" s="597"/>
      <c r="AFO146" s="597"/>
      <c r="AFP146" s="153"/>
      <c r="AFQ146" s="597"/>
      <c r="AFR146" s="597"/>
      <c r="AFS146" s="597"/>
      <c r="AFT146" s="153"/>
      <c r="AFU146" s="597"/>
      <c r="AFV146" s="597"/>
      <c r="AFW146" s="597"/>
      <c r="AFX146" s="153"/>
      <c r="AFY146" s="597"/>
      <c r="AFZ146" s="597"/>
      <c r="AGA146" s="597"/>
      <c r="AGB146" s="153"/>
      <c r="AGC146" s="597"/>
      <c r="AGD146" s="597"/>
      <c r="AGE146" s="597"/>
      <c r="AGF146" s="153"/>
      <c r="AGG146" s="597"/>
      <c r="AGH146" s="597"/>
      <c r="AGI146" s="597"/>
      <c r="AGJ146" s="153"/>
      <c r="AGK146" s="597"/>
      <c r="AGL146" s="597"/>
      <c r="AGM146" s="597"/>
      <c r="AGN146" s="153"/>
      <c r="AGO146" s="597"/>
      <c r="AGP146" s="597"/>
      <c r="AGQ146" s="597"/>
      <c r="AGR146" s="153"/>
      <c r="AGS146" s="597"/>
      <c r="AGT146" s="597"/>
      <c r="AGU146" s="597"/>
      <c r="AGV146" s="153"/>
      <c r="AGW146" s="597"/>
      <c r="AGX146" s="597"/>
      <c r="AGY146" s="597"/>
      <c r="AGZ146" s="153"/>
      <c r="AHA146" s="597"/>
      <c r="AHB146" s="597"/>
      <c r="AHC146" s="597"/>
      <c r="AHD146" s="153"/>
      <c r="AHE146" s="597"/>
      <c r="AHF146" s="597"/>
      <c r="AHG146" s="597"/>
      <c r="AHH146" s="153"/>
      <c r="AHI146" s="597"/>
      <c r="AHJ146" s="597"/>
      <c r="AHK146" s="597"/>
      <c r="AHL146" s="153"/>
      <c r="AHM146" s="597"/>
      <c r="AHN146" s="597"/>
      <c r="AHO146" s="597"/>
      <c r="AHP146" s="153"/>
      <c r="AHQ146" s="597"/>
      <c r="AHR146" s="597"/>
      <c r="AHS146" s="597"/>
      <c r="AHT146" s="153"/>
      <c r="AHU146" s="597"/>
      <c r="AHV146" s="597"/>
      <c r="AHW146" s="597"/>
      <c r="AHX146" s="153"/>
      <c r="AHY146" s="597"/>
      <c r="AHZ146" s="597"/>
      <c r="AIA146" s="597"/>
      <c r="AIB146" s="153"/>
      <c r="AIC146" s="597"/>
      <c r="AID146" s="597"/>
      <c r="AIE146" s="597"/>
      <c r="AIF146" s="153"/>
      <c r="AIG146" s="597"/>
      <c r="AIH146" s="597"/>
      <c r="AII146" s="597"/>
      <c r="AIJ146" s="153"/>
      <c r="AIK146" s="597"/>
      <c r="AIL146" s="597"/>
      <c r="AIM146" s="597"/>
      <c r="AIN146" s="153"/>
      <c r="AIO146" s="597"/>
      <c r="AIP146" s="597"/>
      <c r="AIQ146" s="597"/>
      <c r="AIR146" s="153"/>
      <c r="AIS146" s="597"/>
      <c r="AIT146" s="597"/>
      <c r="AIU146" s="597"/>
      <c r="AIV146" s="153"/>
      <c r="AIW146" s="597"/>
      <c r="AIX146" s="597"/>
      <c r="AIY146" s="597"/>
      <c r="AIZ146" s="153"/>
      <c r="AJA146" s="597"/>
      <c r="AJB146" s="597"/>
      <c r="AJC146" s="597"/>
      <c r="AJD146" s="153"/>
      <c r="AJE146" s="597"/>
      <c r="AJF146" s="597"/>
      <c r="AJG146" s="597"/>
      <c r="AJH146" s="153"/>
      <c r="AJI146" s="597"/>
      <c r="AJJ146" s="597"/>
      <c r="AJK146" s="597"/>
      <c r="AJL146" s="153"/>
      <c r="AJM146" s="597"/>
      <c r="AJN146" s="597"/>
      <c r="AJO146" s="597"/>
      <c r="AJP146" s="153"/>
      <c r="AJQ146" s="597"/>
      <c r="AJR146" s="597"/>
      <c r="AJS146" s="597"/>
      <c r="AJT146" s="153"/>
      <c r="AJU146" s="597"/>
      <c r="AJV146" s="597"/>
      <c r="AJW146" s="597"/>
      <c r="AJX146" s="153"/>
      <c r="AJY146" s="597"/>
      <c r="AJZ146" s="597"/>
      <c r="AKA146" s="597"/>
      <c r="AKB146" s="153"/>
      <c r="AKC146" s="597"/>
      <c r="AKD146" s="597"/>
      <c r="AKE146" s="597"/>
      <c r="AKF146" s="153"/>
      <c r="AKG146" s="597"/>
      <c r="AKH146" s="597"/>
      <c r="AKI146" s="597"/>
      <c r="AKJ146" s="153"/>
      <c r="AKK146" s="597"/>
      <c r="AKL146" s="597"/>
      <c r="AKM146" s="597"/>
      <c r="AKN146" s="153"/>
      <c r="AKO146" s="597"/>
      <c r="AKP146" s="597"/>
      <c r="AKQ146" s="597"/>
      <c r="AKR146" s="153"/>
      <c r="AKS146" s="597"/>
      <c r="AKT146" s="597"/>
      <c r="AKU146" s="597"/>
      <c r="AKV146" s="153"/>
      <c r="AKW146" s="597"/>
      <c r="AKX146" s="597"/>
      <c r="AKY146" s="597"/>
      <c r="AKZ146" s="153"/>
      <c r="ALA146" s="597"/>
      <c r="ALB146" s="597"/>
      <c r="ALC146" s="597"/>
      <c r="ALD146" s="153"/>
      <c r="ALE146" s="597"/>
      <c r="ALF146" s="597"/>
      <c r="ALG146" s="597"/>
      <c r="ALH146" s="153"/>
      <c r="ALI146" s="597"/>
      <c r="ALJ146" s="597"/>
      <c r="ALK146" s="597"/>
      <c r="ALL146" s="153"/>
      <c r="ALM146" s="597"/>
      <c r="ALN146" s="597"/>
      <c r="ALO146" s="597"/>
      <c r="ALP146" s="153"/>
      <c r="ALQ146" s="597"/>
      <c r="ALR146" s="597"/>
      <c r="ALS146" s="597"/>
      <c r="ALT146" s="153"/>
      <c r="ALU146" s="597"/>
      <c r="ALV146" s="597"/>
      <c r="ALW146" s="597"/>
      <c r="ALX146" s="153"/>
      <c r="ALY146" s="597"/>
      <c r="ALZ146" s="597"/>
      <c r="AMA146" s="597"/>
      <c r="AMB146" s="153"/>
      <c r="AMC146" s="597"/>
      <c r="AMD146" s="597"/>
      <c r="AME146" s="597"/>
      <c r="AMF146" s="153"/>
      <c r="AMG146" s="597"/>
      <c r="AMH146" s="597"/>
      <c r="AMI146" s="597"/>
      <c r="AMJ146" s="153"/>
      <c r="AMK146" s="597"/>
      <c r="AML146" s="597"/>
      <c r="AMM146" s="597"/>
      <c r="AMN146" s="153"/>
      <c r="AMO146" s="597"/>
      <c r="AMP146" s="597"/>
      <c r="AMQ146" s="597"/>
      <c r="AMR146" s="153"/>
      <c r="AMS146" s="597"/>
      <c r="AMT146" s="597"/>
      <c r="AMU146" s="597"/>
      <c r="AMV146" s="153"/>
      <c r="AMW146" s="597"/>
      <c r="AMX146" s="597"/>
      <c r="AMY146" s="597"/>
      <c r="AMZ146" s="153"/>
      <c r="ANA146" s="597"/>
      <c r="ANB146" s="597"/>
      <c r="ANC146" s="597"/>
      <c r="AND146" s="153"/>
      <c r="ANE146" s="597"/>
      <c r="ANF146" s="597"/>
      <c r="ANG146" s="597"/>
      <c r="ANH146" s="153"/>
      <c r="ANI146" s="597"/>
      <c r="ANJ146" s="597"/>
      <c r="ANK146" s="597"/>
      <c r="ANL146" s="153"/>
      <c r="ANM146" s="597"/>
      <c r="ANN146" s="597"/>
      <c r="ANO146" s="597"/>
      <c r="ANP146" s="153"/>
      <c r="ANQ146" s="597"/>
      <c r="ANR146" s="597"/>
      <c r="ANS146" s="597"/>
      <c r="ANT146" s="153"/>
      <c r="ANU146" s="597"/>
      <c r="ANV146" s="597"/>
      <c r="ANW146" s="597"/>
      <c r="ANX146" s="153"/>
      <c r="ANY146" s="597"/>
      <c r="ANZ146" s="597"/>
      <c r="AOA146" s="597"/>
      <c r="AOB146" s="153"/>
      <c r="AOC146" s="597"/>
      <c r="AOD146" s="597"/>
      <c r="AOE146" s="597"/>
      <c r="AOF146" s="153"/>
      <c r="AOG146" s="597"/>
      <c r="AOH146" s="597"/>
      <c r="AOI146" s="597"/>
      <c r="AOJ146" s="153"/>
      <c r="AOK146" s="597"/>
      <c r="AOL146" s="597"/>
      <c r="AOM146" s="597"/>
      <c r="AON146" s="153"/>
      <c r="AOO146" s="597"/>
      <c r="AOP146" s="597"/>
      <c r="AOQ146" s="597"/>
      <c r="AOR146" s="153"/>
      <c r="AOS146" s="597"/>
      <c r="AOT146" s="597"/>
      <c r="AOU146" s="597"/>
      <c r="AOV146" s="153"/>
      <c r="AOW146" s="597"/>
      <c r="AOX146" s="597"/>
      <c r="AOY146" s="597"/>
      <c r="AOZ146" s="153"/>
      <c r="APA146" s="597"/>
      <c r="APB146" s="597"/>
      <c r="APC146" s="597"/>
      <c r="APD146" s="153"/>
      <c r="APE146" s="597"/>
      <c r="APF146" s="597"/>
      <c r="APG146" s="597"/>
      <c r="APH146" s="153"/>
      <c r="API146" s="597"/>
      <c r="APJ146" s="597"/>
      <c r="APK146" s="597"/>
      <c r="APL146" s="153"/>
      <c r="APM146" s="597"/>
      <c r="APN146" s="597"/>
      <c r="APO146" s="597"/>
      <c r="APP146" s="153"/>
      <c r="APQ146" s="597"/>
      <c r="APR146" s="597"/>
      <c r="APS146" s="597"/>
      <c r="APT146" s="153"/>
      <c r="APU146" s="597"/>
      <c r="APV146" s="597"/>
      <c r="APW146" s="597"/>
      <c r="APX146" s="153"/>
      <c r="APY146" s="597"/>
      <c r="APZ146" s="597"/>
      <c r="AQA146" s="597"/>
      <c r="AQB146" s="153"/>
      <c r="AQC146" s="597"/>
      <c r="AQD146" s="597"/>
      <c r="AQE146" s="597"/>
      <c r="AQF146" s="153"/>
      <c r="AQG146" s="597"/>
      <c r="AQH146" s="597"/>
      <c r="AQI146" s="597"/>
      <c r="AQJ146" s="153"/>
      <c r="AQK146" s="597"/>
      <c r="AQL146" s="597"/>
      <c r="AQM146" s="597"/>
      <c r="AQN146" s="153"/>
      <c r="AQO146" s="597"/>
      <c r="AQP146" s="597"/>
      <c r="AQQ146" s="597"/>
      <c r="AQR146" s="153"/>
      <c r="AQS146" s="597"/>
      <c r="AQT146" s="597"/>
      <c r="AQU146" s="597"/>
      <c r="AQV146" s="153"/>
      <c r="AQW146" s="597"/>
      <c r="AQX146" s="597"/>
      <c r="AQY146" s="597"/>
      <c r="AQZ146" s="153"/>
      <c r="ARA146" s="597"/>
      <c r="ARB146" s="597"/>
      <c r="ARC146" s="597"/>
      <c r="ARD146" s="153"/>
      <c r="ARE146" s="597"/>
      <c r="ARF146" s="597"/>
      <c r="ARG146" s="597"/>
      <c r="ARH146" s="153"/>
      <c r="ARI146" s="597"/>
      <c r="ARJ146" s="597"/>
      <c r="ARK146" s="597"/>
      <c r="ARL146" s="153"/>
      <c r="ARM146" s="597"/>
      <c r="ARN146" s="597"/>
      <c r="ARO146" s="597"/>
      <c r="ARP146" s="153"/>
      <c r="ARQ146" s="597"/>
      <c r="ARR146" s="597"/>
      <c r="ARS146" s="597"/>
      <c r="ART146" s="153"/>
      <c r="ARU146" s="597"/>
      <c r="ARV146" s="597"/>
      <c r="ARW146" s="597"/>
      <c r="ARX146" s="153"/>
      <c r="ARY146" s="597"/>
      <c r="ARZ146" s="597"/>
      <c r="ASA146" s="597"/>
      <c r="ASB146" s="153"/>
      <c r="ASC146" s="597"/>
      <c r="ASD146" s="597"/>
      <c r="ASE146" s="597"/>
      <c r="ASF146" s="153"/>
      <c r="ASG146" s="597"/>
      <c r="ASH146" s="597"/>
      <c r="ASI146" s="597"/>
      <c r="ASJ146" s="153"/>
      <c r="ASK146" s="597"/>
      <c r="ASL146" s="597"/>
      <c r="ASM146" s="597"/>
      <c r="ASN146" s="153"/>
      <c r="ASO146" s="597"/>
      <c r="ASP146" s="597"/>
      <c r="ASQ146" s="597"/>
      <c r="ASR146" s="153"/>
      <c r="ASS146" s="597"/>
      <c r="AST146" s="597"/>
      <c r="ASU146" s="597"/>
      <c r="ASV146" s="153"/>
      <c r="ASW146" s="597"/>
      <c r="ASX146" s="597"/>
      <c r="ASY146" s="597"/>
      <c r="ASZ146" s="153"/>
      <c r="ATA146" s="597"/>
      <c r="ATB146" s="597"/>
      <c r="ATC146" s="597"/>
      <c r="ATD146" s="153"/>
      <c r="ATE146" s="597"/>
      <c r="ATF146" s="597"/>
      <c r="ATG146" s="597"/>
      <c r="ATH146" s="153"/>
      <c r="ATI146" s="597"/>
      <c r="ATJ146" s="597"/>
      <c r="ATK146" s="597"/>
      <c r="ATL146" s="153"/>
      <c r="ATM146" s="597"/>
      <c r="ATN146" s="597"/>
      <c r="ATO146" s="597"/>
      <c r="ATP146" s="153"/>
      <c r="ATQ146" s="597"/>
      <c r="ATR146" s="597"/>
      <c r="ATS146" s="597"/>
      <c r="ATT146" s="153"/>
      <c r="ATU146" s="597"/>
      <c r="ATV146" s="597"/>
      <c r="ATW146" s="597"/>
      <c r="ATX146" s="153"/>
      <c r="ATY146" s="597"/>
      <c r="ATZ146" s="597"/>
      <c r="AUA146" s="597"/>
      <c r="AUB146" s="153"/>
      <c r="AUC146" s="597"/>
      <c r="AUD146" s="597"/>
      <c r="AUE146" s="597"/>
      <c r="AUF146" s="153"/>
      <c r="AUG146" s="597"/>
      <c r="AUH146" s="597"/>
      <c r="AUI146" s="597"/>
      <c r="AUJ146" s="153"/>
      <c r="AUK146" s="597"/>
      <c r="AUL146" s="597"/>
      <c r="AUM146" s="597"/>
      <c r="AUN146" s="153"/>
      <c r="AUO146" s="597"/>
      <c r="AUP146" s="597"/>
      <c r="AUQ146" s="597"/>
      <c r="AUR146" s="153"/>
      <c r="AUS146" s="597"/>
      <c r="AUT146" s="597"/>
      <c r="AUU146" s="597"/>
      <c r="AUV146" s="153"/>
      <c r="AUW146" s="597"/>
      <c r="AUX146" s="597"/>
      <c r="AUY146" s="597"/>
      <c r="AUZ146" s="153"/>
      <c r="AVA146" s="597"/>
      <c r="AVB146" s="597"/>
      <c r="AVC146" s="597"/>
      <c r="AVD146" s="153"/>
      <c r="AVE146" s="597"/>
      <c r="AVF146" s="597"/>
      <c r="AVG146" s="597"/>
      <c r="AVH146" s="153"/>
      <c r="AVI146" s="597"/>
      <c r="AVJ146" s="597"/>
      <c r="AVK146" s="597"/>
      <c r="AVL146" s="153"/>
      <c r="AVM146" s="597"/>
      <c r="AVN146" s="597"/>
      <c r="AVO146" s="597"/>
      <c r="AVP146" s="153"/>
      <c r="AVQ146" s="597"/>
      <c r="AVR146" s="597"/>
      <c r="AVS146" s="597"/>
      <c r="AVT146" s="153"/>
      <c r="AVU146" s="597"/>
      <c r="AVV146" s="597"/>
      <c r="AVW146" s="597"/>
      <c r="AVX146" s="153"/>
      <c r="AVY146" s="597"/>
      <c r="AVZ146" s="597"/>
      <c r="AWA146" s="597"/>
      <c r="AWB146" s="153"/>
      <c r="AWC146" s="597"/>
      <c r="AWD146" s="597"/>
      <c r="AWE146" s="597"/>
      <c r="AWF146" s="153"/>
      <c r="AWG146" s="597"/>
      <c r="AWH146" s="597"/>
      <c r="AWI146" s="597"/>
      <c r="AWJ146" s="153"/>
      <c r="AWK146" s="597"/>
      <c r="AWL146" s="597"/>
      <c r="AWM146" s="597"/>
      <c r="AWN146" s="153"/>
      <c r="AWO146" s="597"/>
      <c r="AWP146" s="597"/>
      <c r="AWQ146" s="597"/>
      <c r="AWR146" s="153"/>
      <c r="AWS146" s="597"/>
      <c r="AWT146" s="597"/>
      <c r="AWU146" s="597"/>
      <c r="AWV146" s="153"/>
      <c r="AWW146" s="597"/>
      <c r="AWX146" s="597"/>
      <c r="AWY146" s="597"/>
      <c r="AWZ146" s="153"/>
      <c r="AXA146" s="597"/>
      <c r="AXB146" s="597"/>
      <c r="AXC146" s="597"/>
      <c r="AXD146" s="153"/>
      <c r="AXE146" s="597"/>
      <c r="AXF146" s="597"/>
      <c r="AXG146" s="597"/>
      <c r="AXH146" s="153"/>
      <c r="AXI146" s="597"/>
      <c r="AXJ146" s="597"/>
      <c r="AXK146" s="597"/>
      <c r="AXL146" s="153"/>
      <c r="AXM146" s="597"/>
      <c r="AXN146" s="597"/>
      <c r="AXO146" s="597"/>
      <c r="AXP146" s="153"/>
      <c r="AXQ146" s="597"/>
      <c r="AXR146" s="597"/>
      <c r="AXS146" s="597"/>
      <c r="AXT146" s="153"/>
      <c r="AXU146" s="597"/>
      <c r="AXV146" s="597"/>
      <c r="AXW146" s="597"/>
      <c r="AXX146" s="153"/>
      <c r="AXY146" s="597"/>
      <c r="AXZ146" s="597"/>
      <c r="AYA146" s="597"/>
      <c r="AYB146" s="153"/>
      <c r="AYC146" s="597"/>
      <c r="AYD146" s="597"/>
      <c r="AYE146" s="597"/>
      <c r="AYF146" s="153"/>
      <c r="AYG146" s="597"/>
      <c r="AYH146" s="597"/>
      <c r="AYI146" s="597"/>
      <c r="AYJ146" s="153"/>
      <c r="AYK146" s="597"/>
      <c r="AYL146" s="597"/>
      <c r="AYM146" s="597"/>
      <c r="AYN146" s="153"/>
      <c r="AYO146" s="597"/>
      <c r="AYP146" s="597"/>
      <c r="AYQ146" s="597"/>
      <c r="AYR146" s="153"/>
      <c r="AYS146" s="597"/>
      <c r="AYT146" s="597"/>
      <c r="AYU146" s="597"/>
      <c r="AYV146" s="153"/>
      <c r="AYW146" s="597"/>
      <c r="AYX146" s="597"/>
      <c r="AYY146" s="597"/>
      <c r="AYZ146" s="153"/>
      <c r="AZA146" s="597"/>
      <c r="AZB146" s="597"/>
      <c r="AZC146" s="597"/>
      <c r="AZD146" s="153"/>
      <c r="AZE146" s="597"/>
      <c r="AZF146" s="597"/>
      <c r="AZG146" s="597"/>
      <c r="AZH146" s="153"/>
      <c r="AZI146" s="597"/>
      <c r="AZJ146" s="597"/>
      <c r="AZK146" s="597"/>
      <c r="AZL146" s="153"/>
      <c r="AZM146" s="597"/>
      <c r="AZN146" s="597"/>
      <c r="AZO146" s="597"/>
      <c r="AZP146" s="153"/>
      <c r="AZQ146" s="597"/>
      <c r="AZR146" s="597"/>
      <c r="AZS146" s="597"/>
      <c r="AZT146" s="153"/>
      <c r="AZU146" s="597"/>
      <c r="AZV146" s="597"/>
      <c r="AZW146" s="597"/>
      <c r="AZX146" s="153"/>
      <c r="AZY146" s="597"/>
      <c r="AZZ146" s="597"/>
      <c r="BAA146" s="597"/>
      <c r="BAB146" s="153"/>
      <c r="BAC146" s="597"/>
      <c r="BAD146" s="597"/>
      <c r="BAE146" s="597"/>
      <c r="BAF146" s="153"/>
      <c r="BAG146" s="597"/>
      <c r="BAH146" s="597"/>
      <c r="BAI146" s="597"/>
      <c r="BAJ146" s="153"/>
      <c r="BAK146" s="597"/>
      <c r="BAL146" s="597"/>
      <c r="BAM146" s="597"/>
      <c r="BAN146" s="153"/>
      <c r="BAO146" s="597"/>
      <c r="BAP146" s="597"/>
      <c r="BAQ146" s="597"/>
      <c r="BAR146" s="153"/>
      <c r="BAS146" s="597"/>
      <c r="BAT146" s="597"/>
      <c r="BAU146" s="597"/>
      <c r="BAV146" s="153"/>
      <c r="BAW146" s="597"/>
      <c r="BAX146" s="597"/>
      <c r="BAY146" s="597"/>
      <c r="BAZ146" s="153"/>
      <c r="BBA146" s="597"/>
      <c r="BBB146" s="597"/>
      <c r="BBC146" s="597"/>
      <c r="BBD146" s="153"/>
      <c r="BBE146" s="597"/>
      <c r="BBF146" s="597"/>
      <c r="BBG146" s="597"/>
      <c r="BBH146" s="153"/>
      <c r="BBI146" s="597"/>
      <c r="BBJ146" s="597"/>
      <c r="BBK146" s="597"/>
      <c r="BBL146" s="153"/>
      <c r="BBM146" s="597"/>
      <c r="BBN146" s="597"/>
      <c r="BBO146" s="597"/>
      <c r="BBP146" s="153"/>
      <c r="BBQ146" s="597"/>
      <c r="BBR146" s="597"/>
      <c r="BBS146" s="597"/>
      <c r="BBT146" s="153"/>
      <c r="BBU146" s="597"/>
      <c r="BBV146" s="597"/>
      <c r="BBW146" s="597"/>
      <c r="BBX146" s="153"/>
      <c r="BBY146" s="597"/>
      <c r="BBZ146" s="597"/>
      <c r="BCA146" s="597"/>
      <c r="BCB146" s="153"/>
      <c r="BCC146" s="597"/>
      <c r="BCD146" s="597"/>
      <c r="BCE146" s="597"/>
      <c r="BCF146" s="153"/>
      <c r="BCG146" s="597"/>
      <c r="BCH146" s="597"/>
      <c r="BCI146" s="597"/>
      <c r="BCJ146" s="153"/>
      <c r="BCK146" s="597"/>
      <c r="BCL146" s="597"/>
      <c r="BCM146" s="597"/>
      <c r="BCN146" s="153"/>
      <c r="BCO146" s="597"/>
      <c r="BCP146" s="597"/>
      <c r="BCQ146" s="597"/>
      <c r="BCR146" s="153"/>
      <c r="BCS146" s="597"/>
      <c r="BCT146" s="597"/>
      <c r="BCU146" s="597"/>
      <c r="BCV146" s="153"/>
      <c r="BCW146" s="597"/>
      <c r="BCX146" s="597"/>
      <c r="BCY146" s="597"/>
      <c r="BCZ146" s="153"/>
      <c r="BDA146" s="597"/>
      <c r="BDB146" s="597"/>
      <c r="BDC146" s="597"/>
      <c r="BDD146" s="153"/>
      <c r="BDE146" s="597"/>
      <c r="BDF146" s="597"/>
      <c r="BDG146" s="597"/>
      <c r="BDH146" s="153"/>
      <c r="BDI146" s="597"/>
      <c r="BDJ146" s="597"/>
      <c r="BDK146" s="597"/>
      <c r="BDL146" s="153"/>
      <c r="BDM146" s="597"/>
      <c r="BDN146" s="597"/>
      <c r="BDO146" s="597"/>
      <c r="BDP146" s="153"/>
      <c r="BDQ146" s="597"/>
      <c r="BDR146" s="597"/>
      <c r="BDS146" s="597"/>
      <c r="BDT146" s="153"/>
      <c r="BDU146" s="597"/>
      <c r="BDV146" s="597"/>
      <c r="BDW146" s="597"/>
      <c r="BDX146" s="153"/>
      <c r="BDY146" s="597"/>
      <c r="BDZ146" s="597"/>
      <c r="BEA146" s="597"/>
      <c r="BEB146" s="153"/>
      <c r="BEC146" s="597"/>
      <c r="BED146" s="597"/>
      <c r="BEE146" s="597"/>
      <c r="BEF146" s="153"/>
      <c r="BEG146" s="597"/>
      <c r="BEH146" s="597"/>
      <c r="BEI146" s="597"/>
      <c r="BEJ146" s="153"/>
      <c r="BEK146" s="597"/>
      <c r="BEL146" s="597"/>
      <c r="BEM146" s="597"/>
      <c r="BEN146" s="153"/>
      <c r="BEO146" s="597"/>
      <c r="BEP146" s="597"/>
      <c r="BEQ146" s="597"/>
      <c r="BER146" s="153"/>
      <c r="BES146" s="597"/>
      <c r="BET146" s="597"/>
      <c r="BEU146" s="597"/>
      <c r="BEV146" s="153"/>
      <c r="BEW146" s="597"/>
      <c r="BEX146" s="597"/>
      <c r="BEY146" s="597"/>
      <c r="BEZ146" s="153"/>
      <c r="BFA146" s="597"/>
      <c r="BFB146" s="597"/>
      <c r="BFC146" s="597"/>
      <c r="BFD146" s="153"/>
      <c r="BFE146" s="597"/>
      <c r="BFF146" s="597"/>
      <c r="BFG146" s="597"/>
      <c r="BFH146" s="153"/>
      <c r="BFI146" s="597"/>
      <c r="BFJ146" s="597"/>
      <c r="BFK146" s="597"/>
      <c r="BFL146" s="153"/>
      <c r="BFM146" s="597"/>
      <c r="BFN146" s="597"/>
      <c r="BFO146" s="597"/>
      <c r="BFP146" s="153"/>
      <c r="BFQ146" s="597"/>
      <c r="BFR146" s="597"/>
      <c r="BFS146" s="597"/>
      <c r="BFT146" s="153"/>
      <c r="BFU146" s="597"/>
      <c r="BFV146" s="597"/>
      <c r="BFW146" s="597"/>
      <c r="BFX146" s="153"/>
      <c r="BFY146" s="597"/>
      <c r="BFZ146" s="597"/>
      <c r="BGA146" s="597"/>
      <c r="BGB146" s="153"/>
      <c r="BGC146" s="597"/>
      <c r="BGD146" s="597"/>
      <c r="BGE146" s="597"/>
      <c r="BGF146" s="153"/>
      <c r="BGG146" s="597"/>
      <c r="BGH146" s="597"/>
      <c r="BGI146" s="597"/>
      <c r="BGJ146" s="153"/>
      <c r="BGK146" s="597"/>
      <c r="BGL146" s="597"/>
      <c r="BGM146" s="597"/>
      <c r="BGN146" s="153"/>
      <c r="BGO146" s="597"/>
      <c r="BGP146" s="597"/>
      <c r="BGQ146" s="597"/>
      <c r="BGR146" s="153"/>
      <c r="BGS146" s="597"/>
      <c r="BGT146" s="597"/>
      <c r="BGU146" s="597"/>
      <c r="BGV146" s="153"/>
      <c r="BGW146" s="597"/>
      <c r="BGX146" s="597"/>
      <c r="BGY146" s="597"/>
      <c r="BGZ146" s="153"/>
      <c r="BHA146" s="597"/>
      <c r="BHB146" s="597"/>
      <c r="BHC146" s="597"/>
      <c r="BHD146" s="153"/>
      <c r="BHE146" s="597"/>
      <c r="BHF146" s="597"/>
      <c r="BHG146" s="597"/>
      <c r="BHH146" s="153"/>
      <c r="BHI146" s="597"/>
      <c r="BHJ146" s="597"/>
      <c r="BHK146" s="597"/>
      <c r="BHL146" s="153"/>
      <c r="BHM146" s="597"/>
      <c r="BHN146" s="597"/>
      <c r="BHO146" s="597"/>
      <c r="BHP146" s="153"/>
      <c r="BHQ146" s="597"/>
      <c r="BHR146" s="597"/>
      <c r="BHS146" s="597"/>
      <c r="BHT146" s="153"/>
      <c r="BHU146" s="597"/>
      <c r="BHV146" s="597"/>
      <c r="BHW146" s="597"/>
      <c r="BHX146" s="153"/>
      <c r="BHY146" s="597"/>
      <c r="BHZ146" s="597"/>
      <c r="BIA146" s="597"/>
      <c r="BIB146" s="153"/>
      <c r="BIC146" s="597"/>
      <c r="BID146" s="597"/>
      <c r="BIE146" s="597"/>
      <c r="BIF146" s="153"/>
      <c r="BIG146" s="597"/>
      <c r="BIH146" s="597"/>
      <c r="BII146" s="597"/>
      <c r="BIJ146" s="153"/>
      <c r="BIK146" s="597"/>
      <c r="BIL146" s="597"/>
      <c r="BIM146" s="597"/>
      <c r="BIN146" s="153"/>
      <c r="BIO146" s="597"/>
      <c r="BIP146" s="597"/>
      <c r="BIQ146" s="597"/>
      <c r="BIR146" s="153"/>
      <c r="BIS146" s="597"/>
      <c r="BIT146" s="597"/>
      <c r="BIU146" s="597"/>
      <c r="BIV146" s="153"/>
      <c r="BIW146" s="597"/>
      <c r="BIX146" s="597"/>
      <c r="BIY146" s="597"/>
      <c r="BIZ146" s="153"/>
      <c r="BJA146" s="597"/>
      <c r="BJB146" s="597"/>
      <c r="BJC146" s="597"/>
      <c r="BJD146" s="153"/>
      <c r="BJE146" s="597"/>
      <c r="BJF146" s="597"/>
      <c r="BJG146" s="597"/>
      <c r="BJH146" s="153"/>
      <c r="BJI146" s="597"/>
      <c r="BJJ146" s="597"/>
      <c r="BJK146" s="597"/>
      <c r="BJL146" s="153"/>
      <c r="BJM146" s="597"/>
      <c r="BJN146" s="597"/>
      <c r="BJO146" s="597"/>
      <c r="BJP146" s="153"/>
      <c r="BJQ146" s="597"/>
      <c r="BJR146" s="597"/>
      <c r="BJS146" s="597"/>
      <c r="BJT146" s="153"/>
      <c r="BJU146" s="597"/>
      <c r="BJV146" s="597"/>
      <c r="BJW146" s="597"/>
      <c r="BJX146" s="153"/>
      <c r="BJY146" s="597"/>
      <c r="BJZ146" s="597"/>
      <c r="BKA146" s="597"/>
      <c r="BKB146" s="153"/>
      <c r="BKC146" s="597"/>
      <c r="BKD146" s="597"/>
      <c r="BKE146" s="597"/>
      <c r="BKF146" s="153"/>
      <c r="BKG146" s="597"/>
      <c r="BKH146" s="597"/>
      <c r="BKI146" s="597"/>
      <c r="BKJ146" s="153"/>
      <c r="BKK146" s="597"/>
      <c r="BKL146" s="597"/>
      <c r="BKM146" s="597"/>
      <c r="BKN146" s="153"/>
      <c r="BKO146" s="597"/>
      <c r="BKP146" s="597"/>
      <c r="BKQ146" s="597"/>
      <c r="BKR146" s="153"/>
      <c r="BKS146" s="597"/>
      <c r="BKT146" s="597"/>
      <c r="BKU146" s="597"/>
      <c r="BKV146" s="153"/>
      <c r="BKW146" s="597"/>
      <c r="BKX146" s="597"/>
      <c r="BKY146" s="597"/>
      <c r="BKZ146" s="153"/>
      <c r="BLA146" s="597"/>
      <c r="BLB146" s="597"/>
      <c r="BLC146" s="597"/>
      <c r="BLD146" s="153"/>
      <c r="BLE146" s="597"/>
      <c r="BLF146" s="597"/>
      <c r="BLG146" s="597"/>
      <c r="BLH146" s="153"/>
      <c r="BLI146" s="597"/>
      <c r="BLJ146" s="597"/>
      <c r="BLK146" s="597"/>
      <c r="BLL146" s="153"/>
      <c r="BLM146" s="597"/>
      <c r="BLN146" s="597"/>
      <c r="BLO146" s="597"/>
      <c r="BLP146" s="153"/>
      <c r="BLQ146" s="597"/>
      <c r="BLR146" s="597"/>
      <c r="BLS146" s="597"/>
      <c r="BLT146" s="153"/>
      <c r="BLU146" s="597"/>
      <c r="BLV146" s="597"/>
      <c r="BLW146" s="597"/>
      <c r="BLX146" s="153"/>
      <c r="BLY146" s="597"/>
      <c r="BLZ146" s="597"/>
      <c r="BMA146" s="597"/>
      <c r="BMB146" s="153"/>
      <c r="BMC146" s="597"/>
      <c r="BMD146" s="597"/>
      <c r="BME146" s="597"/>
      <c r="BMF146" s="153"/>
      <c r="BMG146" s="597"/>
      <c r="BMH146" s="597"/>
      <c r="BMI146" s="597"/>
      <c r="BMJ146" s="153"/>
      <c r="BMK146" s="597"/>
      <c r="BML146" s="597"/>
      <c r="BMM146" s="597"/>
      <c r="BMN146" s="153"/>
      <c r="BMO146" s="597"/>
      <c r="BMP146" s="597"/>
      <c r="BMQ146" s="597"/>
      <c r="BMR146" s="153"/>
      <c r="BMS146" s="597"/>
      <c r="BMT146" s="597"/>
      <c r="BMU146" s="597"/>
      <c r="BMV146" s="153"/>
      <c r="BMW146" s="597"/>
      <c r="BMX146" s="597"/>
      <c r="BMY146" s="597"/>
      <c r="BMZ146" s="153"/>
      <c r="BNA146" s="597"/>
      <c r="BNB146" s="597"/>
      <c r="BNC146" s="597"/>
      <c r="BND146" s="153"/>
      <c r="BNE146" s="597"/>
      <c r="BNF146" s="597"/>
      <c r="BNG146" s="597"/>
      <c r="BNH146" s="153"/>
      <c r="BNI146" s="597"/>
      <c r="BNJ146" s="597"/>
      <c r="BNK146" s="597"/>
      <c r="BNL146" s="153"/>
      <c r="BNM146" s="597"/>
      <c r="BNN146" s="597"/>
      <c r="BNO146" s="597"/>
      <c r="BNP146" s="153"/>
      <c r="BNQ146" s="597"/>
      <c r="BNR146" s="597"/>
      <c r="BNS146" s="597"/>
      <c r="BNT146" s="153"/>
      <c r="BNU146" s="597"/>
      <c r="BNV146" s="597"/>
      <c r="BNW146" s="597"/>
      <c r="BNX146" s="153"/>
      <c r="BNY146" s="597"/>
      <c r="BNZ146" s="597"/>
      <c r="BOA146" s="597"/>
      <c r="BOB146" s="153"/>
      <c r="BOC146" s="597"/>
      <c r="BOD146" s="597"/>
      <c r="BOE146" s="597"/>
      <c r="BOF146" s="153"/>
      <c r="BOG146" s="597"/>
      <c r="BOH146" s="597"/>
      <c r="BOI146" s="597"/>
      <c r="BOJ146" s="153"/>
      <c r="BOK146" s="597"/>
      <c r="BOL146" s="597"/>
      <c r="BOM146" s="597"/>
      <c r="BON146" s="153"/>
      <c r="BOO146" s="597"/>
      <c r="BOP146" s="597"/>
      <c r="BOQ146" s="597"/>
      <c r="BOR146" s="153"/>
      <c r="BOS146" s="597"/>
      <c r="BOT146" s="597"/>
      <c r="BOU146" s="597"/>
      <c r="BOV146" s="153"/>
      <c r="BOW146" s="597"/>
      <c r="BOX146" s="597"/>
      <c r="BOY146" s="597"/>
      <c r="BOZ146" s="153"/>
      <c r="BPA146" s="597"/>
      <c r="BPB146" s="597"/>
      <c r="BPC146" s="597"/>
      <c r="BPD146" s="153"/>
      <c r="BPE146" s="597"/>
      <c r="BPF146" s="597"/>
      <c r="BPG146" s="597"/>
      <c r="BPH146" s="153"/>
      <c r="BPI146" s="597"/>
      <c r="BPJ146" s="597"/>
      <c r="BPK146" s="597"/>
      <c r="BPL146" s="153"/>
      <c r="BPM146" s="597"/>
      <c r="BPN146" s="597"/>
      <c r="BPO146" s="597"/>
      <c r="BPP146" s="153"/>
      <c r="BPQ146" s="597"/>
      <c r="BPR146" s="597"/>
      <c r="BPS146" s="597"/>
      <c r="BPT146" s="153"/>
      <c r="BPU146" s="597"/>
      <c r="BPV146" s="597"/>
      <c r="BPW146" s="597"/>
      <c r="BPX146" s="153"/>
      <c r="BPY146" s="597"/>
      <c r="BPZ146" s="597"/>
      <c r="BQA146" s="597"/>
      <c r="BQB146" s="153"/>
      <c r="BQC146" s="597"/>
      <c r="BQD146" s="597"/>
      <c r="BQE146" s="597"/>
      <c r="BQF146" s="153"/>
      <c r="BQG146" s="597"/>
      <c r="BQH146" s="597"/>
      <c r="BQI146" s="597"/>
      <c r="BQJ146" s="153"/>
      <c r="BQK146" s="597"/>
      <c r="BQL146" s="597"/>
      <c r="BQM146" s="597"/>
      <c r="BQN146" s="153"/>
      <c r="BQO146" s="597"/>
      <c r="BQP146" s="597"/>
      <c r="BQQ146" s="597"/>
      <c r="BQR146" s="153"/>
      <c r="BQS146" s="597"/>
      <c r="BQT146" s="597"/>
      <c r="BQU146" s="597"/>
      <c r="BQV146" s="153"/>
      <c r="BQW146" s="597"/>
      <c r="BQX146" s="597"/>
      <c r="BQY146" s="597"/>
      <c r="BQZ146" s="153"/>
      <c r="BRA146" s="597"/>
      <c r="BRB146" s="597"/>
      <c r="BRC146" s="597"/>
      <c r="BRD146" s="153"/>
      <c r="BRE146" s="597"/>
      <c r="BRF146" s="597"/>
      <c r="BRG146" s="597"/>
      <c r="BRH146" s="153"/>
      <c r="BRI146" s="597"/>
      <c r="BRJ146" s="597"/>
      <c r="BRK146" s="597"/>
      <c r="BRL146" s="153"/>
      <c r="BRM146" s="597"/>
      <c r="BRN146" s="597"/>
      <c r="BRO146" s="597"/>
      <c r="BRP146" s="153"/>
      <c r="BRQ146" s="597"/>
      <c r="BRR146" s="597"/>
      <c r="BRS146" s="597"/>
      <c r="BRT146" s="153"/>
      <c r="BRU146" s="597"/>
      <c r="BRV146" s="597"/>
      <c r="BRW146" s="597"/>
      <c r="BRX146" s="153"/>
      <c r="BRY146" s="597"/>
      <c r="BRZ146" s="597"/>
      <c r="BSA146" s="597"/>
      <c r="BSB146" s="153"/>
      <c r="BSC146" s="597"/>
      <c r="BSD146" s="597"/>
      <c r="BSE146" s="597"/>
      <c r="BSF146" s="153"/>
      <c r="BSG146" s="597"/>
      <c r="BSH146" s="597"/>
      <c r="BSI146" s="597"/>
      <c r="BSJ146" s="153"/>
      <c r="BSK146" s="597"/>
      <c r="BSL146" s="597"/>
      <c r="BSM146" s="597"/>
      <c r="BSN146" s="153"/>
      <c r="BSO146" s="597"/>
      <c r="BSP146" s="597"/>
      <c r="BSQ146" s="597"/>
      <c r="BSR146" s="153"/>
      <c r="BSS146" s="597"/>
      <c r="BST146" s="597"/>
      <c r="BSU146" s="597"/>
      <c r="BSV146" s="153"/>
      <c r="BSW146" s="597"/>
      <c r="BSX146" s="597"/>
      <c r="BSY146" s="597"/>
      <c r="BSZ146" s="153"/>
      <c r="BTA146" s="597"/>
      <c r="BTB146" s="597"/>
      <c r="BTC146" s="597"/>
      <c r="BTD146" s="153"/>
      <c r="BTE146" s="597"/>
      <c r="BTF146" s="597"/>
      <c r="BTG146" s="597"/>
      <c r="BTH146" s="153"/>
      <c r="BTI146" s="597"/>
      <c r="BTJ146" s="597"/>
      <c r="BTK146" s="597"/>
      <c r="BTL146" s="153"/>
      <c r="BTM146" s="597"/>
      <c r="BTN146" s="597"/>
      <c r="BTO146" s="597"/>
      <c r="BTP146" s="153"/>
      <c r="BTQ146" s="597"/>
      <c r="BTR146" s="597"/>
      <c r="BTS146" s="597"/>
      <c r="BTT146" s="153"/>
      <c r="BTU146" s="597"/>
      <c r="BTV146" s="597"/>
      <c r="BTW146" s="597"/>
      <c r="BTX146" s="153"/>
      <c r="BTY146" s="597"/>
      <c r="BTZ146" s="597"/>
      <c r="BUA146" s="597"/>
      <c r="BUB146" s="153"/>
      <c r="BUC146" s="597"/>
      <c r="BUD146" s="597"/>
      <c r="BUE146" s="597"/>
      <c r="BUF146" s="153"/>
      <c r="BUG146" s="597"/>
      <c r="BUH146" s="597"/>
      <c r="BUI146" s="597"/>
      <c r="BUJ146" s="153"/>
      <c r="BUK146" s="597"/>
      <c r="BUL146" s="597"/>
      <c r="BUM146" s="597"/>
      <c r="BUN146" s="153"/>
      <c r="BUO146" s="597"/>
      <c r="BUP146" s="597"/>
      <c r="BUQ146" s="597"/>
      <c r="BUR146" s="153"/>
      <c r="BUS146" s="597"/>
      <c r="BUT146" s="597"/>
      <c r="BUU146" s="597"/>
      <c r="BUV146" s="153"/>
      <c r="BUW146" s="597"/>
      <c r="BUX146" s="597"/>
      <c r="BUY146" s="597"/>
      <c r="BUZ146" s="153"/>
      <c r="BVA146" s="597"/>
      <c r="BVB146" s="597"/>
      <c r="BVC146" s="597"/>
      <c r="BVD146" s="153"/>
      <c r="BVE146" s="597"/>
      <c r="BVF146" s="597"/>
      <c r="BVG146" s="597"/>
      <c r="BVH146" s="153"/>
      <c r="BVI146" s="597"/>
      <c r="BVJ146" s="597"/>
      <c r="BVK146" s="597"/>
      <c r="BVL146" s="153"/>
      <c r="BVM146" s="597"/>
      <c r="BVN146" s="597"/>
      <c r="BVO146" s="597"/>
      <c r="BVP146" s="153"/>
      <c r="BVQ146" s="597"/>
      <c r="BVR146" s="597"/>
      <c r="BVS146" s="597"/>
      <c r="BVT146" s="153"/>
      <c r="BVU146" s="597"/>
      <c r="BVV146" s="597"/>
      <c r="BVW146" s="597"/>
      <c r="BVX146" s="153"/>
      <c r="BVY146" s="597"/>
      <c r="BVZ146" s="597"/>
      <c r="BWA146" s="597"/>
      <c r="BWB146" s="153"/>
      <c r="BWC146" s="597"/>
      <c r="BWD146" s="597"/>
      <c r="BWE146" s="597"/>
      <c r="BWF146" s="153"/>
      <c r="BWG146" s="597"/>
      <c r="BWH146" s="597"/>
      <c r="BWI146" s="597"/>
      <c r="BWJ146" s="153"/>
      <c r="BWK146" s="597"/>
      <c r="BWL146" s="597"/>
      <c r="BWM146" s="597"/>
      <c r="BWN146" s="153"/>
      <c r="BWO146" s="597"/>
      <c r="BWP146" s="597"/>
      <c r="BWQ146" s="597"/>
      <c r="BWR146" s="153"/>
      <c r="BWS146" s="597"/>
      <c r="BWT146" s="597"/>
      <c r="BWU146" s="597"/>
      <c r="BWV146" s="153"/>
      <c r="BWW146" s="597"/>
      <c r="BWX146" s="597"/>
      <c r="BWY146" s="597"/>
      <c r="BWZ146" s="153"/>
      <c r="BXA146" s="597"/>
      <c r="BXB146" s="597"/>
      <c r="BXC146" s="597"/>
      <c r="BXD146" s="153"/>
      <c r="BXE146" s="597"/>
      <c r="BXF146" s="597"/>
      <c r="BXG146" s="597"/>
      <c r="BXH146" s="153"/>
      <c r="BXI146" s="597"/>
      <c r="BXJ146" s="597"/>
      <c r="BXK146" s="597"/>
      <c r="BXL146" s="153"/>
      <c r="BXM146" s="597"/>
      <c r="BXN146" s="597"/>
      <c r="BXO146" s="597"/>
      <c r="BXP146" s="153"/>
      <c r="BXQ146" s="597"/>
      <c r="BXR146" s="597"/>
      <c r="BXS146" s="597"/>
      <c r="BXT146" s="153"/>
      <c r="BXU146" s="597"/>
      <c r="BXV146" s="597"/>
      <c r="BXW146" s="597"/>
      <c r="BXX146" s="153"/>
      <c r="BXY146" s="597"/>
      <c r="BXZ146" s="597"/>
      <c r="BYA146" s="597"/>
      <c r="BYB146" s="153"/>
      <c r="BYC146" s="597"/>
      <c r="BYD146" s="597"/>
      <c r="BYE146" s="597"/>
      <c r="BYF146" s="153"/>
      <c r="BYG146" s="597"/>
      <c r="BYH146" s="597"/>
      <c r="BYI146" s="597"/>
      <c r="BYJ146" s="153"/>
      <c r="BYK146" s="597"/>
      <c r="BYL146" s="597"/>
      <c r="BYM146" s="597"/>
      <c r="BYN146" s="153"/>
      <c r="BYO146" s="597"/>
      <c r="BYP146" s="597"/>
      <c r="BYQ146" s="597"/>
      <c r="BYR146" s="153"/>
      <c r="BYS146" s="597"/>
      <c r="BYT146" s="597"/>
      <c r="BYU146" s="597"/>
      <c r="BYV146" s="153"/>
      <c r="BYW146" s="597"/>
      <c r="BYX146" s="597"/>
      <c r="BYY146" s="597"/>
      <c r="BYZ146" s="153"/>
      <c r="BZA146" s="597"/>
      <c r="BZB146" s="597"/>
      <c r="BZC146" s="597"/>
      <c r="BZD146" s="153"/>
      <c r="BZE146" s="597"/>
      <c r="BZF146" s="597"/>
      <c r="BZG146" s="597"/>
      <c r="BZH146" s="153"/>
      <c r="BZI146" s="597"/>
      <c r="BZJ146" s="597"/>
      <c r="BZK146" s="597"/>
      <c r="BZL146" s="153"/>
      <c r="BZM146" s="597"/>
      <c r="BZN146" s="597"/>
      <c r="BZO146" s="597"/>
      <c r="BZP146" s="153"/>
      <c r="BZQ146" s="597"/>
      <c r="BZR146" s="597"/>
      <c r="BZS146" s="597"/>
      <c r="BZT146" s="153"/>
      <c r="BZU146" s="597"/>
      <c r="BZV146" s="597"/>
      <c r="BZW146" s="597"/>
      <c r="BZX146" s="153"/>
      <c r="BZY146" s="597"/>
      <c r="BZZ146" s="597"/>
      <c r="CAA146" s="597"/>
      <c r="CAB146" s="153"/>
      <c r="CAC146" s="597"/>
      <c r="CAD146" s="597"/>
      <c r="CAE146" s="597"/>
      <c r="CAF146" s="153"/>
      <c r="CAG146" s="597"/>
      <c r="CAH146" s="597"/>
      <c r="CAI146" s="597"/>
      <c r="CAJ146" s="153"/>
      <c r="CAK146" s="597"/>
      <c r="CAL146" s="597"/>
      <c r="CAM146" s="597"/>
      <c r="CAN146" s="153"/>
      <c r="CAO146" s="597"/>
      <c r="CAP146" s="597"/>
      <c r="CAQ146" s="597"/>
      <c r="CAR146" s="153"/>
      <c r="CAS146" s="597"/>
      <c r="CAT146" s="597"/>
      <c r="CAU146" s="597"/>
      <c r="CAV146" s="153"/>
      <c r="CAW146" s="597"/>
      <c r="CAX146" s="597"/>
      <c r="CAY146" s="597"/>
      <c r="CAZ146" s="153"/>
      <c r="CBA146" s="597"/>
      <c r="CBB146" s="597"/>
      <c r="CBC146" s="597"/>
      <c r="CBD146" s="153"/>
      <c r="CBE146" s="597"/>
      <c r="CBF146" s="597"/>
      <c r="CBG146" s="597"/>
      <c r="CBH146" s="153"/>
      <c r="CBI146" s="597"/>
      <c r="CBJ146" s="597"/>
      <c r="CBK146" s="597"/>
      <c r="CBL146" s="153"/>
      <c r="CBM146" s="597"/>
      <c r="CBN146" s="597"/>
      <c r="CBO146" s="597"/>
      <c r="CBP146" s="153"/>
      <c r="CBQ146" s="597"/>
      <c r="CBR146" s="597"/>
      <c r="CBS146" s="597"/>
      <c r="CBT146" s="153"/>
      <c r="CBU146" s="597"/>
      <c r="CBV146" s="597"/>
      <c r="CBW146" s="597"/>
      <c r="CBX146" s="153"/>
      <c r="CBY146" s="597"/>
      <c r="CBZ146" s="597"/>
      <c r="CCA146" s="597"/>
      <c r="CCB146" s="153"/>
      <c r="CCC146" s="597"/>
      <c r="CCD146" s="597"/>
      <c r="CCE146" s="597"/>
      <c r="CCF146" s="153"/>
      <c r="CCG146" s="597"/>
      <c r="CCH146" s="597"/>
      <c r="CCI146" s="597"/>
      <c r="CCJ146" s="153"/>
      <c r="CCK146" s="597"/>
      <c r="CCL146" s="597"/>
      <c r="CCM146" s="597"/>
      <c r="CCN146" s="153"/>
      <c r="CCO146" s="597"/>
      <c r="CCP146" s="597"/>
      <c r="CCQ146" s="597"/>
      <c r="CCR146" s="153"/>
      <c r="CCS146" s="597"/>
      <c r="CCT146" s="597"/>
      <c r="CCU146" s="597"/>
      <c r="CCV146" s="153"/>
      <c r="CCW146" s="597"/>
      <c r="CCX146" s="597"/>
      <c r="CCY146" s="597"/>
      <c r="CCZ146" s="153"/>
      <c r="CDA146" s="597"/>
      <c r="CDB146" s="597"/>
      <c r="CDC146" s="597"/>
      <c r="CDD146" s="153"/>
      <c r="CDE146" s="597"/>
      <c r="CDF146" s="597"/>
      <c r="CDG146" s="597"/>
      <c r="CDH146" s="153"/>
      <c r="CDI146" s="597"/>
      <c r="CDJ146" s="597"/>
      <c r="CDK146" s="597"/>
      <c r="CDL146" s="153"/>
      <c r="CDM146" s="597"/>
      <c r="CDN146" s="597"/>
      <c r="CDO146" s="597"/>
      <c r="CDP146" s="153"/>
      <c r="CDQ146" s="597"/>
      <c r="CDR146" s="597"/>
      <c r="CDS146" s="597"/>
      <c r="CDT146" s="153"/>
      <c r="CDU146" s="597"/>
      <c r="CDV146" s="597"/>
      <c r="CDW146" s="597"/>
      <c r="CDX146" s="153"/>
      <c r="CDY146" s="597"/>
      <c r="CDZ146" s="597"/>
      <c r="CEA146" s="597"/>
      <c r="CEB146" s="153"/>
      <c r="CEC146" s="597"/>
      <c r="CED146" s="597"/>
      <c r="CEE146" s="597"/>
      <c r="CEF146" s="153"/>
      <c r="CEG146" s="597"/>
      <c r="CEH146" s="597"/>
      <c r="CEI146" s="597"/>
      <c r="CEJ146" s="153"/>
      <c r="CEK146" s="597"/>
      <c r="CEL146" s="597"/>
      <c r="CEM146" s="597"/>
      <c r="CEN146" s="153"/>
      <c r="CEO146" s="597"/>
      <c r="CEP146" s="597"/>
      <c r="CEQ146" s="597"/>
      <c r="CER146" s="153"/>
      <c r="CES146" s="597"/>
      <c r="CET146" s="597"/>
      <c r="CEU146" s="597"/>
      <c r="CEV146" s="153"/>
      <c r="CEW146" s="597"/>
      <c r="CEX146" s="597"/>
      <c r="CEY146" s="597"/>
      <c r="CEZ146" s="153"/>
      <c r="CFA146" s="597"/>
      <c r="CFB146" s="597"/>
      <c r="CFC146" s="597"/>
      <c r="CFD146" s="153"/>
      <c r="CFE146" s="597"/>
      <c r="CFF146" s="597"/>
      <c r="CFG146" s="597"/>
      <c r="CFH146" s="153"/>
      <c r="CFI146" s="597"/>
      <c r="CFJ146" s="597"/>
      <c r="CFK146" s="597"/>
      <c r="CFL146" s="153"/>
      <c r="CFM146" s="597"/>
      <c r="CFN146" s="597"/>
      <c r="CFO146" s="597"/>
      <c r="CFP146" s="153"/>
      <c r="CFQ146" s="597"/>
      <c r="CFR146" s="597"/>
      <c r="CFS146" s="597"/>
      <c r="CFT146" s="153"/>
      <c r="CFU146" s="597"/>
      <c r="CFV146" s="597"/>
      <c r="CFW146" s="597"/>
      <c r="CFX146" s="153"/>
      <c r="CFY146" s="597"/>
      <c r="CFZ146" s="597"/>
      <c r="CGA146" s="597"/>
      <c r="CGB146" s="153"/>
      <c r="CGC146" s="597"/>
      <c r="CGD146" s="597"/>
      <c r="CGE146" s="597"/>
      <c r="CGF146" s="153"/>
      <c r="CGG146" s="597"/>
      <c r="CGH146" s="597"/>
      <c r="CGI146" s="597"/>
      <c r="CGJ146" s="153"/>
      <c r="CGK146" s="597"/>
      <c r="CGL146" s="597"/>
      <c r="CGM146" s="597"/>
      <c r="CGN146" s="153"/>
      <c r="CGO146" s="597"/>
      <c r="CGP146" s="597"/>
      <c r="CGQ146" s="597"/>
      <c r="CGR146" s="153"/>
      <c r="CGS146" s="597"/>
      <c r="CGT146" s="597"/>
      <c r="CGU146" s="597"/>
      <c r="CGV146" s="153"/>
      <c r="CGW146" s="597"/>
      <c r="CGX146" s="597"/>
      <c r="CGY146" s="597"/>
      <c r="CGZ146" s="153"/>
      <c r="CHA146" s="597"/>
      <c r="CHB146" s="597"/>
      <c r="CHC146" s="597"/>
      <c r="CHD146" s="153"/>
      <c r="CHE146" s="597"/>
      <c r="CHF146" s="597"/>
      <c r="CHG146" s="597"/>
      <c r="CHH146" s="153"/>
      <c r="CHI146" s="597"/>
      <c r="CHJ146" s="597"/>
      <c r="CHK146" s="597"/>
      <c r="CHL146" s="153"/>
      <c r="CHM146" s="597"/>
      <c r="CHN146" s="597"/>
      <c r="CHO146" s="597"/>
      <c r="CHP146" s="153"/>
      <c r="CHQ146" s="597"/>
      <c r="CHR146" s="597"/>
      <c r="CHS146" s="597"/>
      <c r="CHT146" s="153"/>
      <c r="CHU146" s="597"/>
      <c r="CHV146" s="597"/>
      <c r="CHW146" s="597"/>
      <c r="CHX146" s="153"/>
      <c r="CHY146" s="597"/>
      <c r="CHZ146" s="597"/>
      <c r="CIA146" s="597"/>
      <c r="CIB146" s="153"/>
      <c r="CIC146" s="597"/>
      <c r="CID146" s="597"/>
      <c r="CIE146" s="597"/>
      <c r="CIF146" s="153"/>
      <c r="CIG146" s="597"/>
      <c r="CIH146" s="597"/>
      <c r="CII146" s="597"/>
      <c r="CIJ146" s="153"/>
      <c r="CIK146" s="597"/>
      <c r="CIL146" s="597"/>
      <c r="CIM146" s="597"/>
      <c r="CIN146" s="153"/>
      <c r="CIO146" s="597"/>
      <c r="CIP146" s="597"/>
      <c r="CIQ146" s="597"/>
      <c r="CIR146" s="153"/>
      <c r="CIS146" s="597"/>
      <c r="CIT146" s="597"/>
      <c r="CIU146" s="597"/>
      <c r="CIV146" s="153"/>
      <c r="CIW146" s="597"/>
      <c r="CIX146" s="597"/>
      <c r="CIY146" s="597"/>
      <c r="CIZ146" s="153"/>
      <c r="CJA146" s="597"/>
      <c r="CJB146" s="597"/>
      <c r="CJC146" s="597"/>
      <c r="CJD146" s="153"/>
      <c r="CJE146" s="597"/>
      <c r="CJF146" s="597"/>
      <c r="CJG146" s="597"/>
      <c r="CJH146" s="153"/>
      <c r="CJI146" s="597"/>
      <c r="CJJ146" s="597"/>
      <c r="CJK146" s="597"/>
      <c r="CJL146" s="153"/>
      <c r="CJM146" s="597"/>
      <c r="CJN146" s="597"/>
      <c r="CJO146" s="597"/>
      <c r="CJP146" s="153"/>
      <c r="CJQ146" s="597"/>
      <c r="CJR146" s="597"/>
      <c r="CJS146" s="597"/>
      <c r="CJT146" s="153"/>
      <c r="CJU146" s="597"/>
      <c r="CJV146" s="597"/>
      <c r="CJW146" s="597"/>
      <c r="CJX146" s="153"/>
      <c r="CJY146" s="597"/>
      <c r="CJZ146" s="597"/>
      <c r="CKA146" s="597"/>
      <c r="CKB146" s="153"/>
      <c r="CKC146" s="597"/>
      <c r="CKD146" s="597"/>
      <c r="CKE146" s="597"/>
      <c r="CKF146" s="153"/>
      <c r="CKG146" s="597"/>
      <c r="CKH146" s="597"/>
      <c r="CKI146" s="597"/>
      <c r="CKJ146" s="153"/>
      <c r="CKK146" s="597"/>
      <c r="CKL146" s="597"/>
      <c r="CKM146" s="597"/>
      <c r="CKN146" s="153"/>
      <c r="CKO146" s="597"/>
      <c r="CKP146" s="597"/>
      <c r="CKQ146" s="597"/>
      <c r="CKR146" s="153"/>
      <c r="CKS146" s="597"/>
      <c r="CKT146" s="597"/>
      <c r="CKU146" s="597"/>
      <c r="CKV146" s="153"/>
      <c r="CKW146" s="597"/>
      <c r="CKX146" s="597"/>
      <c r="CKY146" s="597"/>
      <c r="CKZ146" s="153"/>
      <c r="CLA146" s="597"/>
      <c r="CLB146" s="597"/>
      <c r="CLC146" s="597"/>
      <c r="CLD146" s="153"/>
      <c r="CLE146" s="597"/>
      <c r="CLF146" s="597"/>
      <c r="CLG146" s="597"/>
      <c r="CLH146" s="153"/>
      <c r="CLI146" s="597"/>
      <c r="CLJ146" s="597"/>
      <c r="CLK146" s="597"/>
      <c r="CLL146" s="153"/>
      <c r="CLM146" s="597"/>
      <c r="CLN146" s="597"/>
      <c r="CLO146" s="597"/>
      <c r="CLP146" s="153"/>
      <c r="CLQ146" s="597"/>
      <c r="CLR146" s="597"/>
      <c r="CLS146" s="597"/>
      <c r="CLT146" s="153"/>
      <c r="CLU146" s="597"/>
      <c r="CLV146" s="597"/>
      <c r="CLW146" s="597"/>
      <c r="CLX146" s="153"/>
      <c r="CLY146" s="597"/>
      <c r="CLZ146" s="597"/>
      <c r="CMA146" s="597"/>
      <c r="CMB146" s="153"/>
      <c r="CMC146" s="597"/>
      <c r="CMD146" s="597"/>
      <c r="CME146" s="597"/>
      <c r="CMF146" s="153"/>
      <c r="CMG146" s="597"/>
      <c r="CMH146" s="597"/>
      <c r="CMI146" s="597"/>
      <c r="CMJ146" s="153"/>
      <c r="CMK146" s="597"/>
      <c r="CML146" s="597"/>
      <c r="CMM146" s="597"/>
      <c r="CMN146" s="153"/>
      <c r="CMO146" s="597"/>
      <c r="CMP146" s="597"/>
      <c r="CMQ146" s="597"/>
      <c r="CMR146" s="153"/>
      <c r="CMS146" s="597"/>
      <c r="CMT146" s="597"/>
      <c r="CMU146" s="597"/>
      <c r="CMV146" s="153"/>
      <c r="CMW146" s="597"/>
      <c r="CMX146" s="597"/>
      <c r="CMY146" s="597"/>
      <c r="CMZ146" s="153"/>
      <c r="CNA146" s="597"/>
      <c r="CNB146" s="597"/>
      <c r="CNC146" s="597"/>
      <c r="CND146" s="153"/>
      <c r="CNE146" s="597"/>
      <c r="CNF146" s="597"/>
      <c r="CNG146" s="597"/>
      <c r="CNH146" s="153"/>
      <c r="CNI146" s="597"/>
      <c r="CNJ146" s="597"/>
      <c r="CNK146" s="597"/>
      <c r="CNL146" s="153"/>
      <c r="CNM146" s="597"/>
      <c r="CNN146" s="597"/>
      <c r="CNO146" s="597"/>
      <c r="CNP146" s="153"/>
      <c r="CNQ146" s="597"/>
      <c r="CNR146" s="597"/>
      <c r="CNS146" s="597"/>
      <c r="CNT146" s="153"/>
      <c r="CNU146" s="597"/>
      <c r="CNV146" s="597"/>
      <c r="CNW146" s="597"/>
      <c r="CNX146" s="153"/>
      <c r="CNY146" s="597"/>
      <c r="CNZ146" s="597"/>
      <c r="COA146" s="597"/>
      <c r="COB146" s="153"/>
      <c r="COC146" s="597"/>
      <c r="COD146" s="597"/>
      <c r="COE146" s="597"/>
      <c r="COF146" s="153"/>
      <c r="COG146" s="597"/>
      <c r="COH146" s="597"/>
      <c r="COI146" s="597"/>
      <c r="COJ146" s="153"/>
      <c r="COK146" s="597"/>
      <c r="COL146" s="597"/>
      <c r="COM146" s="597"/>
      <c r="CON146" s="153"/>
      <c r="COO146" s="597"/>
      <c r="COP146" s="597"/>
      <c r="COQ146" s="597"/>
      <c r="COR146" s="153"/>
      <c r="COS146" s="597"/>
      <c r="COT146" s="597"/>
      <c r="COU146" s="597"/>
      <c r="COV146" s="153"/>
      <c r="COW146" s="597"/>
      <c r="COX146" s="597"/>
      <c r="COY146" s="597"/>
      <c r="COZ146" s="153"/>
      <c r="CPA146" s="597"/>
      <c r="CPB146" s="597"/>
      <c r="CPC146" s="597"/>
      <c r="CPD146" s="153"/>
      <c r="CPE146" s="597"/>
      <c r="CPF146" s="597"/>
      <c r="CPG146" s="597"/>
      <c r="CPH146" s="153"/>
      <c r="CPI146" s="597"/>
      <c r="CPJ146" s="597"/>
      <c r="CPK146" s="597"/>
      <c r="CPL146" s="153"/>
      <c r="CPM146" s="597"/>
      <c r="CPN146" s="597"/>
      <c r="CPO146" s="597"/>
      <c r="CPP146" s="153"/>
      <c r="CPQ146" s="597"/>
      <c r="CPR146" s="597"/>
      <c r="CPS146" s="597"/>
      <c r="CPT146" s="153"/>
      <c r="CPU146" s="597"/>
      <c r="CPV146" s="597"/>
      <c r="CPW146" s="597"/>
      <c r="CPX146" s="153"/>
      <c r="CPY146" s="597"/>
      <c r="CPZ146" s="597"/>
      <c r="CQA146" s="597"/>
      <c r="CQB146" s="153"/>
      <c r="CQC146" s="597"/>
      <c r="CQD146" s="597"/>
      <c r="CQE146" s="597"/>
      <c r="CQF146" s="153"/>
      <c r="CQG146" s="597"/>
      <c r="CQH146" s="597"/>
      <c r="CQI146" s="597"/>
      <c r="CQJ146" s="153"/>
      <c r="CQK146" s="597"/>
      <c r="CQL146" s="597"/>
      <c r="CQM146" s="597"/>
      <c r="CQN146" s="153"/>
      <c r="CQO146" s="597"/>
      <c r="CQP146" s="597"/>
      <c r="CQQ146" s="597"/>
      <c r="CQR146" s="153"/>
      <c r="CQS146" s="597"/>
      <c r="CQT146" s="597"/>
      <c r="CQU146" s="597"/>
      <c r="CQV146" s="153"/>
      <c r="CQW146" s="597"/>
      <c r="CQX146" s="597"/>
      <c r="CQY146" s="597"/>
      <c r="CQZ146" s="153"/>
      <c r="CRA146" s="597"/>
      <c r="CRB146" s="597"/>
      <c r="CRC146" s="597"/>
      <c r="CRD146" s="153"/>
      <c r="CRE146" s="597"/>
      <c r="CRF146" s="597"/>
      <c r="CRG146" s="597"/>
      <c r="CRH146" s="153"/>
      <c r="CRI146" s="597"/>
      <c r="CRJ146" s="597"/>
      <c r="CRK146" s="597"/>
      <c r="CRL146" s="153"/>
      <c r="CRM146" s="597"/>
      <c r="CRN146" s="597"/>
      <c r="CRO146" s="597"/>
      <c r="CRP146" s="153"/>
      <c r="CRQ146" s="597"/>
      <c r="CRR146" s="597"/>
      <c r="CRS146" s="597"/>
      <c r="CRT146" s="153"/>
      <c r="CRU146" s="597"/>
      <c r="CRV146" s="597"/>
      <c r="CRW146" s="597"/>
      <c r="CRX146" s="153"/>
      <c r="CRY146" s="597"/>
      <c r="CRZ146" s="597"/>
      <c r="CSA146" s="597"/>
      <c r="CSB146" s="153"/>
      <c r="CSC146" s="597"/>
      <c r="CSD146" s="597"/>
      <c r="CSE146" s="597"/>
      <c r="CSF146" s="153"/>
      <c r="CSG146" s="597"/>
      <c r="CSH146" s="597"/>
      <c r="CSI146" s="597"/>
      <c r="CSJ146" s="153"/>
      <c r="CSK146" s="597"/>
      <c r="CSL146" s="597"/>
      <c r="CSM146" s="597"/>
      <c r="CSN146" s="153"/>
      <c r="CSO146" s="597"/>
      <c r="CSP146" s="597"/>
      <c r="CSQ146" s="597"/>
      <c r="CSR146" s="153"/>
      <c r="CSS146" s="597"/>
      <c r="CST146" s="597"/>
      <c r="CSU146" s="597"/>
      <c r="CSV146" s="153"/>
      <c r="CSW146" s="597"/>
      <c r="CSX146" s="597"/>
      <c r="CSY146" s="597"/>
      <c r="CSZ146" s="153"/>
      <c r="CTA146" s="597"/>
      <c r="CTB146" s="597"/>
      <c r="CTC146" s="597"/>
      <c r="CTD146" s="153"/>
      <c r="CTE146" s="597"/>
      <c r="CTF146" s="597"/>
      <c r="CTG146" s="597"/>
      <c r="CTH146" s="153"/>
      <c r="CTI146" s="597"/>
      <c r="CTJ146" s="597"/>
      <c r="CTK146" s="597"/>
      <c r="CTL146" s="153"/>
      <c r="CTM146" s="597"/>
      <c r="CTN146" s="597"/>
      <c r="CTO146" s="597"/>
      <c r="CTP146" s="153"/>
      <c r="CTQ146" s="597"/>
      <c r="CTR146" s="597"/>
      <c r="CTS146" s="597"/>
      <c r="CTT146" s="153"/>
      <c r="CTU146" s="597"/>
      <c r="CTV146" s="597"/>
      <c r="CTW146" s="597"/>
      <c r="CTX146" s="153"/>
      <c r="CTY146" s="597"/>
      <c r="CTZ146" s="597"/>
      <c r="CUA146" s="597"/>
      <c r="CUB146" s="153"/>
      <c r="CUC146" s="597"/>
      <c r="CUD146" s="597"/>
      <c r="CUE146" s="597"/>
      <c r="CUF146" s="153"/>
      <c r="CUG146" s="597"/>
      <c r="CUH146" s="597"/>
      <c r="CUI146" s="597"/>
      <c r="CUJ146" s="153"/>
      <c r="CUK146" s="597"/>
      <c r="CUL146" s="597"/>
      <c r="CUM146" s="597"/>
      <c r="CUN146" s="153"/>
      <c r="CUO146" s="597"/>
      <c r="CUP146" s="597"/>
      <c r="CUQ146" s="597"/>
      <c r="CUR146" s="153"/>
      <c r="CUS146" s="597"/>
      <c r="CUT146" s="597"/>
      <c r="CUU146" s="597"/>
      <c r="CUV146" s="153"/>
      <c r="CUW146" s="597"/>
      <c r="CUX146" s="597"/>
      <c r="CUY146" s="597"/>
      <c r="CUZ146" s="153"/>
      <c r="CVA146" s="597"/>
      <c r="CVB146" s="597"/>
      <c r="CVC146" s="597"/>
      <c r="CVD146" s="153"/>
      <c r="CVE146" s="597"/>
      <c r="CVF146" s="597"/>
      <c r="CVG146" s="597"/>
      <c r="CVH146" s="153"/>
      <c r="CVI146" s="597"/>
      <c r="CVJ146" s="597"/>
      <c r="CVK146" s="597"/>
      <c r="CVL146" s="153"/>
      <c r="CVM146" s="597"/>
      <c r="CVN146" s="597"/>
      <c r="CVO146" s="597"/>
      <c r="CVP146" s="153"/>
      <c r="CVQ146" s="597"/>
      <c r="CVR146" s="597"/>
      <c r="CVS146" s="597"/>
      <c r="CVT146" s="153"/>
      <c r="CVU146" s="597"/>
      <c r="CVV146" s="597"/>
      <c r="CVW146" s="597"/>
      <c r="CVX146" s="153"/>
      <c r="CVY146" s="597"/>
      <c r="CVZ146" s="597"/>
      <c r="CWA146" s="597"/>
      <c r="CWB146" s="153"/>
      <c r="CWC146" s="597"/>
      <c r="CWD146" s="597"/>
      <c r="CWE146" s="597"/>
      <c r="CWF146" s="153"/>
      <c r="CWG146" s="597"/>
      <c r="CWH146" s="597"/>
      <c r="CWI146" s="597"/>
      <c r="CWJ146" s="153"/>
      <c r="CWK146" s="597"/>
      <c r="CWL146" s="597"/>
      <c r="CWM146" s="597"/>
      <c r="CWN146" s="153"/>
      <c r="CWO146" s="597"/>
      <c r="CWP146" s="597"/>
      <c r="CWQ146" s="597"/>
      <c r="CWR146" s="153"/>
      <c r="CWS146" s="597"/>
      <c r="CWT146" s="597"/>
      <c r="CWU146" s="597"/>
      <c r="CWV146" s="153"/>
      <c r="CWW146" s="597"/>
      <c r="CWX146" s="597"/>
      <c r="CWY146" s="597"/>
      <c r="CWZ146" s="153"/>
      <c r="CXA146" s="597"/>
      <c r="CXB146" s="597"/>
      <c r="CXC146" s="597"/>
      <c r="CXD146" s="153"/>
      <c r="CXE146" s="597"/>
      <c r="CXF146" s="597"/>
      <c r="CXG146" s="597"/>
      <c r="CXH146" s="153"/>
      <c r="CXI146" s="597"/>
      <c r="CXJ146" s="597"/>
      <c r="CXK146" s="597"/>
      <c r="CXL146" s="153"/>
      <c r="CXM146" s="597"/>
      <c r="CXN146" s="597"/>
      <c r="CXO146" s="597"/>
      <c r="CXP146" s="153"/>
      <c r="CXQ146" s="597"/>
      <c r="CXR146" s="597"/>
      <c r="CXS146" s="597"/>
      <c r="CXT146" s="153"/>
      <c r="CXU146" s="597"/>
      <c r="CXV146" s="597"/>
      <c r="CXW146" s="597"/>
      <c r="CXX146" s="153"/>
      <c r="CXY146" s="597"/>
      <c r="CXZ146" s="597"/>
      <c r="CYA146" s="597"/>
      <c r="CYB146" s="153"/>
      <c r="CYC146" s="597"/>
      <c r="CYD146" s="597"/>
      <c r="CYE146" s="597"/>
      <c r="CYF146" s="153"/>
      <c r="CYG146" s="597"/>
      <c r="CYH146" s="597"/>
      <c r="CYI146" s="597"/>
      <c r="CYJ146" s="153"/>
      <c r="CYK146" s="597"/>
      <c r="CYL146" s="597"/>
      <c r="CYM146" s="597"/>
      <c r="CYN146" s="153"/>
      <c r="CYO146" s="597"/>
      <c r="CYP146" s="597"/>
      <c r="CYQ146" s="597"/>
      <c r="CYR146" s="153"/>
      <c r="CYS146" s="597"/>
      <c r="CYT146" s="597"/>
      <c r="CYU146" s="597"/>
      <c r="CYV146" s="153"/>
      <c r="CYW146" s="597"/>
      <c r="CYX146" s="597"/>
      <c r="CYY146" s="597"/>
      <c r="CYZ146" s="153"/>
      <c r="CZA146" s="597"/>
      <c r="CZB146" s="597"/>
      <c r="CZC146" s="597"/>
      <c r="CZD146" s="153"/>
      <c r="CZE146" s="597"/>
      <c r="CZF146" s="597"/>
      <c r="CZG146" s="597"/>
      <c r="CZH146" s="153"/>
      <c r="CZI146" s="597"/>
      <c r="CZJ146" s="597"/>
      <c r="CZK146" s="597"/>
      <c r="CZL146" s="153"/>
      <c r="CZM146" s="597"/>
      <c r="CZN146" s="597"/>
      <c r="CZO146" s="597"/>
      <c r="CZP146" s="153"/>
      <c r="CZQ146" s="597"/>
      <c r="CZR146" s="597"/>
      <c r="CZS146" s="597"/>
      <c r="CZT146" s="153"/>
      <c r="CZU146" s="597"/>
      <c r="CZV146" s="597"/>
      <c r="CZW146" s="597"/>
      <c r="CZX146" s="153"/>
      <c r="CZY146" s="597"/>
      <c r="CZZ146" s="597"/>
      <c r="DAA146" s="597"/>
      <c r="DAB146" s="153"/>
      <c r="DAC146" s="597"/>
      <c r="DAD146" s="597"/>
      <c r="DAE146" s="597"/>
      <c r="DAF146" s="153"/>
      <c r="DAG146" s="597"/>
      <c r="DAH146" s="597"/>
      <c r="DAI146" s="597"/>
      <c r="DAJ146" s="153"/>
      <c r="DAK146" s="597"/>
      <c r="DAL146" s="597"/>
      <c r="DAM146" s="597"/>
      <c r="DAN146" s="153"/>
      <c r="DAO146" s="597"/>
      <c r="DAP146" s="597"/>
      <c r="DAQ146" s="597"/>
      <c r="DAR146" s="153"/>
      <c r="DAS146" s="597"/>
      <c r="DAT146" s="597"/>
      <c r="DAU146" s="597"/>
      <c r="DAV146" s="153"/>
      <c r="DAW146" s="597"/>
      <c r="DAX146" s="597"/>
      <c r="DAY146" s="597"/>
      <c r="DAZ146" s="153"/>
      <c r="DBA146" s="597"/>
      <c r="DBB146" s="597"/>
      <c r="DBC146" s="597"/>
      <c r="DBD146" s="153"/>
      <c r="DBE146" s="597"/>
      <c r="DBF146" s="597"/>
      <c r="DBG146" s="597"/>
      <c r="DBH146" s="153"/>
      <c r="DBI146" s="597"/>
      <c r="DBJ146" s="597"/>
      <c r="DBK146" s="597"/>
      <c r="DBL146" s="153"/>
      <c r="DBM146" s="597"/>
      <c r="DBN146" s="597"/>
      <c r="DBO146" s="597"/>
      <c r="DBP146" s="153"/>
      <c r="DBQ146" s="597"/>
      <c r="DBR146" s="597"/>
      <c r="DBS146" s="597"/>
      <c r="DBT146" s="153"/>
      <c r="DBU146" s="597"/>
      <c r="DBV146" s="597"/>
      <c r="DBW146" s="597"/>
      <c r="DBX146" s="153"/>
      <c r="DBY146" s="597"/>
      <c r="DBZ146" s="597"/>
      <c r="DCA146" s="597"/>
      <c r="DCB146" s="153"/>
      <c r="DCC146" s="597"/>
      <c r="DCD146" s="597"/>
      <c r="DCE146" s="597"/>
      <c r="DCF146" s="153"/>
      <c r="DCG146" s="597"/>
      <c r="DCH146" s="597"/>
      <c r="DCI146" s="597"/>
      <c r="DCJ146" s="153"/>
      <c r="DCK146" s="597"/>
      <c r="DCL146" s="597"/>
      <c r="DCM146" s="597"/>
      <c r="DCN146" s="153"/>
      <c r="DCO146" s="597"/>
      <c r="DCP146" s="597"/>
      <c r="DCQ146" s="597"/>
      <c r="DCR146" s="153"/>
      <c r="DCS146" s="597"/>
      <c r="DCT146" s="597"/>
      <c r="DCU146" s="597"/>
      <c r="DCV146" s="153"/>
      <c r="DCW146" s="597"/>
      <c r="DCX146" s="597"/>
      <c r="DCY146" s="597"/>
      <c r="DCZ146" s="153"/>
      <c r="DDA146" s="597"/>
      <c r="DDB146" s="597"/>
      <c r="DDC146" s="597"/>
      <c r="DDD146" s="153"/>
      <c r="DDE146" s="597"/>
      <c r="DDF146" s="597"/>
      <c r="DDG146" s="597"/>
      <c r="DDH146" s="153"/>
      <c r="DDI146" s="597"/>
      <c r="DDJ146" s="597"/>
      <c r="DDK146" s="597"/>
      <c r="DDL146" s="153"/>
      <c r="DDM146" s="597"/>
      <c r="DDN146" s="597"/>
      <c r="DDO146" s="597"/>
      <c r="DDP146" s="153"/>
      <c r="DDQ146" s="597"/>
      <c r="DDR146" s="597"/>
      <c r="DDS146" s="597"/>
      <c r="DDT146" s="153"/>
      <c r="DDU146" s="597"/>
      <c r="DDV146" s="597"/>
      <c r="DDW146" s="597"/>
      <c r="DDX146" s="153"/>
      <c r="DDY146" s="597"/>
      <c r="DDZ146" s="597"/>
      <c r="DEA146" s="597"/>
      <c r="DEB146" s="153"/>
      <c r="DEC146" s="597"/>
      <c r="DED146" s="597"/>
      <c r="DEE146" s="597"/>
      <c r="DEF146" s="153"/>
      <c r="DEG146" s="597"/>
      <c r="DEH146" s="597"/>
      <c r="DEI146" s="597"/>
      <c r="DEJ146" s="153"/>
      <c r="DEK146" s="597"/>
      <c r="DEL146" s="597"/>
      <c r="DEM146" s="597"/>
      <c r="DEN146" s="153"/>
      <c r="DEO146" s="597"/>
      <c r="DEP146" s="597"/>
      <c r="DEQ146" s="597"/>
      <c r="DER146" s="153"/>
      <c r="DES146" s="597"/>
      <c r="DET146" s="597"/>
      <c r="DEU146" s="597"/>
      <c r="DEV146" s="153"/>
      <c r="DEW146" s="597"/>
      <c r="DEX146" s="597"/>
      <c r="DEY146" s="597"/>
      <c r="DEZ146" s="153"/>
      <c r="DFA146" s="597"/>
      <c r="DFB146" s="597"/>
      <c r="DFC146" s="597"/>
      <c r="DFD146" s="153"/>
      <c r="DFE146" s="597"/>
      <c r="DFF146" s="597"/>
      <c r="DFG146" s="597"/>
      <c r="DFH146" s="153"/>
      <c r="DFI146" s="597"/>
      <c r="DFJ146" s="597"/>
      <c r="DFK146" s="597"/>
      <c r="DFL146" s="153"/>
      <c r="DFM146" s="597"/>
      <c r="DFN146" s="597"/>
      <c r="DFO146" s="597"/>
      <c r="DFP146" s="153"/>
      <c r="DFQ146" s="597"/>
      <c r="DFR146" s="597"/>
      <c r="DFS146" s="597"/>
      <c r="DFT146" s="153"/>
      <c r="DFU146" s="597"/>
      <c r="DFV146" s="597"/>
      <c r="DFW146" s="597"/>
      <c r="DFX146" s="153"/>
      <c r="DFY146" s="597"/>
      <c r="DFZ146" s="597"/>
      <c r="DGA146" s="597"/>
      <c r="DGB146" s="153"/>
      <c r="DGC146" s="597"/>
      <c r="DGD146" s="597"/>
      <c r="DGE146" s="597"/>
      <c r="DGF146" s="153"/>
      <c r="DGG146" s="597"/>
      <c r="DGH146" s="597"/>
      <c r="DGI146" s="597"/>
      <c r="DGJ146" s="153"/>
      <c r="DGK146" s="597"/>
      <c r="DGL146" s="597"/>
      <c r="DGM146" s="597"/>
      <c r="DGN146" s="153"/>
      <c r="DGO146" s="597"/>
      <c r="DGP146" s="597"/>
      <c r="DGQ146" s="597"/>
      <c r="DGR146" s="153"/>
      <c r="DGS146" s="597"/>
      <c r="DGT146" s="597"/>
      <c r="DGU146" s="597"/>
      <c r="DGV146" s="153"/>
      <c r="DGW146" s="597"/>
      <c r="DGX146" s="597"/>
      <c r="DGY146" s="597"/>
      <c r="DGZ146" s="153"/>
      <c r="DHA146" s="597"/>
      <c r="DHB146" s="597"/>
      <c r="DHC146" s="597"/>
      <c r="DHD146" s="153"/>
      <c r="DHE146" s="597"/>
      <c r="DHF146" s="597"/>
      <c r="DHG146" s="597"/>
      <c r="DHH146" s="153"/>
      <c r="DHI146" s="597"/>
      <c r="DHJ146" s="597"/>
      <c r="DHK146" s="597"/>
      <c r="DHL146" s="153"/>
      <c r="DHM146" s="597"/>
      <c r="DHN146" s="597"/>
      <c r="DHO146" s="597"/>
      <c r="DHP146" s="153"/>
      <c r="DHQ146" s="597"/>
      <c r="DHR146" s="597"/>
      <c r="DHS146" s="597"/>
      <c r="DHT146" s="153"/>
      <c r="DHU146" s="597"/>
      <c r="DHV146" s="597"/>
      <c r="DHW146" s="597"/>
      <c r="DHX146" s="153"/>
      <c r="DHY146" s="597"/>
      <c r="DHZ146" s="597"/>
      <c r="DIA146" s="597"/>
      <c r="DIB146" s="153"/>
      <c r="DIC146" s="597"/>
      <c r="DID146" s="597"/>
      <c r="DIE146" s="597"/>
      <c r="DIF146" s="153"/>
      <c r="DIG146" s="597"/>
      <c r="DIH146" s="597"/>
      <c r="DII146" s="597"/>
      <c r="DIJ146" s="153"/>
      <c r="DIK146" s="597"/>
      <c r="DIL146" s="597"/>
      <c r="DIM146" s="597"/>
      <c r="DIN146" s="153"/>
      <c r="DIO146" s="597"/>
      <c r="DIP146" s="597"/>
      <c r="DIQ146" s="597"/>
      <c r="DIR146" s="153"/>
      <c r="DIS146" s="597"/>
      <c r="DIT146" s="597"/>
      <c r="DIU146" s="597"/>
      <c r="DIV146" s="153"/>
      <c r="DIW146" s="597"/>
      <c r="DIX146" s="597"/>
      <c r="DIY146" s="597"/>
      <c r="DIZ146" s="153"/>
      <c r="DJA146" s="597"/>
      <c r="DJB146" s="597"/>
      <c r="DJC146" s="597"/>
      <c r="DJD146" s="153"/>
      <c r="DJE146" s="597"/>
      <c r="DJF146" s="597"/>
      <c r="DJG146" s="597"/>
      <c r="DJH146" s="153"/>
      <c r="DJI146" s="597"/>
      <c r="DJJ146" s="597"/>
      <c r="DJK146" s="597"/>
      <c r="DJL146" s="153"/>
      <c r="DJM146" s="597"/>
      <c r="DJN146" s="597"/>
      <c r="DJO146" s="597"/>
      <c r="DJP146" s="153"/>
      <c r="DJQ146" s="597"/>
      <c r="DJR146" s="597"/>
      <c r="DJS146" s="597"/>
      <c r="DJT146" s="153"/>
      <c r="DJU146" s="597"/>
      <c r="DJV146" s="597"/>
      <c r="DJW146" s="597"/>
      <c r="DJX146" s="153"/>
      <c r="DJY146" s="597"/>
      <c r="DJZ146" s="597"/>
      <c r="DKA146" s="597"/>
      <c r="DKB146" s="153"/>
      <c r="DKC146" s="597"/>
      <c r="DKD146" s="597"/>
      <c r="DKE146" s="597"/>
      <c r="DKF146" s="153"/>
      <c r="DKG146" s="597"/>
      <c r="DKH146" s="597"/>
      <c r="DKI146" s="597"/>
      <c r="DKJ146" s="153"/>
      <c r="DKK146" s="597"/>
      <c r="DKL146" s="597"/>
      <c r="DKM146" s="597"/>
      <c r="DKN146" s="153"/>
      <c r="DKO146" s="597"/>
      <c r="DKP146" s="597"/>
      <c r="DKQ146" s="597"/>
      <c r="DKR146" s="153"/>
      <c r="DKS146" s="597"/>
      <c r="DKT146" s="597"/>
      <c r="DKU146" s="597"/>
      <c r="DKV146" s="153"/>
      <c r="DKW146" s="597"/>
      <c r="DKX146" s="597"/>
      <c r="DKY146" s="597"/>
      <c r="DKZ146" s="153"/>
      <c r="DLA146" s="597"/>
      <c r="DLB146" s="597"/>
      <c r="DLC146" s="597"/>
      <c r="DLD146" s="153"/>
      <c r="DLE146" s="597"/>
      <c r="DLF146" s="597"/>
      <c r="DLG146" s="597"/>
      <c r="DLH146" s="153"/>
      <c r="DLI146" s="597"/>
      <c r="DLJ146" s="597"/>
      <c r="DLK146" s="597"/>
      <c r="DLL146" s="153"/>
      <c r="DLM146" s="597"/>
      <c r="DLN146" s="597"/>
      <c r="DLO146" s="597"/>
      <c r="DLP146" s="153"/>
      <c r="DLQ146" s="597"/>
      <c r="DLR146" s="597"/>
      <c r="DLS146" s="597"/>
      <c r="DLT146" s="153"/>
      <c r="DLU146" s="597"/>
      <c r="DLV146" s="597"/>
      <c r="DLW146" s="597"/>
      <c r="DLX146" s="153"/>
      <c r="DLY146" s="597"/>
      <c r="DLZ146" s="597"/>
      <c r="DMA146" s="597"/>
      <c r="DMB146" s="153"/>
      <c r="DMC146" s="597"/>
      <c r="DMD146" s="597"/>
      <c r="DME146" s="597"/>
      <c r="DMF146" s="153"/>
      <c r="DMG146" s="597"/>
      <c r="DMH146" s="597"/>
      <c r="DMI146" s="597"/>
      <c r="DMJ146" s="153"/>
      <c r="DMK146" s="597"/>
      <c r="DML146" s="597"/>
      <c r="DMM146" s="597"/>
      <c r="DMN146" s="153"/>
      <c r="DMO146" s="597"/>
      <c r="DMP146" s="597"/>
      <c r="DMQ146" s="597"/>
      <c r="DMR146" s="153"/>
      <c r="DMS146" s="597"/>
      <c r="DMT146" s="597"/>
      <c r="DMU146" s="597"/>
      <c r="DMV146" s="153"/>
      <c r="DMW146" s="597"/>
      <c r="DMX146" s="597"/>
      <c r="DMY146" s="597"/>
      <c r="DMZ146" s="153"/>
      <c r="DNA146" s="597"/>
      <c r="DNB146" s="597"/>
      <c r="DNC146" s="597"/>
      <c r="DND146" s="153"/>
      <c r="DNE146" s="597"/>
      <c r="DNF146" s="597"/>
      <c r="DNG146" s="597"/>
      <c r="DNH146" s="153"/>
      <c r="DNI146" s="597"/>
      <c r="DNJ146" s="597"/>
      <c r="DNK146" s="597"/>
      <c r="DNL146" s="153"/>
      <c r="DNM146" s="597"/>
      <c r="DNN146" s="597"/>
      <c r="DNO146" s="597"/>
      <c r="DNP146" s="153"/>
      <c r="DNQ146" s="597"/>
      <c r="DNR146" s="597"/>
      <c r="DNS146" s="597"/>
      <c r="DNT146" s="153"/>
      <c r="DNU146" s="597"/>
      <c r="DNV146" s="597"/>
      <c r="DNW146" s="597"/>
      <c r="DNX146" s="153"/>
      <c r="DNY146" s="597"/>
      <c r="DNZ146" s="597"/>
      <c r="DOA146" s="597"/>
      <c r="DOB146" s="153"/>
      <c r="DOC146" s="597"/>
      <c r="DOD146" s="597"/>
      <c r="DOE146" s="597"/>
      <c r="DOF146" s="153"/>
      <c r="DOG146" s="597"/>
      <c r="DOH146" s="597"/>
      <c r="DOI146" s="597"/>
      <c r="DOJ146" s="153"/>
      <c r="DOK146" s="597"/>
      <c r="DOL146" s="597"/>
      <c r="DOM146" s="597"/>
      <c r="DON146" s="153"/>
      <c r="DOO146" s="597"/>
      <c r="DOP146" s="597"/>
      <c r="DOQ146" s="597"/>
      <c r="DOR146" s="153"/>
      <c r="DOS146" s="597"/>
      <c r="DOT146" s="597"/>
      <c r="DOU146" s="597"/>
      <c r="DOV146" s="153"/>
      <c r="DOW146" s="597"/>
      <c r="DOX146" s="597"/>
      <c r="DOY146" s="597"/>
      <c r="DOZ146" s="153"/>
      <c r="DPA146" s="597"/>
      <c r="DPB146" s="597"/>
      <c r="DPC146" s="597"/>
      <c r="DPD146" s="153"/>
      <c r="DPE146" s="597"/>
      <c r="DPF146" s="597"/>
      <c r="DPG146" s="597"/>
      <c r="DPH146" s="153"/>
      <c r="DPI146" s="597"/>
      <c r="DPJ146" s="597"/>
      <c r="DPK146" s="597"/>
      <c r="DPL146" s="153"/>
      <c r="DPM146" s="597"/>
      <c r="DPN146" s="597"/>
      <c r="DPO146" s="597"/>
      <c r="DPP146" s="153"/>
      <c r="DPQ146" s="597"/>
      <c r="DPR146" s="597"/>
      <c r="DPS146" s="597"/>
      <c r="DPT146" s="153"/>
      <c r="DPU146" s="597"/>
      <c r="DPV146" s="597"/>
      <c r="DPW146" s="597"/>
      <c r="DPX146" s="153"/>
      <c r="DPY146" s="597"/>
      <c r="DPZ146" s="597"/>
      <c r="DQA146" s="597"/>
      <c r="DQB146" s="153"/>
      <c r="DQC146" s="597"/>
      <c r="DQD146" s="597"/>
      <c r="DQE146" s="597"/>
      <c r="DQF146" s="153"/>
      <c r="DQG146" s="597"/>
      <c r="DQH146" s="597"/>
      <c r="DQI146" s="597"/>
      <c r="DQJ146" s="153"/>
      <c r="DQK146" s="597"/>
      <c r="DQL146" s="597"/>
      <c r="DQM146" s="597"/>
      <c r="DQN146" s="153"/>
      <c r="DQO146" s="597"/>
      <c r="DQP146" s="597"/>
      <c r="DQQ146" s="597"/>
      <c r="DQR146" s="153"/>
      <c r="DQS146" s="597"/>
      <c r="DQT146" s="597"/>
      <c r="DQU146" s="597"/>
      <c r="DQV146" s="153"/>
      <c r="DQW146" s="597"/>
      <c r="DQX146" s="597"/>
      <c r="DQY146" s="597"/>
      <c r="DQZ146" s="153"/>
      <c r="DRA146" s="597"/>
      <c r="DRB146" s="597"/>
      <c r="DRC146" s="597"/>
      <c r="DRD146" s="153"/>
      <c r="DRE146" s="597"/>
      <c r="DRF146" s="597"/>
      <c r="DRG146" s="597"/>
      <c r="DRH146" s="153"/>
      <c r="DRI146" s="597"/>
      <c r="DRJ146" s="597"/>
      <c r="DRK146" s="597"/>
      <c r="DRL146" s="153"/>
      <c r="DRM146" s="597"/>
      <c r="DRN146" s="597"/>
      <c r="DRO146" s="597"/>
      <c r="DRP146" s="153"/>
      <c r="DRQ146" s="597"/>
      <c r="DRR146" s="597"/>
      <c r="DRS146" s="597"/>
      <c r="DRT146" s="153"/>
      <c r="DRU146" s="597"/>
      <c r="DRV146" s="597"/>
      <c r="DRW146" s="597"/>
      <c r="DRX146" s="153"/>
      <c r="DRY146" s="597"/>
      <c r="DRZ146" s="597"/>
      <c r="DSA146" s="597"/>
      <c r="DSB146" s="153"/>
      <c r="DSC146" s="597"/>
      <c r="DSD146" s="597"/>
      <c r="DSE146" s="597"/>
      <c r="DSF146" s="153"/>
      <c r="DSG146" s="597"/>
      <c r="DSH146" s="597"/>
      <c r="DSI146" s="597"/>
      <c r="DSJ146" s="153"/>
      <c r="DSK146" s="597"/>
      <c r="DSL146" s="597"/>
      <c r="DSM146" s="597"/>
      <c r="DSN146" s="153"/>
      <c r="DSO146" s="597"/>
      <c r="DSP146" s="597"/>
      <c r="DSQ146" s="597"/>
      <c r="DSR146" s="153"/>
      <c r="DSS146" s="597"/>
      <c r="DST146" s="597"/>
      <c r="DSU146" s="597"/>
      <c r="DSV146" s="153"/>
      <c r="DSW146" s="597"/>
      <c r="DSX146" s="597"/>
      <c r="DSY146" s="597"/>
      <c r="DSZ146" s="153"/>
      <c r="DTA146" s="597"/>
      <c r="DTB146" s="597"/>
      <c r="DTC146" s="597"/>
      <c r="DTD146" s="153"/>
      <c r="DTE146" s="597"/>
      <c r="DTF146" s="597"/>
      <c r="DTG146" s="597"/>
      <c r="DTH146" s="153"/>
      <c r="DTI146" s="597"/>
      <c r="DTJ146" s="597"/>
      <c r="DTK146" s="597"/>
      <c r="DTL146" s="153"/>
      <c r="DTM146" s="597"/>
      <c r="DTN146" s="597"/>
      <c r="DTO146" s="597"/>
      <c r="DTP146" s="153"/>
      <c r="DTQ146" s="597"/>
      <c r="DTR146" s="597"/>
      <c r="DTS146" s="597"/>
      <c r="DTT146" s="153"/>
      <c r="DTU146" s="597"/>
      <c r="DTV146" s="597"/>
      <c r="DTW146" s="597"/>
      <c r="DTX146" s="153"/>
      <c r="DTY146" s="597"/>
      <c r="DTZ146" s="597"/>
      <c r="DUA146" s="597"/>
      <c r="DUB146" s="153"/>
      <c r="DUC146" s="597"/>
      <c r="DUD146" s="597"/>
      <c r="DUE146" s="597"/>
      <c r="DUF146" s="153"/>
      <c r="DUG146" s="597"/>
      <c r="DUH146" s="597"/>
      <c r="DUI146" s="597"/>
      <c r="DUJ146" s="153"/>
      <c r="DUK146" s="597"/>
      <c r="DUL146" s="597"/>
      <c r="DUM146" s="597"/>
      <c r="DUN146" s="153"/>
      <c r="DUO146" s="597"/>
      <c r="DUP146" s="597"/>
      <c r="DUQ146" s="597"/>
      <c r="DUR146" s="153"/>
      <c r="DUS146" s="597"/>
      <c r="DUT146" s="597"/>
      <c r="DUU146" s="597"/>
      <c r="DUV146" s="153"/>
      <c r="DUW146" s="597"/>
      <c r="DUX146" s="597"/>
      <c r="DUY146" s="597"/>
      <c r="DUZ146" s="153"/>
      <c r="DVA146" s="597"/>
      <c r="DVB146" s="597"/>
      <c r="DVC146" s="597"/>
      <c r="DVD146" s="153"/>
      <c r="DVE146" s="597"/>
      <c r="DVF146" s="597"/>
      <c r="DVG146" s="597"/>
      <c r="DVH146" s="153"/>
      <c r="DVI146" s="597"/>
      <c r="DVJ146" s="597"/>
      <c r="DVK146" s="597"/>
      <c r="DVL146" s="153"/>
      <c r="DVM146" s="597"/>
      <c r="DVN146" s="597"/>
      <c r="DVO146" s="597"/>
      <c r="DVP146" s="153"/>
      <c r="DVQ146" s="597"/>
      <c r="DVR146" s="597"/>
      <c r="DVS146" s="597"/>
      <c r="DVT146" s="153"/>
      <c r="DVU146" s="597"/>
      <c r="DVV146" s="597"/>
      <c r="DVW146" s="597"/>
      <c r="DVX146" s="153"/>
      <c r="DVY146" s="597"/>
      <c r="DVZ146" s="597"/>
      <c r="DWA146" s="597"/>
      <c r="DWB146" s="153"/>
      <c r="DWC146" s="597"/>
      <c r="DWD146" s="597"/>
      <c r="DWE146" s="597"/>
      <c r="DWF146" s="153"/>
      <c r="DWG146" s="597"/>
      <c r="DWH146" s="597"/>
      <c r="DWI146" s="597"/>
      <c r="DWJ146" s="153"/>
      <c r="DWK146" s="597"/>
      <c r="DWL146" s="597"/>
      <c r="DWM146" s="597"/>
      <c r="DWN146" s="153"/>
      <c r="DWO146" s="597"/>
      <c r="DWP146" s="597"/>
      <c r="DWQ146" s="597"/>
      <c r="DWR146" s="153"/>
      <c r="DWS146" s="597"/>
      <c r="DWT146" s="597"/>
      <c r="DWU146" s="597"/>
      <c r="DWV146" s="153"/>
      <c r="DWW146" s="597"/>
      <c r="DWX146" s="597"/>
      <c r="DWY146" s="597"/>
      <c r="DWZ146" s="153"/>
      <c r="DXA146" s="597"/>
      <c r="DXB146" s="597"/>
      <c r="DXC146" s="597"/>
      <c r="DXD146" s="153"/>
      <c r="DXE146" s="597"/>
      <c r="DXF146" s="597"/>
      <c r="DXG146" s="597"/>
      <c r="DXH146" s="153"/>
      <c r="DXI146" s="597"/>
      <c r="DXJ146" s="597"/>
      <c r="DXK146" s="597"/>
      <c r="DXL146" s="153"/>
      <c r="DXM146" s="597"/>
      <c r="DXN146" s="597"/>
      <c r="DXO146" s="597"/>
      <c r="DXP146" s="153"/>
      <c r="DXQ146" s="597"/>
      <c r="DXR146" s="597"/>
      <c r="DXS146" s="597"/>
      <c r="DXT146" s="153"/>
      <c r="DXU146" s="597"/>
      <c r="DXV146" s="597"/>
      <c r="DXW146" s="597"/>
      <c r="DXX146" s="153"/>
      <c r="DXY146" s="597"/>
      <c r="DXZ146" s="597"/>
      <c r="DYA146" s="597"/>
      <c r="DYB146" s="153"/>
      <c r="DYC146" s="597"/>
      <c r="DYD146" s="597"/>
      <c r="DYE146" s="597"/>
      <c r="DYF146" s="153"/>
      <c r="DYG146" s="597"/>
      <c r="DYH146" s="597"/>
      <c r="DYI146" s="597"/>
      <c r="DYJ146" s="153"/>
      <c r="DYK146" s="597"/>
      <c r="DYL146" s="597"/>
      <c r="DYM146" s="597"/>
      <c r="DYN146" s="153"/>
      <c r="DYO146" s="597"/>
      <c r="DYP146" s="597"/>
      <c r="DYQ146" s="597"/>
      <c r="DYR146" s="153"/>
      <c r="DYS146" s="597"/>
      <c r="DYT146" s="597"/>
      <c r="DYU146" s="597"/>
      <c r="DYV146" s="153"/>
      <c r="DYW146" s="597"/>
      <c r="DYX146" s="597"/>
      <c r="DYY146" s="597"/>
      <c r="DYZ146" s="153"/>
      <c r="DZA146" s="597"/>
      <c r="DZB146" s="597"/>
      <c r="DZC146" s="597"/>
      <c r="DZD146" s="153"/>
      <c r="DZE146" s="597"/>
      <c r="DZF146" s="597"/>
      <c r="DZG146" s="597"/>
      <c r="DZH146" s="153"/>
      <c r="DZI146" s="597"/>
      <c r="DZJ146" s="597"/>
      <c r="DZK146" s="597"/>
      <c r="DZL146" s="153"/>
      <c r="DZM146" s="597"/>
      <c r="DZN146" s="597"/>
      <c r="DZO146" s="597"/>
      <c r="DZP146" s="153"/>
      <c r="DZQ146" s="597"/>
      <c r="DZR146" s="597"/>
      <c r="DZS146" s="597"/>
      <c r="DZT146" s="153"/>
      <c r="DZU146" s="597"/>
      <c r="DZV146" s="597"/>
      <c r="DZW146" s="597"/>
      <c r="DZX146" s="153"/>
      <c r="DZY146" s="597"/>
      <c r="DZZ146" s="597"/>
      <c r="EAA146" s="597"/>
      <c r="EAB146" s="153"/>
      <c r="EAC146" s="597"/>
      <c r="EAD146" s="597"/>
      <c r="EAE146" s="597"/>
      <c r="EAF146" s="153"/>
      <c r="EAG146" s="597"/>
      <c r="EAH146" s="597"/>
      <c r="EAI146" s="597"/>
      <c r="EAJ146" s="153"/>
      <c r="EAK146" s="597"/>
      <c r="EAL146" s="597"/>
      <c r="EAM146" s="597"/>
      <c r="EAN146" s="153"/>
      <c r="EAO146" s="597"/>
      <c r="EAP146" s="597"/>
      <c r="EAQ146" s="597"/>
      <c r="EAR146" s="153"/>
      <c r="EAS146" s="597"/>
      <c r="EAT146" s="597"/>
      <c r="EAU146" s="597"/>
      <c r="EAV146" s="153"/>
      <c r="EAW146" s="597"/>
      <c r="EAX146" s="597"/>
      <c r="EAY146" s="597"/>
      <c r="EAZ146" s="153"/>
      <c r="EBA146" s="597"/>
      <c r="EBB146" s="597"/>
      <c r="EBC146" s="597"/>
      <c r="EBD146" s="153"/>
      <c r="EBE146" s="597"/>
      <c r="EBF146" s="597"/>
      <c r="EBG146" s="597"/>
      <c r="EBH146" s="153"/>
      <c r="EBI146" s="597"/>
      <c r="EBJ146" s="597"/>
      <c r="EBK146" s="597"/>
      <c r="EBL146" s="153"/>
      <c r="EBM146" s="597"/>
      <c r="EBN146" s="597"/>
      <c r="EBO146" s="597"/>
      <c r="EBP146" s="153"/>
      <c r="EBQ146" s="597"/>
      <c r="EBR146" s="597"/>
      <c r="EBS146" s="597"/>
      <c r="EBT146" s="153"/>
      <c r="EBU146" s="597"/>
      <c r="EBV146" s="597"/>
      <c r="EBW146" s="597"/>
      <c r="EBX146" s="153"/>
      <c r="EBY146" s="597"/>
      <c r="EBZ146" s="597"/>
      <c r="ECA146" s="597"/>
      <c r="ECB146" s="153"/>
      <c r="ECC146" s="597"/>
      <c r="ECD146" s="597"/>
      <c r="ECE146" s="597"/>
      <c r="ECF146" s="153"/>
      <c r="ECG146" s="597"/>
      <c r="ECH146" s="597"/>
      <c r="ECI146" s="597"/>
      <c r="ECJ146" s="153"/>
      <c r="ECK146" s="597"/>
      <c r="ECL146" s="597"/>
      <c r="ECM146" s="597"/>
      <c r="ECN146" s="153"/>
      <c r="ECO146" s="597"/>
      <c r="ECP146" s="597"/>
      <c r="ECQ146" s="597"/>
      <c r="ECR146" s="153"/>
      <c r="ECS146" s="597"/>
      <c r="ECT146" s="597"/>
      <c r="ECU146" s="597"/>
      <c r="ECV146" s="153"/>
      <c r="ECW146" s="597"/>
      <c r="ECX146" s="597"/>
      <c r="ECY146" s="597"/>
      <c r="ECZ146" s="153"/>
      <c r="EDA146" s="597"/>
      <c r="EDB146" s="597"/>
      <c r="EDC146" s="597"/>
      <c r="EDD146" s="153"/>
      <c r="EDE146" s="597"/>
      <c r="EDF146" s="597"/>
      <c r="EDG146" s="597"/>
      <c r="EDH146" s="153"/>
      <c r="EDI146" s="597"/>
      <c r="EDJ146" s="597"/>
      <c r="EDK146" s="597"/>
      <c r="EDL146" s="153"/>
      <c r="EDM146" s="597"/>
      <c r="EDN146" s="597"/>
      <c r="EDO146" s="597"/>
      <c r="EDP146" s="153"/>
      <c r="EDQ146" s="597"/>
      <c r="EDR146" s="597"/>
      <c r="EDS146" s="597"/>
      <c r="EDT146" s="153"/>
      <c r="EDU146" s="597"/>
      <c r="EDV146" s="597"/>
      <c r="EDW146" s="597"/>
      <c r="EDX146" s="153"/>
      <c r="EDY146" s="597"/>
      <c r="EDZ146" s="597"/>
      <c r="EEA146" s="597"/>
      <c r="EEB146" s="153"/>
      <c r="EEC146" s="597"/>
      <c r="EED146" s="597"/>
      <c r="EEE146" s="597"/>
      <c r="EEF146" s="153"/>
      <c r="EEG146" s="597"/>
      <c r="EEH146" s="597"/>
      <c r="EEI146" s="597"/>
      <c r="EEJ146" s="153"/>
      <c r="EEK146" s="597"/>
      <c r="EEL146" s="597"/>
      <c r="EEM146" s="597"/>
      <c r="EEN146" s="153"/>
      <c r="EEO146" s="597"/>
      <c r="EEP146" s="597"/>
      <c r="EEQ146" s="597"/>
      <c r="EER146" s="153"/>
      <c r="EES146" s="597"/>
      <c r="EET146" s="597"/>
      <c r="EEU146" s="597"/>
      <c r="EEV146" s="153"/>
      <c r="EEW146" s="597"/>
      <c r="EEX146" s="597"/>
      <c r="EEY146" s="597"/>
      <c r="EEZ146" s="153"/>
      <c r="EFA146" s="597"/>
      <c r="EFB146" s="597"/>
      <c r="EFC146" s="597"/>
      <c r="EFD146" s="153"/>
      <c r="EFE146" s="597"/>
      <c r="EFF146" s="597"/>
      <c r="EFG146" s="597"/>
      <c r="EFH146" s="153"/>
      <c r="EFI146" s="597"/>
      <c r="EFJ146" s="597"/>
      <c r="EFK146" s="597"/>
      <c r="EFL146" s="153"/>
      <c r="EFM146" s="597"/>
      <c r="EFN146" s="597"/>
      <c r="EFO146" s="597"/>
      <c r="EFP146" s="153"/>
      <c r="EFQ146" s="597"/>
      <c r="EFR146" s="597"/>
      <c r="EFS146" s="597"/>
      <c r="EFT146" s="153"/>
      <c r="EFU146" s="597"/>
      <c r="EFV146" s="597"/>
      <c r="EFW146" s="597"/>
      <c r="EFX146" s="153"/>
      <c r="EFY146" s="597"/>
      <c r="EFZ146" s="597"/>
      <c r="EGA146" s="597"/>
      <c r="EGB146" s="153"/>
      <c r="EGC146" s="597"/>
      <c r="EGD146" s="597"/>
      <c r="EGE146" s="597"/>
      <c r="EGF146" s="153"/>
      <c r="EGG146" s="597"/>
      <c r="EGH146" s="597"/>
      <c r="EGI146" s="597"/>
      <c r="EGJ146" s="153"/>
      <c r="EGK146" s="597"/>
      <c r="EGL146" s="597"/>
      <c r="EGM146" s="597"/>
      <c r="EGN146" s="153"/>
      <c r="EGO146" s="597"/>
      <c r="EGP146" s="597"/>
      <c r="EGQ146" s="597"/>
      <c r="EGR146" s="153"/>
      <c r="EGS146" s="597"/>
      <c r="EGT146" s="597"/>
      <c r="EGU146" s="597"/>
      <c r="EGV146" s="153"/>
      <c r="EGW146" s="597"/>
      <c r="EGX146" s="597"/>
      <c r="EGY146" s="597"/>
      <c r="EGZ146" s="153"/>
      <c r="EHA146" s="597"/>
      <c r="EHB146" s="597"/>
      <c r="EHC146" s="597"/>
      <c r="EHD146" s="153"/>
      <c r="EHE146" s="597"/>
      <c r="EHF146" s="597"/>
      <c r="EHG146" s="597"/>
      <c r="EHH146" s="153"/>
      <c r="EHI146" s="597"/>
      <c r="EHJ146" s="597"/>
      <c r="EHK146" s="597"/>
      <c r="EHL146" s="153"/>
      <c r="EHM146" s="597"/>
      <c r="EHN146" s="597"/>
      <c r="EHO146" s="597"/>
      <c r="EHP146" s="153"/>
      <c r="EHQ146" s="597"/>
      <c r="EHR146" s="597"/>
      <c r="EHS146" s="597"/>
      <c r="EHT146" s="153"/>
      <c r="EHU146" s="597"/>
      <c r="EHV146" s="597"/>
      <c r="EHW146" s="597"/>
      <c r="EHX146" s="153"/>
      <c r="EHY146" s="597"/>
      <c r="EHZ146" s="597"/>
      <c r="EIA146" s="597"/>
      <c r="EIB146" s="153"/>
      <c r="EIC146" s="597"/>
      <c r="EID146" s="597"/>
      <c r="EIE146" s="597"/>
      <c r="EIF146" s="153"/>
      <c r="EIG146" s="597"/>
      <c r="EIH146" s="597"/>
      <c r="EII146" s="597"/>
      <c r="EIJ146" s="153"/>
      <c r="EIK146" s="597"/>
      <c r="EIL146" s="597"/>
      <c r="EIM146" s="597"/>
      <c r="EIN146" s="153"/>
      <c r="EIO146" s="597"/>
      <c r="EIP146" s="597"/>
      <c r="EIQ146" s="597"/>
      <c r="EIR146" s="153"/>
      <c r="EIS146" s="597"/>
      <c r="EIT146" s="597"/>
      <c r="EIU146" s="597"/>
      <c r="EIV146" s="153"/>
      <c r="EIW146" s="597"/>
      <c r="EIX146" s="597"/>
      <c r="EIY146" s="597"/>
      <c r="EIZ146" s="153"/>
      <c r="EJA146" s="597"/>
      <c r="EJB146" s="597"/>
      <c r="EJC146" s="597"/>
      <c r="EJD146" s="153"/>
      <c r="EJE146" s="597"/>
      <c r="EJF146" s="597"/>
      <c r="EJG146" s="597"/>
      <c r="EJH146" s="153"/>
      <c r="EJI146" s="597"/>
      <c r="EJJ146" s="597"/>
      <c r="EJK146" s="597"/>
      <c r="EJL146" s="153"/>
      <c r="EJM146" s="597"/>
      <c r="EJN146" s="597"/>
      <c r="EJO146" s="597"/>
      <c r="EJP146" s="153"/>
      <c r="EJQ146" s="597"/>
      <c r="EJR146" s="597"/>
      <c r="EJS146" s="597"/>
      <c r="EJT146" s="153"/>
      <c r="EJU146" s="597"/>
      <c r="EJV146" s="597"/>
      <c r="EJW146" s="597"/>
      <c r="EJX146" s="153"/>
      <c r="EJY146" s="597"/>
      <c r="EJZ146" s="597"/>
      <c r="EKA146" s="597"/>
      <c r="EKB146" s="153"/>
      <c r="EKC146" s="597"/>
      <c r="EKD146" s="597"/>
      <c r="EKE146" s="597"/>
      <c r="EKF146" s="153"/>
      <c r="EKG146" s="597"/>
      <c r="EKH146" s="597"/>
      <c r="EKI146" s="597"/>
      <c r="EKJ146" s="153"/>
      <c r="EKK146" s="597"/>
      <c r="EKL146" s="597"/>
      <c r="EKM146" s="597"/>
      <c r="EKN146" s="153"/>
      <c r="EKO146" s="597"/>
      <c r="EKP146" s="597"/>
      <c r="EKQ146" s="597"/>
      <c r="EKR146" s="153"/>
      <c r="EKS146" s="597"/>
      <c r="EKT146" s="597"/>
      <c r="EKU146" s="597"/>
      <c r="EKV146" s="153"/>
      <c r="EKW146" s="597"/>
      <c r="EKX146" s="597"/>
      <c r="EKY146" s="597"/>
      <c r="EKZ146" s="153"/>
      <c r="ELA146" s="597"/>
      <c r="ELB146" s="597"/>
      <c r="ELC146" s="597"/>
      <c r="ELD146" s="153"/>
      <c r="ELE146" s="597"/>
      <c r="ELF146" s="597"/>
      <c r="ELG146" s="597"/>
      <c r="ELH146" s="153"/>
      <c r="ELI146" s="597"/>
      <c r="ELJ146" s="597"/>
      <c r="ELK146" s="597"/>
      <c r="ELL146" s="153"/>
      <c r="ELM146" s="597"/>
      <c r="ELN146" s="597"/>
      <c r="ELO146" s="597"/>
      <c r="ELP146" s="153"/>
      <c r="ELQ146" s="597"/>
      <c r="ELR146" s="597"/>
      <c r="ELS146" s="597"/>
      <c r="ELT146" s="153"/>
      <c r="ELU146" s="597"/>
      <c r="ELV146" s="597"/>
      <c r="ELW146" s="597"/>
      <c r="ELX146" s="153"/>
      <c r="ELY146" s="597"/>
      <c r="ELZ146" s="597"/>
      <c r="EMA146" s="597"/>
      <c r="EMB146" s="153"/>
      <c r="EMC146" s="597"/>
      <c r="EMD146" s="597"/>
      <c r="EME146" s="597"/>
      <c r="EMF146" s="153"/>
      <c r="EMG146" s="597"/>
      <c r="EMH146" s="597"/>
      <c r="EMI146" s="597"/>
      <c r="EMJ146" s="153"/>
      <c r="EMK146" s="597"/>
      <c r="EML146" s="597"/>
      <c r="EMM146" s="597"/>
      <c r="EMN146" s="153"/>
      <c r="EMO146" s="597"/>
      <c r="EMP146" s="597"/>
      <c r="EMQ146" s="597"/>
      <c r="EMR146" s="153"/>
      <c r="EMS146" s="597"/>
      <c r="EMT146" s="597"/>
      <c r="EMU146" s="597"/>
      <c r="EMV146" s="153"/>
      <c r="EMW146" s="597"/>
      <c r="EMX146" s="597"/>
      <c r="EMY146" s="597"/>
      <c r="EMZ146" s="153"/>
      <c r="ENA146" s="597"/>
      <c r="ENB146" s="597"/>
      <c r="ENC146" s="597"/>
      <c r="END146" s="153"/>
      <c r="ENE146" s="597"/>
      <c r="ENF146" s="597"/>
      <c r="ENG146" s="597"/>
      <c r="ENH146" s="153"/>
      <c r="ENI146" s="597"/>
      <c r="ENJ146" s="597"/>
      <c r="ENK146" s="597"/>
      <c r="ENL146" s="153"/>
      <c r="ENM146" s="597"/>
      <c r="ENN146" s="597"/>
      <c r="ENO146" s="597"/>
      <c r="ENP146" s="153"/>
      <c r="ENQ146" s="597"/>
      <c r="ENR146" s="597"/>
      <c r="ENS146" s="597"/>
      <c r="ENT146" s="153"/>
      <c r="ENU146" s="597"/>
      <c r="ENV146" s="597"/>
      <c r="ENW146" s="597"/>
      <c r="ENX146" s="153"/>
      <c r="ENY146" s="597"/>
      <c r="ENZ146" s="597"/>
      <c r="EOA146" s="597"/>
      <c r="EOB146" s="153"/>
      <c r="EOC146" s="597"/>
      <c r="EOD146" s="597"/>
      <c r="EOE146" s="597"/>
      <c r="EOF146" s="153"/>
      <c r="EOG146" s="597"/>
      <c r="EOH146" s="597"/>
      <c r="EOI146" s="597"/>
      <c r="EOJ146" s="153"/>
      <c r="EOK146" s="597"/>
      <c r="EOL146" s="597"/>
      <c r="EOM146" s="597"/>
      <c r="EON146" s="153"/>
      <c r="EOO146" s="597"/>
      <c r="EOP146" s="597"/>
      <c r="EOQ146" s="597"/>
      <c r="EOR146" s="153"/>
      <c r="EOS146" s="597"/>
      <c r="EOT146" s="597"/>
      <c r="EOU146" s="597"/>
      <c r="EOV146" s="153"/>
      <c r="EOW146" s="597"/>
      <c r="EOX146" s="597"/>
      <c r="EOY146" s="597"/>
      <c r="EOZ146" s="153"/>
      <c r="EPA146" s="597"/>
      <c r="EPB146" s="597"/>
      <c r="EPC146" s="597"/>
      <c r="EPD146" s="153"/>
      <c r="EPE146" s="597"/>
      <c r="EPF146" s="597"/>
      <c r="EPG146" s="597"/>
      <c r="EPH146" s="153"/>
      <c r="EPI146" s="597"/>
      <c r="EPJ146" s="597"/>
      <c r="EPK146" s="597"/>
      <c r="EPL146" s="153"/>
      <c r="EPM146" s="597"/>
      <c r="EPN146" s="597"/>
      <c r="EPO146" s="597"/>
      <c r="EPP146" s="153"/>
      <c r="EPQ146" s="597"/>
      <c r="EPR146" s="597"/>
      <c r="EPS146" s="597"/>
      <c r="EPT146" s="153"/>
      <c r="EPU146" s="597"/>
      <c r="EPV146" s="597"/>
      <c r="EPW146" s="597"/>
      <c r="EPX146" s="153"/>
      <c r="EPY146" s="597"/>
      <c r="EPZ146" s="597"/>
      <c r="EQA146" s="597"/>
      <c r="EQB146" s="153"/>
      <c r="EQC146" s="597"/>
      <c r="EQD146" s="597"/>
      <c r="EQE146" s="597"/>
      <c r="EQF146" s="153"/>
      <c r="EQG146" s="597"/>
      <c r="EQH146" s="597"/>
      <c r="EQI146" s="597"/>
      <c r="EQJ146" s="153"/>
      <c r="EQK146" s="597"/>
      <c r="EQL146" s="597"/>
      <c r="EQM146" s="597"/>
      <c r="EQN146" s="153"/>
      <c r="EQO146" s="597"/>
      <c r="EQP146" s="597"/>
      <c r="EQQ146" s="597"/>
      <c r="EQR146" s="153"/>
      <c r="EQS146" s="597"/>
      <c r="EQT146" s="597"/>
      <c r="EQU146" s="597"/>
      <c r="EQV146" s="153"/>
      <c r="EQW146" s="597"/>
      <c r="EQX146" s="597"/>
      <c r="EQY146" s="597"/>
      <c r="EQZ146" s="153"/>
      <c r="ERA146" s="597"/>
      <c r="ERB146" s="597"/>
      <c r="ERC146" s="597"/>
      <c r="ERD146" s="153"/>
      <c r="ERE146" s="597"/>
      <c r="ERF146" s="597"/>
      <c r="ERG146" s="597"/>
      <c r="ERH146" s="153"/>
      <c r="ERI146" s="597"/>
      <c r="ERJ146" s="597"/>
      <c r="ERK146" s="597"/>
      <c r="ERL146" s="153"/>
      <c r="ERM146" s="597"/>
      <c r="ERN146" s="597"/>
      <c r="ERO146" s="597"/>
      <c r="ERP146" s="153"/>
      <c r="ERQ146" s="597"/>
      <c r="ERR146" s="597"/>
      <c r="ERS146" s="597"/>
      <c r="ERT146" s="153"/>
      <c r="ERU146" s="597"/>
      <c r="ERV146" s="597"/>
      <c r="ERW146" s="597"/>
      <c r="ERX146" s="153"/>
      <c r="ERY146" s="597"/>
      <c r="ERZ146" s="597"/>
      <c r="ESA146" s="597"/>
      <c r="ESB146" s="153"/>
      <c r="ESC146" s="597"/>
      <c r="ESD146" s="597"/>
      <c r="ESE146" s="597"/>
      <c r="ESF146" s="153"/>
      <c r="ESG146" s="597"/>
      <c r="ESH146" s="597"/>
      <c r="ESI146" s="597"/>
      <c r="ESJ146" s="153"/>
      <c r="ESK146" s="597"/>
      <c r="ESL146" s="597"/>
      <c r="ESM146" s="597"/>
      <c r="ESN146" s="153"/>
      <c r="ESO146" s="597"/>
      <c r="ESP146" s="597"/>
      <c r="ESQ146" s="597"/>
      <c r="ESR146" s="153"/>
      <c r="ESS146" s="597"/>
      <c r="EST146" s="597"/>
      <c r="ESU146" s="597"/>
      <c r="ESV146" s="153"/>
      <c r="ESW146" s="597"/>
      <c r="ESX146" s="597"/>
      <c r="ESY146" s="597"/>
      <c r="ESZ146" s="153"/>
      <c r="ETA146" s="597"/>
      <c r="ETB146" s="597"/>
      <c r="ETC146" s="597"/>
      <c r="ETD146" s="153"/>
      <c r="ETE146" s="597"/>
      <c r="ETF146" s="597"/>
      <c r="ETG146" s="597"/>
      <c r="ETH146" s="153"/>
      <c r="ETI146" s="597"/>
      <c r="ETJ146" s="597"/>
      <c r="ETK146" s="597"/>
      <c r="ETL146" s="153"/>
      <c r="ETM146" s="597"/>
      <c r="ETN146" s="597"/>
      <c r="ETO146" s="597"/>
      <c r="ETP146" s="153"/>
      <c r="ETQ146" s="597"/>
      <c r="ETR146" s="597"/>
      <c r="ETS146" s="597"/>
      <c r="ETT146" s="153"/>
      <c r="ETU146" s="597"/>
      <c r="ETV146" s="597"/>
      <c r="ETW146" s="597"/>
      <c r="ETX146" s="153"/>
      <c r="ETY146" s="597"/>
      <c r="ETZ146" s="597"/>
      <c r="EUA146" s="597"/>
      <c r="EUB146" s="153"/>
      <c r="EUC146" s="597"/>
      <c r="EUD146" s="597"/>
      <c r="EUE146" s="597"/>
      <c r="EUF146" s="153"/>
      <c r="EUG146" s="597"/>
      <c r="EUH146" s="597"/>
      <c r="EUI146" s="597"/>
      <c r="EUJ146" s="153"/>
      <c r="EUK146" s="597"/>
      <c r="EUL146" s="597"/>
      <c r="EUM146" s="597"/>
      <c r="EUN146" s="153"/>
      <c r="EUO146" s="597"/>
      <c r="EUP146" s="597"/>
      <c r="EUQ146" s="597"/>
      <c r="EUR146" s="153"/>
      <c r="EUS146" s="597"/>
      <c r="EUT146" s="597"/>
      <c r="EUU146" s="597"/>
      <c r="EUV146" s="153"/>
      <c r="EUW146" s="597"/>
      <c r="EUX146" s="597"/>
      <c r="EUY146" s="597"/>
      <c r="EUZ146" s="153"/>
      <c r="EVA146" s="597"/>
      <c r="EVB146" s="597"/>
      <c r="EVC146" s="597"/>
      <c r="EVD146" s="153"/>
      <c r="EVE146" s="597"/>
      <c r="EVF146" s="597"/>
      <c r="EVG146" s="597"/>
      <c r="EVH146" s="153"/>
      <c r="EVI146" s="597"/>
      <c r="EVJ146" s="597"/>
      <c r="EVK146" s="597"/>
      <c r="EVL146" s="153"/>
      <c r="EVM146" s="597"/>
      <c r="EVN146" s="597"/>
      <c r="EVO146" s="597"/>
      <c r="EVP146" s="153"/>
      <c r="EVQ146" s="597"/>
      <c r="EVR146" s="597"/>
      <c r="EVS146" s="597"/>
      <c r="EVT146" s="153"/>
      <c r="EVU146" s="597"/>
      <c r="EVV146" s="597"/>
      <c r="EVW146" s="597"/>
      <c r="EVX146" s="153"/>
      <c r="EVY146" s="597"/>
      <c r="EVZ146" s="597"/>
      <c r="EWA146" s="597"/>
      <c r="EWB146" s="153"/>
      <c r="EWC146" s="597"/>
      <c r="EWD146" s="597"/>
      <c r="EWE146" s="597"/>
      <c r="EWF146" s="153"/>
      <c r="EWG146" s="597"/>
      <c r="EWH146" s="597"/>
      <c r="EWI146" s="597"/>
      <c r="EWJ146" s="153"/>
      <c r="EWK146" s="597"/>
      <c r="EWL146" s="597"/>
      <c r="EWM146" s="597"/>
      <c r="EWN146" s="153"/>
      <c r="EWO146" s="597"/>
      <c r="EWP146" s="597"/>
      <c r="EWQ146" s="597"/>
      <c r="EWR146" s="153"/>
      <c r="EWS146" s="597"/>
      <c r="EWT146" s="597"/>
      <c r="EWU146" s="597"/>
      <c r="EWV146" s="153"/>
      <c r="EWW146" s="597"/>
      <c r="EWX146" s="597"/>
      <c r="EWY146" s="597"/>
      <c r="EWZ146" s="153"/>
      <c r="EXA146" s="597"/>
      <c r="EXB146" s="597"/>
      <c r="EXC146" s="597"/>
      <c r="EXD146" s="153"/>
      <c r="EXE146" s="597"/>
      <c r="EXF146" s="597"/>
      <c r="EXG146" s="597"/>
      <c r="EXH146" s="153"/>
      <c r="EXI146" s="597"/>
      <c r="EXJ146" s="597"/>
      <c r="EXK146" s="597"/>
      <c r="EXL146" s="153"/>
      <c r="EXM146" s="597"/>
      <c r="EXN146" s="597"/>
      <c r="EXO146" s="597"/>
      <c r="EXP146" s="153"/>
      <c r="EXQ146" s="597"/>
      <c r="EXR146" s="597"/>
      <c r="EXS146" s="597"/>
      <c r="EXT146" s="153"/>
      <c r="EXU146" s="597"/>
      <c r="EXV146" s="597"/>
      <c r="EXW146" s="597"/>
      <c r="EXX146" s="153"/>
      <c r="EXY146" s="597"/>
      <c r="EXZ146" s="597"/>
      <c r="EYA146" s="597"/>
      <c r="EYB146" s="153"/>
      <c r="EYC146" s="597"/>
      <c r="EYD146" s="597"/>
      <c r="EYE146" s="597"/>
      <c r="EYF146" s="153"/>
      <c r="EYG146" s="597"/>
      <c r="EYH146" s="597"/>
      <c r="EYI146" s="597"/>
      <c r="EYJ146" s="153"/>
      <c r="EYK146" s="597"/>
      <c r="EYL146" s="597"/>
      <c r="EYM146" s="597"/>
      <c r="EYN146" s="153"/>
      <c r="EYO146" s="597"/>
      <c r="EYP146" s="597"/>
      <c r="EYQ146" s="597"/>
      <c r="EYR146" s="153"/>
      <c r="EYS146" s="597"/>
      <c r="EYT146" s="597"/>
      <c r="EYU146" s="597"/>
      <c r="EYV146" s="153"/>
      <c r="EYW146" s="597"/>
      <c r="EYX146" s="597"/>
      <c r="EYY146" s="597"/>
      <c r="EYZ146" s="153"/>
      <c r="EZA146" s="597"/>
      <c r="EZB146" s="597"/>
      <c r="EZC146" s="597"/>
      <c r="EZD146" s="153"/>
      <c r="EZE146" s="597"/>
      <c r="EZF146" s="597"/>
      <c r="EZG146" s="597"/>
      <c r="EZH146" s="153"/>
      <c r="EZI146" s="597"/>
      <c r="EZJ146" s="597"/>
      <c r="EZK146" s="597"/>
      <c r="EZL146" s="153"/>
      <c r="EZM146" s="597"/>
      <c r="EZN146" s="597"/>
      <c r="EZO146" s="597"/>
      <c r="EZP146" s="153"/>
      <c r="EZQ146" s="597"/>
      <c r="EZR146" s="597"/>
      <c r="EZS146" s="597"/>
      <c r="EZT146" s="153"/>
      <c r="EZU146" s="597"/>
      <c r="EZV146" s="597"/>
      <c r="EZW146" s="597"/>
      <c r="EZX146" s="153"/>
      <c r="EZY146" s="597"/>
      <c r="EZZ146" s="597"/>
      <c r="FAA146" s="597"/>
      <c r="FAB146" s="153"/>
      <c r="FAC146" s="597"/>
      <c r="FAD146" s="597"/>
      <c r="FAE146" s="597"/>
      <c r="FAF146" s="153"/>
      <c r="FAG146" s="597"/>
      <c r="FAH146" s="597"/>
      <c r="FAI146" s="597"/>
      <c r="FAJ146" s="153"/>
      <c r="FAK146" s="597"/>
      <c r="FAL146" s="597"/>
      <c r="FAM146" s="597"/>
      <c r="FAN146" s="153"/>
      <c r="FAO146" s="597"/>
      <c r="FAP146" s="597"/>
      <c r="FAQ146" s="597"/>
      <c r="FAR146" s="153"/>
      <c r="FAS146" s="597"/>
      <c r="FAT146" s="597"/>
      <c r="FAU146" s="597"/>
      <c r="FAV146" s="153"/>
      <c r="FAW146" s="597"/>
      <c r="FAX146" s="597"/>
      <c r="FAY146" s="597"/>
      <c r="FAZ146" s="153"/>
      <c r="FBA146" s="597"/>
      <c r="FBB146" s="597"/>
      <c r="FBC146" s="597"/>
      <c r="FBD146" s="153"/>
      <c r="FBE146" s="597"/>
      <c r="FBF146" s="597"/>
      <c r="FBG146" s="597"/>
      <c r="FBH146" s="153"/>
      <c r="FBI146" s="597"/>
      <c r="FBJ146" s="597"/>
      <c r="FBK146" s="597"/>
      <c r="FBL146" s="153"/>
      <c r="FBM146" s="597"/>
      <c r="FBN146" s="597"/>
      <c r="FBO146" s="597"/>
      <c r="FBP146" s="153"/>
      <c r="FBQ146" s="597"/>
      <c r="FBR146" s="597"/>
      <c r="FBS146" s="597"/>
      <c r="FBT146" s="153"/>
      <c r="FBU146" s="597"/>
      <c r="FBV146" s="597"/>
      <c r="FBW146" s="597"/>
      <c r="FBX146" s="153"/>
      <c r="FBY146" s="597"/>
      <c r="FBZ146" s="597"/>
      <c r="FCA146" s="597"/>
      <c r="FCB146" s="153"/>
      <c r="FCC146" s="597"/>
      <c r="FCD146" s="597"/>
      <c r="FCE146" s="597"/>
      <c r="FCF146" s="153"/>
      <c r="FCG146" s="597"/>
      <c r="FCH146" s="597"/>
      <c r="FCI146" s="597"/>
      <c r="FCJ146" s="153"/>
      <c r="FCK146" s="597"/>
      <c r="FCL146" s="597"/>
      <c r="FCM146" s="597"/>
      <c r="FCN146" s="153"/>
      <c r="FCO146" s="597"/>
      <c r="FCP146" s="597"/>
      <c r="FCQ146" s="597"/>
      <c r="FCR146" s="153"/>
      <c r="FCS146" s="597"/>
      <c r="FCT146" s="597"/>
      <c r="FCU146" s="597"/>
      <c r="FCV146" s="153"/>
      <c r="FCW146" s="597"/>
      <c r="FCX146" s="597"/>
      <c r="FCY146" s="597"/>
      <c r="FCZ146" s="153"/>
      <c r="FDA146" s="597"/>
      <c r="FDB146" s="597"/>
      <c r="FDC146" s="597"/>
      <c r="FDD146" s="153"/>
      <c r="FDE146" s="597"/>
      <c r="FDF146" s="597"/>
      <c r="FDG146" s="597"/>
      <c r="FDH146" s="153"/>
      <c r="FDI146" s="597"/>
      <c r="FDJ146" s="597"/>
      <c r="FDK146" s="597"/>
      <c r="FDL146" s="153"/>
      <c r="FDM146" s="597"/>
      <c r="FDN146" s="597"/>
      <c r="FDO146" s="597"/>
      <c r="FDP146" s="153"/>
      <c r="FDQ146" s="597"/>
      <c r="FDR146" s="597"/>
      <c r="FDS146" s="597"/>
      <c r="FDT146" s="153"/>
      <c r="FDU146" s="597"/>
      <c r="FDV146" s="597"/>
      <c r="FDW146" s="597"/>
      <c r="FDX146" s="153"/>
      <c r="FDY146" s="597"/>
      <c r="FDZ146" s="597"/>
      <c r="FEA146" s="597"/>
      <c r="FEB146" s="153"/>
      <c r="FEC146" s="597"/>
      <c r="FED146" s="597"/>
      <c r="FEE146" s="597"/>
      <c r="FEF146" s="153"/>
      <c r="FEG146" s="597"/>
      <c r="FEH146" s="597"/>
      <c r="FEI146" s="597"/>
      <c r="FEJ146" s="153"/>
      <c r="FEK146" s="597"/>
      <c r="FEL146" s="597"/>
      <c r="FEM146" s="597"/>
      <c r="FEN146" s="153"/>
      <c r="FEO146" s="597"/>
      <c r="FEP146" s="597"/>
      <c r="FEQ146" s="597"/>
      <c r="FER146" s="153"/>
      <c r="FES146" s="597"/>
      <c r="FET146" s="597"/>
      <c r="FEU146" s="597"/>
      <c r="FEV146" s="153"/>
      <c r="FEW146" s="597"/>
      <c r="FEX146" s="597"/>
      <c r="FEY146" s="597"/>
      <c r="FEZ146" s="153"/>
      <c r="FFA146" s="597"/>
      <c r="FFB146" s="597"/>
      <c r="FFC146" s="597"/>
      <c r="FFD146" s="153"/>
      <c r="FFE146" s="597"/>
      <c r="FFF146" s="597"/>
      <c r="FFG146" s="597"/>
      <c r="FFH146" s="153"/>
      <c r="FFI146" s="597"/>
      <c r="FFJ146" s="597"/>
      <c r="FFK146" s="597"/>
      <c r="FFL146" s="153"/>
      <c r="FFM146" s="597"/>
      <c r="FFN146" s="597"/>
      <c r="FFO146" s="597"/>
      <c r="FFP146" s="153"/>
      <c r="FFQ146" s="597"/>
      <c r="FFR146" s="597"/>
      <c r="FFS146" s="597"/>
      <c r="FFT146" s="153"/>
      <c r="FFU146" s="597"/>
      <c r="FFV146" s="597"/>
      <c r="FFW146" s="597"/>
      <c r="FFX146" s="153"/>
      <c r="FFY146" s="597"/>
      <c r="FFZ146" s="597"/>
      <c r="FGA146" s="597"/>
      <c r="FGB146" s="153"/>
      <c r="FGC146" s="597"/>
      <c r="FGD146" s="597"/>
      <c r="FGE146" s="597"/>
      <c r="FGF146" s="153"/>
      <c r="FGG146" s="597"/>
      <c r="FGH146" s="597"/>
      <c r="FGI146" s="597"/>
      <c r="FGJ146" s="153"/>
      <c r="FGK146" s="597"/>
      <c r="FGL146" s="597"/>
      <c r="FGM146" s="597"/>
      <c r="FGN146" s="153"/>
      <c r="FGO146" s="597"/>
      <c r="FGP146" s="597"/>
      <c r="FGQ146" s="597"/>
      <c r="FGR146" s="153"/>
      <c r="FGS146" s="597"/>
      <c r="FGT146" s="597"/>
      <c r="FGU146" s="597"/>
      <c r="FGV146" s="153"/>
      <c r="FGW146" s="597"/>
      <c r="FGX146" s="597"/>
      <c r="FGY146" s="597"/>
      <c r="FGZ146" s="153"/>
      <c r="FHA146" s="597"/>
      <c r="FHB146" s="597"/>
      <c r="FHC146" s="597"/>
      <c r="FHD146" s="153"/>
      <c r="FHE146" s="597"/>
      <c r="FHF146" s="597"/>
      <c r="FHG146" s="597"/>
      <c r="FHH146" s="153"/>
      <c r="FHI146" s="597"/>
      <c r="FHJ146" s="597"/>
      <c r="FHK146" s="597"/>
      <c r="FHL146" s="153"/>
      <c r="FHM146" s="597"/>
      <c r="FHN146" s="597"/>
      <c r="FHO146" s="597"/>
      <c r="FHP146" s="153"/>
      <c r="FHQ146" s="597"/>
      <c r="FHR146" s="597"/>
      <c r="FHS146" s="597"/>
      <c r="FHT146" s="153"/>
      <c r="FHU146" s="597"/>
      <c r="FHV146" s="597"/>
      <c r="FHW146" s="597"/>
      <c r="FHX146" s="153"/>
      <c r="FHY146" s="597"/>
      <c r="FHZ146" s="597"/>
      <c r="FIA146" s="597"/>
      <c r="FIB146" s="153"/>
      <c r="FIC146" s="597"/>
      <c r="FID146" s="597"/>
      <c r="FIE146" s="597"/>
      <c r="FIF146" s="153"/>
      <c r="FIG146" s="597"/>
      <c r="FIH146" s="597"/>
      <c r="FII146" s="597"/>
      <c r="FIJ146" s="153"/>
      <c r="FIK146" s="597"/>
      <c r="FIL146" s="597"/>
      <c r="FIM146" s="597"/>
      <c r="FIN146" s="153"/>
      <c r="FIO146" s="597"/>
      <c r="FIP146" s="597"/>
      <c r="FIQ146" s="597"/>
      <c r="FIR146" s="153"/>
      <c r="FIS146" s="597"/>
      <c r="FIT146" s="597"/>
      <c r="FIU146" s="597"/>
      <c r="FIV146" s="153"/>
      <c r="FIW146" s="597"/>
      <c r="FIX146" s="597"/>
      <c r="FIY146" s="597"/>
      <c r="FIZ146" s="153"/>
      <c r="FJA146" s="597"/>
      <c r="FJB146" s="597"/>
      <c r="FJC146" s="597"/>
      <c r="FJD146" s="153"/>
      <c r="FJE146" s="597"/>
      <c r="FJF146" s="597"/>
      <c r="FJG146" s="597"/>
      <c r="FJH146" s="153"/>
      <c r="FJI146" s="597"/>
      <c r="FJJ146" s="597"/>
      <c r="FJK146" s="597"/>
      <c r="FJL146" s="153"/>
      <c r="FJM146" s="597"/>
      <c r="FJN146" s="597"/>
      <c r="FJO146" s="597"/>
      <c r="FJP146" s="153"/>
      <c r="FJQ146" s="597"/>
      <c r="FJR146" s="597"/>
      <c r="FJS146" s="597"/>
      <c r="FJT146" s="153"/>
      <c r="FJU146" s="597"/>
      <c r="FJV146" s="597"/>
      <c r="FJW146" s="597"/>
      <c r="FJX146" s="153"/>
      <c r="FJY146" s="597"/>
      <c r="FJZ146" s="597"/>
      <c r="FKA146" s="597"/>
      <c r="FKB146" s="153"/>
      <c r="FKC146" s="597"/>
      <c r="FKD146" s="597"/>
      <c r="FKE146" s="597"/>
      <c r="FKF146" s="153"/>
      <c r="FKG146" s="597"/>
      <c r="FKH146" s="597"/>
      <c r="FKI146" s="597"/>
      <c r="FKJ146" s="153"/>
      <c r="FKK146" s="597"/>
      <c r="FKL146" s="597"/>
      <c r="FKM146" s="597"/>
      <c r="FKN146" s="153"/>
      <c r="FKO146" s="597"/>
      <c r="FKP146" s="597"/>
      <c r="FKQ146" s="597"/>
      <c r="FKR146" s="153"/>
      <c r="FKS146" s="597"/>
      <c r="FKT146" s="597"/>
      <c r="FKU146" s="597"/>
      <c r="FKV146" s="153"/>
      <c r="FKW146" s="597"/>
      <c r="FKX146" s="597"/>
      <c r="FKY146" s="597"/>
      <c r="FKZ146" s="153"/>
      <c r="FLA146" s="597"/>
      <c r="FLB146" s="597"/>
      <c r="FLC146" s="597"/>
      <c r="FLD146" s="153"/>
      <c r="FLE146" s="597"/>
      <c r="FLF146" s="597"/>
      <c r="FLG146" s="597"/>
      <c r="FLH146" s="153"/>
      <c r="FLI146" s="597"/>
      <c r="FLJ146" s="597"/>
      <c r="FLK146" s="597"/>
      <c r="FLL146" s="153"/>
      <c r="FLM146" s="597"/>
      <c r="FLN146" s="597"/>
      <c r="FLO146" s="597"/>
      <c r="FLP146" s="153"/>
      <c r="FLQ146" s="597"/>
      <c r="FLR146" s="597"/>
      <c r="FLS146" s="597"/>
      <c r="FLT146" s="153"/>
      <c r="FLU146" s="597"/>
      <c r="FLV146" s="597"/>
      <c r="FLW146" s="597"/>
      <c r="FLX146" s="153"/>
      <c r="FLY146" s="597"/>
      <c r="FLZ146" s="597"/>
      <c r="FMA146" s="597"/>
      <c r="FMB146" s="153"/>
      <c r="FMC146" s="597"/>
      <c r="FMD146" s="597"/>
      <c r="FME146" s="597"/>
      <c r="FMF146" s="153"/>
      <c r="FMG146" s="597"/>
      <c r="FMH146" s="597"/>
      <c r="FMI146" s="597"/>
      <c r="FMJ146" s="153"/>
      <c r="FMK146" s="597"/>
      <c r="FML146" s="597"/>
      <c r="FMM146" s="597"/>
      <c r="FMN146" s="153"/>
      <c r="FMO146" s="597"/>
      <c r="FMP146" s="597"/>
      <c r="FMQ146" s="597"/>
      <c r="FMR146" s="153"/>
      <c r="FMS146" s="597"/>
      <c r="FMT146" s="597"/>
      <c r="FMU146" s="597"/>
      <c r="FMV146" s="153"/>
      <c r="FMW146" s="597"/>
      <c r="FMX146" s="597"/>
      <c r="FMY146" s="597"/>
      <c r="FMZ146" s="153"/>
      <c r="FNA146" s="597"/>
      <c r="FNB146" s="597"/>
      <c r="FNC146" s="597"/>
      <c r="FND146" s="153"/>
      <c r="FNE146" s="597"/>
      <c r="FNF146" s="597"/>
      <c r="FNG146" s="597"/>
      <c r="FNH146" s="153"/>
      <c r="FNI146" s="597"/>
      <c r="FNJ146" s="597"/>
      <c r="FNK146" s="597"/>
      <c r="FNL146" s="153"/>
      <c r="FNM146" s="597"/>
      <c r="FNN146" s="597"/>
      <c r="FNO146" s="597"/>
      <c r="FNP146" s="153"/>
      <c r="FNQ146" s="597"/>
      <c r="FNR146" s="597"/>
      <c r="FNS146" s="597"/>
      <c r="FNT146" s="153"/>
      <c r="FNU146" s="597"/>
      <c r="FNV146" s="597"/>
      <c r="FNW146" s="597"/>
      <c r="FNX146" s="153"/>
      <c r="FNY146" s="597"/>
      <c r="FNZ146" s="597"/>
      <c r="FOA146" s="597"/>
      <c r="FOB146" s="153"/>
      <c r="FOC146" s="597"/>
      <c r="FOD146" s="597"/>
      <c r="FOE146" s="597"/>
      <c r="FOF146" s="153"/>
      <c r="FOG146" s="597"/>
      <c r="FOH146" s="597"/>
      <c r="FOI146" s="597"/>
      <c r="FOJ146" s="153"/>
      <c r="FOK146" s="597"/>
      <c r="FOL146" s="597"/>
      <c r="FOM146" s="597"/>
      <c r="FON146" s="153"/>
      <c r="FOO146" s="597"/>
      <c r="FOP146" s="597"/>
      <c r="FOQ146" s="597"/>
      <c r="FOR146" s="153"/>
      <c r="FOS146" s="597"/>
      <c r="FOT146" s="597"/>
      <c r="FOU146" s="597"/>
      <c r="FOV146" s="153"/>
      <c r="FOW146" s="597"/>
      <c r="FOX146" s="597"/>
      <c r="FOY146" s="597"/>
      <c r="FOZ146" s="153"/>
      <c r="FPA146" s="597"/>
      <c r="FPB146" s="597"/>
      <c r="FPC146" s="597"/>
      <c r="FPD146" s="153"/>
      <c r="FPE146" s="597"/>
      <c r="FPF146" s="597"/>
      <c r="FPG146" s="597"/>
      <c r="FPH146" s="153"/>
      <c r="FPI146" s="597"/>
      <c r="FPJ146" s="597"/>
      <c r="FPK146" s="597"/>
      <c r="FPL146" s="153"/>
      <c r="FPM146" s="597"/>
      <c r="FPN146" s="597"/>
      <c r="FPO146" s="597"/>
      <c r="FPP146" s="153"/>
      <c r="FPQ146" s="597"/>
      <c r="FPR146" s="597"/>
      <c r="FPS146" s="597"/>
      <c r="FPT146" s="153"/>
      <c r="FPU146" s="597"/>
      <c r="FPV146" s="597"/>
      <c r="FPW146" s="597"/>
      <c r="FPX146" s="153"/>
      <c r="FPY146" s="597"/>
      <c r="FPZ146" s="597"/>
      <c r="FQA146" s="597"/>
      <c r="FQB146" s="153"/>
      <c r="FQC146" s="597"/>
      <c r="FQD146" s="597"/>
      <c r="FQE146" s="597"/>
      <c r="FQF146" s="153"/>
      <c r="FQG146" s="597"/>
      <c r="FQH146" s="597"/>
      <c r="FQI146" s="597"/>
      <c r="FQJ146" s="153"/>
      <c r="FQK146" s="597"/>
      <c r="FQL146" s="597"/>
      <c r="FQM146" s="597"/>
      <c r="FQN146" s="153"/>
      <c r="FQO146" s="597"/>
      <c r="FQP146" s="597"/>
      <c r="FQQ146" s="597"/>
      <c r="FQR146" s="153"/>
      <c r="FQS146" s="597"/>
      <c r="FQT146" s="597"/>
      <c r="FQU146" s="597"/>
      <c r="FQV146" s="153"/>
      <c r="FQW146" s="597"/>
      <c r="FQX146" s="597"/>
      <c r="FQY146" s="597"/>
      <c r="FQZ146" s="153"/>
      <c r="FRA146" s="597"/>
      <c r="FRB146" s="597"/>
      <c r="FRC146" s="597"/>
      <c r="FRD146" s="153"/>
      <c r="FRE146" s="597"/>
      <c r="FRF146" s="597"/>
      <c r="FRG146" s="597"/>
      <c r="FRH146" s="153"/>
      <c r="FRI146" s="597"/>
      <c r="FRJ146" s="597"/>
      <c r="FRK146" s="597"/>
      <c r="FRL146" s="153"/>
      <c r="FRM146" s="597"/>
      <c r="FRN146" s="597"/>
      <c r="FRO146" s="597"/>
      <c r="FRP146" s="153"/>
      <c r="FRQ146" s="597"/>
      <c r="FRR146" s="597"/>
      <c r="FRS146" s="597"/>
      <c r="FRT146" s="153"/>
      <c r="FRU146" s="597"/>
      <c r="FRV146" s="597"/>
      <c r="FRW146" s="597"/>
      <c r="FRX146" s="153"/>
      <c r="FRY146" s="597"/>
      <c r="FRZ146" s="597"/>
      <c r="FSA146" s="597"/>
      <c r="FSB146" s="153"/>
      <c r="FSC146" s="597"/>
      <c r="FSD146" s="597"/>
      <c r="FSE146" s="597"/>
      <c r="FSF146" s="153"/>
      <c r="FSG146" s="597"/>
      <c r="FSH146" s="597"/>
      <c r="FSI146" s="597"/>
      <c r="FSJ146" s="153"/>
      <c r="FSK146" s="597"/>
      <c r="FSL146" s="597"/>
      <c r="FSM146" s="597"/>
      <c r="FSN146" s="153"/>
      <c r="FSO146" s="597"/>
      <c r="FSP146" s="597"/>
      <c r="FSQ146" s="597"/>
      <c r="FSR146" s="153"/>
      <c r="FSS146" s="597"/>
      <c r="FST146" s="597"/>
      <c r="FSU146" s="597"/>
      <c r="FSV146" s="153"/>
      <c r="FSW146" s="597"/>
      <c r="FSX146" s="597"/>
      <c r="FSY146" s="597"/>
      <c r="FSZ146" s="153"/>
      <c r="FTA146" s="597"/>
      <c r="FTB146" s="597"/>
      <c r="FTC146" s="597"/>
      <c r="FTD146" s="153"/>
      <c r="FTE146" s="597"/>
      <c r="FTF146" s="597"/>
      <c r="FTG146" s="597"/>
      <c r="FTH146" s="153"/>
      <c r="FTI146" s="597"/>
      <c r="FTJ146" s="597"/>
      <c r="FTK146" s="597"/>
      <c r="FTL146" s="153"/>
      <c r="FTM146" s="597"/>
      <c r="FTN146" s="597"/>
      <c r="FTO146" s="597"/>
      <c r="FTP146" s="153"/>
      <c r="FTQ146" s="597"/>
      <c r="FTR146" s="597"/>
      <c r="FTS146" s="597"/>
      <c r="FTT146" s="153"/>
      <c r="FTU146" s="597"/>
      <c r="FTV146" s="597"/>
      <c r="FTW146" s="597"/>
      <c r="FTX146" s="153"/>
      <c r="FTY146" s="597"/>
      <c r="FTZ146" s="597"/>
      <c r="FUA146" s="597"/>
      <c r="FUB146" s="153"/>
      <c r="FUC146" s="597"/>
      <c r="FUD146" s="597"/>
      <c r="FUE146" s="597"/>
      <c r="FUF146" s="153"/>
      <c r="FUG146" s="597"/>
      <c r="FUH146" s="597"/>
      <c r="FUI146" s="597"/>
      <c r="FUJ146" s="153"/>
      <c r="FUK146" s="597"/>
      <c r="FUL146" s="597"/>
      <c r="FUM146" s="597"/>
      <c r="FUN146" s="153"/>
      <c r="FUO146" s="597"/>
      <c r="FUP146" s="597"/>
      <c r="FUQ146" s="597"/>
      <c r="FUR146" s="153"/>
      <c r="FUS146" s="597"/>
      <c r="FUT146" s="597"/>
      <c r="FUU146" s="597"/>
      <c r="FUV146" s="153"/>
      <c r="FUW146" s="597"/>
      <c r="FUX146" s="597"/>
      <c r="FUY146" s="597"/>
      <c r="FUZ146" s="153"/>
      <c r="FVA146" s="597"/>
      <c r="FVB146" s="597"/>
      <c r="FVC146" s="597"/>
      <c r="FVD146" s="153"/>
      <c r="FVE146" s="597"/>
      <c r="FVF146" s="597"/>
      <c r="FVG146" s="597"/>
      <c r="FVH146" s="153"/>
      <c r="FVI146" s="597"/>
      <c r="FVJ146" s="597"/>
      <c r="FVK146" s="597"/>
      <c r="FVL146" s="153"/>
      <c r="FVM146" s="597"/>
      <c r="FVN146" s="597"/>
      <c r="FVO146" s="597"/>
      <c r="FVP146" s="153"/>
      <c r="FVQ146" s="597"/>
      <c r="FVR146" s="597"/>
      <c r="FVS146" s="597"/>
      <c r="FVT146" s="153"/>
      <c r="FVU146" s="597"/>
      <c r="FVV146" s="597"/>
      <c r="FVW146" s="597"/>
      <c r="FVX146" s="153"/>
      <c r="FVY146" s="597"/>
      <c r="FVZ146" s="597"/>
      <c r="FWA146" s="597"/>
      <c r="FWB146" s="153"/>
      <c r="FWC146" s="597"/>
      <c r="FWD146" s="597"/>
      <c r="FWE146" s="597"/>
      <c r="FWF146" s="153"/>
      <c r="FWG146" s="597"/>
      <c r="FWH146" s="597"/>
      <c r="FWI146" s="597"/>
      <c r="FWJ146" s="153"/>
      <c r="FWK146" s="597"/>
      <c r="FWL146" s="597"/>
      <c r="FWM146" s="597"/>
      <c r="FWN146" s="153"/>
      <c r="FWO146" s="597"/>
      <c r="FWP146" s="597"/>
      <c r="FWQ146" s="597"/>
      <c r="FWR146" s="153"/>
      <c r="FWS146" s="597"/>
      <c r="FWT146" s="597"/>
      <c r="FWU146" s="597"/>
      <c r="FWV146" s="153"/>
      <c r="FWW146" s="597"/>
      <c r="FWX146" s="597"/>
      <c r="FWY146" s="597"/>
      <c r="FWZ146" s="153"/>
      <c r="FXA146" s="597"/>
      <c r="FXB146" s="597"/>
      <c r="FXC146" s="597"/>
      <c r="FXD146" s="153"/>
      <c r="FXE146" s="597"/>
      <c r="FXF146" s="597"/>
      <c r="FXG146" s="597"/>
      <c r="FXH146" s="153"/>
      <c r="FXI146" s="597"/>
      <c r="FXJ146" s="597"/>
      <c r="FXK146" s="597"/>
      <c r="FXL146" s="153"/>
      <c r="FXM146" s="597"/>
      <c r="FXN146" s="597"/>
      <c r="FXO146" s="597"/>
      <c r="FXP146" s="153"/>
      <c r="FXQ146" s="597"/>
      <c r="FXR146" s="597"/>
      <c r="FXS146" s="597"/>
      <c r="FXT146" s="153"/>
      <c r="FXU146" s="597"/>
      <c r="FXV146" s="597"/>
      <c r="FXW146" s="597"/>
      <c r="FXX146" s="153"/>
      <c r="FXY146" s="597"/>
      <c r="FXZ146" s="597"/>
      <c r="FYA146" s="597"/>
      <c r="FYB146" s="153"/>
      <c r="FYC146" s="597"/>
      <c r="FYD146" s="597"/>
      <c r="FYE146" s="597"/>
      <c r="FYF146" s="153"/>
      <c r="FYG146" s="597"/>
      <c r="FYH146" s="597"/>
      <c r="FYI146" s="597"/>
      <c r="FYJ146" s="153"/>
      <c r="FYK146" s="597"/>
      <c r="FYL146" s="597"/>
      <c r="FYM146" s="597"/>
      <c r="FYN146" s="153"/>
      <c r="FYO146" s="597"/>
      <c r="FYP146" s="597"/>
      <c r="FYQ146" s="597"/>
      <c r="FYR146" s="153"/>
      <c r="FYS146" s="597"/>
      <c r="FYT146" s="597"/>
      <c r="FYU146" s="597"/>
      <c r="FYV146" s="153"/>
      <c r="FYW146" s="597"/>
      <c r="FYX146" s="597"/>
      <c r="FYY146" s="597"/>
      <c r="FYZ146" s="153"/>
      <c r="FZA146" s="597"/>
      <c r="FZB146" s="597"/>
      <c r="FZC146" s="597"/>
      <c r="FZD146" s="153"/>
      <c r="FZE146" s="597"/>
      <c r="FZF146" s="597"/>
      <c r="FZG146" s="597"/>
      <c r="FZH146" s="153"/>
      <c r="FZI146" s="597"/>
      <c r="FZJ146" s="597"/>
      <c r="FZK146" s="597"/>
      <c r="FZL146" s="153"/>
      <c r="FZM146" s="597"/>
      <c r="FZN146" s="597"/>
      <c r="FZO146" s="597"/>
      <c r="FZP146" s="153"/>
      <c r="FZQ146" s="597"/>
      <c r="FZR146" s="597"/>
      <c r="FZS146" s="597"/>
      <c r="FZT146" s="153"/>
      <c r="FZU146" s="597"/>
      <c r="FZV146" s="597"/>
      <c r="FZW146" s="597"/>
      <c r="FZX146" s="153"/>
      <c r="FZY146" s="597"/>
      <c r="FZZ146" s="597"/>
      <c r="GAA146" s="597"/>
      <c r="GAB146" s="153"/>
      <c r="GAC146" s="597"/>
      <c r="GAD146" s="597"/>
      <c r="GAE146" s="597"/>
      <c r="GAF146" s="153"/>
      <c r="GAG146" s="597"/>
      <c r="GAH146" s="597"/>
      <c r="GAI146" s="597"/>
      <c r="GAJ146" s="153"/>
      <c r="GAK146" s="597"/>
      <c r="GAL146" s="597"/>
      <c r="GAM146" s="597"/>
      <c r="GAN146" s="153"/>
      <c r="GAO146" s="597"/>
      <c r="GAP146" s="597"/>
      <c r="GAQ146" s="597"/>
      <c r="GAR146" s="153"/>
      <c r="GAS146" s="597"/>
      <c r="GAT146" s="597"/>
      <c r="GAU146" s="597"/>
      <c r="GAV146" s="153"/>
      <c r="GAW146" s="597"/>
      <c r="GAX146" s="597"/>
      <c r="GAY146" s="597"/>
      <c r="GAZ146" s="153"/>
      <c r="GBA146" s="597"/>
      <c r="GBB146" s="597"/>
      <c r="GBC146" s="597"/>
      <c r="GBD146" s="153"/>
      <c r="GBE146" s="597"/>
      <c r="GBF146" s="597"/>
      <c r="GBG146" s="597"/>
      <c r="GBH146" s="153"/>
      <c r="GBI146" s="597"/>
      <c r="GBJ146" s="597"/>
      <c r="GBK146" s="597"/>
      <c r="GBL146" s="153"/>
      <c r="GBM146" s="597"/>
      <c r="GBN146" s="597"/>
      <c r="GBO146" s="597"/>
      <c r="GBP146" s="153"/>
      <c r="GBQ146" s="597"/>
      <c r="GBR146" s="597"/>
      <c r="GBS146" s="597"/>
      <c r="GBT146" s="153"/>
      <c r="GBU146" s="597"/>
      <c r="GBV146" s="597"/>
      <c r="GBW146" s="597"/>
      <c r="GBX146" s="153"/>
      <c r="GBY146" s="597"/>
      <c r="GBZ146" s="597"/>
      <c r="GCA146" s="597"/>
      <c r="GCB146" s="153"/>
      <c r="GCC146" s="597"/>
      <c r="GCD146" s="597"/>
      <c r="GCE146" s="597"/>
      <c r="GCF146" s="153"/>
      <c r="GCG146" s="597"/>
      <c r="GCH146" s="597"/>
      <c r="GCI146" s="597"/>
      <c r="GCJ146" s="153"/>
      <c r="GCK146" s="597"/>
      <c r="GCL146" s="597"/>
      <c r="GCM146" s="597"/>
      <c r="GCN146" s="153"/>
      <c r="GCO146" s="597"/>
      <c r="GCP146" s="597"/>
      <c r="GCQ146" s="597"/>
      <c r="GCR146" s="153"/>
      <c r="GCS146" s="597"/>
      <c r="GCT146" s="597"/>
      <c r="GCU146" s="597"/>
      <c r="GCV146" s="153"/>
      <c r="GCW146" s="597"/>
      <c r="GCX146" s="597"/>
      <c r="GCY146" s="597"/>
      <c r="GCZ146" s="153"/>
      <c r="GDA146" s="597"/>
      <c r="GDB146" s="597"/>
      <c r="GDC146" s="597"/>
      <c r="GDD146" s="153"/>
      <c r="GDE146" s="597"/>
      <c r="GDF146" s="597"/>
      <c r="GDG146" s="597"/>
      <c r="GDH146" s="153"/>
      <c r="GDI146" s="597"/>
      <c r="GDJ146" s="597"/>
      <c r="GDK146" s="597"/>
      <c r="GDL146" s="153"/>
      <c r="GDM146" s="597"/>
      <c r="GDN146" s="597"/>
      <c r="GDO146" s="597"/>
      <c r="GDP146" s="153"/>
      <c r="GDQ146" s="597"/>
      <c r="GDR146" s="597"/>
      <c r="GDS146" s="597"/>
      <c r="GDT146" s="153"/>
      <c r="GDU146" s="597"/>
      <c r="GDV146" s="597"/>
      <c r="GDW146" s="597"/>
      <c r="GDX146" s="153"/>
      <c r="GDY146" s="597"/>
      <c r="GDZ146" s="597"/>
      <c r="GEA146" s="597"/>
      <c r="GEB146" s="153"/>
      <c r="GEC146" s="597"/>
      <c r="GED146" s="597"/>
      <c r="GEE146" s="597"/>
      <c r="GEF146" s="153"/>
      <c r="GEG146" s="597"/>
      <c r="GEH146" s="597"/>
      <c r="GEI146" s="597"/>
      <c r="GEJ146" s="153"/>
      <c r="GEK146" s="597"/>
      <c r="GEL146" s="597"/>
      <c r="GEM146" s="597"/>
      <c r="GEN146" s="153"/>
      <c r="GEO146" s="597"/>
      <c r="GEP146" s="597"/>
      <c r="GEQ146" s="597"/>
      <c r="GER146" s="153"/>
      <c r="GES146" s="597"/>
      <c r="GET146" s="597"/>
      <c r="GEU146" s="597"/>
      <c r="GEV146" s="153"/>
      <c r="GEW146" s="597"/>
      <c r="GEX146" s="597"/>
      <c r="GEY146" s="597"/>
      <c r="GEZ146" s="153"/>
      <c r="GFA146" s="597"/>
      <c r="GFB146" s="597"/>
      <c r="GFC146" s="597"/>
      <c r="GFD146" s="153"/>
      <c r="GFE146" s="597"/>
      <c r="GFF146" s="597"/>
      <c r="GFG146" s="597"/>
      <c r="GFH146" s="153"/>
      <c r="GFI146" s="597"/>
      <c r="GFJ146" s="597"/>
      <c r="GFK146" s="597"/>
      <c r="GFL146" s="153"/>
      <c r="GFM146" s="597"/>
      <c r="GFN146" s="597"/>
      <c r="GFO146" s="597"/>
      <c r="GFP146" s="153"/>
      <c r="GFQ146" s="597"/>
      <c r="GFR146" s="597"/>
      <c r="GFS146" s="597"/>
      <c r="GFT146" s="153"/>
      <c r="GFU146" s="597"/>
      <c r="GFV146" s="597"/>
      <c r="GFW146" s="597"/>
      <c r="GFX146" s="153"/>
      <c r="GFY146" s="597"/>
      <c r="GFZ146" s="597"/>
      <c r="GGA146" s="597"/>
      <c r="GGB146" s="153"/>
      <c r="GGC146" s="597"/>
      <c r="GGD146" s="597"/>
      <c r="GGE146" s="597"/>
      <c r="GGF146" s="153"/>
      <c r="GGG146" s="597"/>
      <c r="GGH146" s="597"/>
      <c r="GGI146" s="597"/>
      <c r="GGJ146" s="153"/>
      <c r="GGK146" s="597"/>
      <c r="GGL146" s="597"/>
      <c r="GGM146" s="597"/>
      <c r="GGN146" s="153"/>
      <c r="GGO146" s="597"/>
      <c r="GGP146" s="597"/>
      <c r="GGQ146" s="597"/>
      <c r="GGR146" s="153"/>
      <c r="GGS146" s="597"/>
      <c r="GGT146" s="597"/>
      <c r="GGU146" s="597"/>
      <c r="GGV146" s="153"/>
      <c r="GGW146" s="597"/>
      <c r="GGX146" s="597"/>
      <c r="GGY146" s="597"/>
      <c r="GGZ146" s="153"/>
      <c r="GHA146" s="597"/>
      <c r="GHB146" s="597"/>
      <c r="GHC146" s="597"/>
      <c r="GHD146" s="153"/>
      <c r="GHE146" s="597"/>
      <c r="GHF146" s="597"/>
      <c r="GHG146" s="597"/>
      <c r="GHH146" s="153"/>
      <c r="GHI146" s="597"/>
      <c r="GHJ146" s="597"/>
      <c r="GHK146" s="597"/>
      <c r="GHL146" s="153"/>
      <c r="GHM146" s="597"/>
      <c r="GHN146" s="597"/>
      <c r="GHO146" s="597"/>
      <c r="GHP146" s="153"/>
      <c r="GHQ146" s="597"/>
      <c r="GHR146" s="597"/>
      <c r="GHS146" s="597"/>
      <c r="GHT146" s="153"/>
      <c r="GHU146" s="597"/>
      <c r="GHV146" s="597"/>
      <c r="GHW146" s="597"/>
      <c r="GHX146" s="153"/>
      <c r="GHY146" s="597"/>
      <c r="GHZ146" s="597"/>
      <c r="GIA146" s="597"/>
      <c r="GIB146" s="153"/>
      <c r="GIC146" s="597"/>
      <c r="GID146" s="597"/>
      <c r="GIE146" s="597"/>
      <c r="GIF146" s="153"/>
      <c r="GIG146" s="597"/>
      <c r="GIH146" s="597"/>
      <c r="GII146" s="597"/>
      <c r="GIJ146" s="153"/>
      <c r="GIK146" s="597"/>
      <c r="GIL146" s="597"/>
      <c r="GIM146" s="597"/>
      <c r="GIN146" s="153"/>
      <c r="GIO146" s="597"/>
      <c r="GIP146" s="597"/>
      <c r="GIQ146" s="597"/>
      <c r="GIR146" s="153"/>
      <c r="GIS146" s="597"/>
      <c r="GIT146" s="597"/>
      <c r="GIU146" s="597"/>
      <c r="GIV146" s="153"/>
      <c r="GIW146" s="597"/>
      <c r="GIX146" s="597"/>
      <c r="GIY146" s="597"/>
      <c r="GIZ146" s="153"/>
      <c r="GJA146" s="597"/>
      <c r="GJB146" s="597"/>
      <c r="GJC146" s="597"/>
      <c r="GJD146" s="153"/>
      <c r="GJE146" s="597"/>
      <c r="GJF146" s="597"/>
      <c r="GJG146" s="597"/>
      <c r="GJH146" s="153"/>
      <c r="GJI146" s="597"/>
      <c r="GJJ146" s="597"/>
      <c r="GJK146" s="597"/>
      <c r="GJL146" s="153"/>
      <c r="GJM146" s="597"/>
      <c r="GJN146" s="597"/>
      <c r="GJO146" s="597"/>
      <c r="GJP146" s="153"/>
      <c r="GJQ146" s="597"/>
      <c r="GJR146" s="597"/>
      <c r="GJS146" s="597"/>
      <c r="GJT146" s="153"/>
      <c r="GJU146" s="597"/>
      <c r="GJV146" s="597"/>
      <c r="GJW146" s="597"/>
      <c r="GJX146" s="153"/>
      <c r="GJY146" s="597"/>
      <c r="GJZ146" s="597"/>
      <c r="GKA146" s="597"/>
      <c r="GKB146" s="153"/>
      <c r="GKC146" s="597"/>
      <c r="GKD146" s="597"/>
      <c r="GKE146" s="597"/>
      <c r="GKF146" s="153"/>
      <c r="GKG146" s="597"/>
      <c r="GKH146" s="597"/>
      <c r="GKI146" s="597"/>
      <c r="GKJ146" s="153"/>
      <c r="GKK146" s="597"/>
      <c r="GKL146" s="597"/>
      <c r="GKM146" s="597"/>
      <c r="GKN146" s="153"/>
      <c r="GKO146" s="597"/>
      <c r="GKP146" s="597"/>
      <c r="GKQ146" s="597"/>
      <c r="GKR146" s="153"/>
      <c r="GKS146" s="597"/>
      <c r="GKT146" s="597"/>
      <c r="GKU146" s="597"/>
      <c r="GKV146" s="153"/>
      <c r="GKW146" s="597"/>
      <c r="GKX146" s="597"/>
      <c r="GKY146" s="597"/>
      <c r="GKZ146" s="153"/>
      <c r="GLA146" s="597"/>
      <c r="GLB146" s="597"/>
      <c r="GLC146" s="597"/>
      <c r="GLD146" s="153"/>
      <c r="GLE146" s="597"/>
      <c r="GLF146" s="597"/>
      <c r="GLG146" s="597"/>
      <c r="GLH146" s="153"/>
      <c r="GLI146" s="597"/>
      <c r="GLJ146" s="597"/>
      <c r="GLK146" s="597"/>
      <c r="GLL146" s="153"/>
      <c r="GLM146" s="597"/>
      <c r="GLN146" s="597"/>
      <c r="GLO146" s="597"/>
      <c r="GLP146" s="153"/>
      <c r="GLQ146" s="597"/>
      <c r="GLR146" s="597"/>
      <c r="GLS146" s="597"/>
      <c r="GLT146" s="153"/>
      <c r="GLU146" s="597"/>
      <c r="GLV146" s="597"/>
      <c r="GLW146" s="597"/>
      <c r="GLX146" s="153"/>
      <c r="GLY146" s="597"/>
      <c r="GLZ146" s="597"/>
      <c r="GMA146" s="597"/>
      <c r="GMB146" s="153"/>
      <c r="GMC146" s="597"/>
      <c r="GMD146" s="597"/>
      <c r="GME146" s="597"/>
      <c r="GMF146" s="153"/>
      <c r="GMG146" s="597"/>
      <c r="GMH146" s="597"/>
      <c r="GMI146" s="597"/>
      <c r="GMJ146" s="153"/>
      <c r="GMK146" s="597"/>
      <c r="GML146" s="597"/>
      <c r="GMM146" s="597"/>
      <c r="GMN146" s="153"/>
      <c r="GMO146" s="597"/>
      <c r="GMP146" s="597"/>
      <c r="GMQ146" s="597"/>
      <c r="GMR146" s="153"/>
      <c r="GMS146" s="597"/>
      <c r="GMT146" s="597"/>
      <c r="GMU146" s="597"/>
      <c r="GMV146" s="153"/>
      <c r="GMW146" s="597"/>
      <c r="GMX146" s="597"/>
      <c r="GMY146" s="597"/>
      <c r="GMZ146" s="153"/>
      <c r="GNA146" s="597"/>
      <c r="GNB146" s="597"/>
      <c r="GNC146" s="597"/>
      <c r="GND146" s="153"/>
      <c r="GNE146" s="597"/>
      <c r="GNF146" s="597"/>
      <c r="GNG146" s="597"/>
      <c r="GNH146" s="153"/>
      <c r="GNI146" s="597"/>
      <c r="GNJ146" s="597"/>
      <c r="GNK146" s="597"/>
      <c r="GNL146" s="153"/>
      <c r="GNM146" s="597"/>
      <c r="GNN146" s="597"/>
      <c r="GNO146" s="597"/>
      <c r="GNP146" s="153"/>
      <c r="GNQ146" s="597"/>
      <c r="GNR146" s="597"/>
      <c r="GNS146" s="597"/>
      <c r="GNT146" s="153"/>
      <c r="GNU146" s="597"/>
      <c r="GNV146" s="597"/>
      <c r="GNW146" s="597"/>
      <c r="GNX146" s="153"/>
      <c r="GNY146" s="597"/>
      <c r="GNZ146" s="597"/>
      <c r="GOA146" s="597"/>
      <c r="GOB146" s="153"/>
      <c r="GOC146" s="597"/>
      <c r="GOD146" s="597"/>
      <c r="GOE146" s="597"/>
      <c r="GOF146" s="153"/>
      <c r="GOG146" s="597"/>
      <c r="GOH146" s="597"/>
      <c r="GOI146" s="597"/>
      <c r="GOJ146" s="153"/>
      <c r="GOK146" s="597"/>
      <c r="GOL146" s="597"/>
      <c r="GOM146" s="597"/>
      <c r="GON146" s="153"/>
      <c r="GOO146" s="597"/>
      <c r="GOP146" s="597"/>
      <c r="GOQ146" s="597"/>
      <c r="GOR146" s="153"/>
      <c r="GOS146" s="597"/>
      <c r="GOT146" s="597"/>
      <c r="GOU146" s="597"/>
      <c r="GOV146" s="153"/>
      <c r="GOW146" s="597"/>
      <c r="GOX146" s="597"/>
      <c r="GOY146" s="597"/>
      <c r="GOZ146" s="153"/>
      <c r="GPA146" s="597"/>
      <c r="GPB146" s="597"/>
      <c r="GPC146" s="597"/>
      <c r="GPD146" s="153"/>
      <c r="GPE146" s="597"/>
      <c r="GPF146" s="597"/>
      <c r="GPG146" s="597"/>
      <c r="GPH146" s="153"/>
      <c r="GPI146" s="597"/>
      <c r="GPJ146" s="597"/>
      <c r="GPK146" s="597"/>
      <c r="GPL146" s="153"/>
      <c r="GPM146" s="597"/>
      <c r="GPN146" s="597"/>
      <c r="GPO146" s="597"/>
      <c r="GPP146" s="153"/>
      <c r="GPQ146" s="597"/>
      <c r="GPR146" s="597"/>
      <c r="GPS146" s="597"/>
      <c r="GPT146" s="153"/>
      <c r="GPU146" s="597"/>
      <c r="GPV146" s="597"/>
      <c r="GPW146" s="597"/>
      <c r="GPX146" s="153"/>
      <c r="GPY146" s="597"/>
      <c r="GPZ146" s="597"/>
      <c r="GQA146" s="597"/>
      <c r="GQB146" s="153"/>
      <c r="GQC146" s="597"/>
      <c r="GQD146" s="597"/>
      <c r="GQE146" s="597"/>
      <c r="GQF146" s="153"/>
      <c r="GQG146" s="597"/>
      <c r="GQH146" s="597"/>
      <c r="GQI146" s="597"/>
      <c r="GQJ146" s="153"/>
      <c r="GQK146" s="597"/>
      <c r="GQL146" s="597"/>
      <c r="GQM146" s="597"/>
      <c r="GQN146" s="153"/>
      <c r="GQO146" s="597"/>
      <c r="GQP146" s="597"/>
      <c r="GQQ146" s="597"/>
      <c r="GQR146" s="153"/>
      <c r="GQS146" s="597"/>
      <c r="GQT146" s="597"/>
      <c r="GQU146" s="597"/>
      <c r="GQV146" s="153"/>
      <c r="GQW146" s="597"/>
      <c r="GQX146" s="597"/>
      <c r="GQY146" s="597"/>
      <c r="GQZ146" s="153"/>
      <c r="GRA146" s="597"/>
      <c r="GRB146" s="597"/>
      <c r="GRC146" s="597"/>
      <c r="GRD146" s="153"/>
      <c r="GRE146" s="597"/>
      <c r="GRF146" s="597"/>
      <c r="GRG146" s="597"/>
      <c r="GRH146" s="153"/>
      <c r="GRI146" s="597"/>
      <c r="GRJ146" s="597"/>
      <c r="GRK146" s="597"/>
      <c r="GRL146" s="153"/>
      <c r="GRM146" s="597"/>
      <c r="GRN146" s="597"/>
      <c r="GRO146" s="597"/>
      <c r="GRP146" s="153"/>
      <c r="GRQ146" s="597"/>
      <c r="GRR146" s="597"/>
      <c r="GRS146" s="597"/>
      <c r="GRT146" s="153"/>
      <c r="GRU146" s="597"/>
      <c r="GRV146" s="597"/>
      <c r="GRW146" s="597"/>
      <c r="GRX146" s="153"/>
      <c r="GRY146" s="597"/>
      <c r="GRZ146" s="597"/>
      <c r="GSA146" s="597"/>
      <c r="GSB146" s="153"/>
      <c r="GSC146" s="597"/>
      <c r="GSD146" s="597"/>
      <c r="GSE146" s="597"/>
      <c r="GSF146" s="153"/>
      <c r="GSG146" s="597"/>
      <c r="GSH146" s="597"/>
      <c r="GSI146" s="597"/>
      <c r="GSJ146" s="153"/>
      <c r="GSK146" s="597"/>
      <c r="GSL146" s="597"/>
      <c r="GSM146" s="597"/>
      <c r="GSN146" s="153"/>
      <c r="GSO146" s="597"/>
      <c r="GSP146" s="597"/>
      <c r="GSQ146" s="597"/>
      <c r="GSR146" s="153"/>
      <c r="GSS146" s="597"/>
      <c r="GST146" s="597"/>
      <c r="GSU146" s="597"/>
      <c r="GSV146" s="153"/>
      <c r="GSW146" s="597"/>
      <c r="GSX146" s="597"/>
      <c r="GSY146" s="597"/>
      <c r="GSZ146" s="153"/>
      <c r="GTA146" s="597"/>
      <c r="GTB146" s="597"/>
      <c r="GTC146" s="597"/>
      <c r="GTD146" s="153"/>
      <c r="GTE146" s="597"/>
      <c r="GTF146" s="597"/>
      <c r="GTG146" s="597"/>
      <c r="GTH146" s="153"/>
      <c r="GTI146" s="597"/>
      <c r="GTJ146" s="597"/>
      <c r="GTK146" s="597"/>
      <c r="GTL146" s="153"/>
      <c r="GTM146" s="597"/>
      <c r="GTN146" s="597"/>
      <c r="GTO146" s="597"/>
      <c r="GTP146" s="153"/>
      <c r="GTQ146" s="597"/>
      <c r="GTR146" s="597"/>
      <c r="GTS146" s="597"/>
      <c r="GTT146" s="153"/>
      <c r="GTU146" s="597"/>
      <c r="GTV146" s="597"/>
      <c r="GTW146" s="597"/>
      <c r="GTX146" s="153"/>
      <c r="GTY146" s="597"/>
      <c r="GTZ146" s="597"/>
      <c r="GUA146" s="597"/>
      <c r="GUB146" s="153"/>
      <c r="GUC146" s="597"/>
      <c r="GUD146" s="597"/>
      <c r="GUE146" s="597"/>
      <c r="GUF146" s="153"/>
      <c r="GUG146" s="597"/>
      <c r="GUH146" s="597"/>
      <c r="GUI146" s="597"/>
      <c r="GUJ146" s="153"/>
      <c r="GUK146" s="597"/>
      <c r="GUL146" s="597"/>
      <c r="GUM146" s="597"/>
      <c r="GUN146" s="153"/>
      <c r="GUO146" s="597"/>
      <c r="GUP146" s="597"/>
      <c r="GUQ146" s="597"/>
      <c r="GUR146" s="153"/>
      <c r="GUS146" s="597"/>
      <c r="GUT146" s="597"/>
      <c r="GUU146" s="597"/>
      <c r="GUV146" s="153"/>
      <c r="GUW146" s="597"/>
      <c r="GUX146" s="597"/>
      <c r="GUY146" s="597"/>
      <c r="GUZ146" s="153"/>
      <c r="GVA146" s="597"/>
      <c r="GVB146" s="597"/>
      <c r="GVC146" s="597"/>
      <c r="GVD146" s="153"/>
      <c r="GVE146" s="597"/>
      <c r="GVF146" s="597"/>
      <c r="GVG146" s="597"/>
      <c r="GVH146" s="153"/>
      <c r="GVI146" s="597"/>
      <c r="GVJ146" s="597"/>
      <c r="GVK146" s="597"/>
      <c r="GVL146" s="153"/>
      <c r="GVM146" s="597"/>
      <c r="GVN146" s="597"/>
      <c r="GVO146" s="597"/>
      <c r="GVP146" s="153"/>
      <c r="GVQ146" s="597"/>
      <c r="GVR146" s="597"/>
      <c r="GVS146" s="597"/>
      <c r="GVT146" s="153"/>
      <c r="GVU146" s="597"/>
      <c r="GVV146" s="597"/>
      <c r="GVW146" s="597"/>
      <c r="GVX146" s="153"/>
      <c r="GVY146" s="597"/>
      <c r="GVZ146" s="597"/>
      <c r="GWA146" s="597"/>
      <c r="GWB146" s="153"/>
      <c r="GWC146" s="597"/>
      <c r="GWD146" s="597"/>
      <c r="GWE146" s="597"/>
      <c r="GWF146" s="153"/>
      <c r="GWG146" s="597"/>
      <c r="GWH146" s="597"/>
      <c r="GWI146" s="597"/>
      <c r="GWJ146" s="153"/>
      <c r="GWK146" s="597"/>
      <c r="GWL146" s="597"/>
      <c r="GWM146" s="597"/>
      <c r="GWN146" s="153"/>
      <c r="GWO146" s="597"/>
      <c r="GWP146" s="597"/>
      <c r="GWQ146" s="597"/>
      <c r="GWR146" s="153"/>
      <c r="GWS146" s="597"/>
      <c r="GWT146" s="597"/>
      <c r="GWU146" s="597"/>
      <c r="GWV146" s="153"/>
      <c r="GWW146" s="597"/>
      <c r="GWX146" s="597"/>
      <c r="GWY146" s="597"/>
      <c r="GWZ146" s="153"/>
      <c r="GXA146" s="597"/>
      <c r="GXB146" s="597"/>
      <c r="GXC146" s="597"/>
      <c r="GXD146" s="153"/>
      <c r="GXE146" s="597"/>
      <c r="GXF146" s="597"/>
      <c r="GXG146" s="597"/>
      <c r="GXH146" s="153"/>
      <c r="GXI146" s="597"/>
      <c r="GXJ146" s="597"/>
      <c r="GXK146" s="597"/>
      <c r="GXL146" s="153"/>
      <c r="GXM146" s="597"/>
      <c r="GXN146" s="597"/>
      <c r="GXO146" s="597"/>
      <c r="GXP146" s="153"/>
      <c r="GXQ146" s="597"/>
      <c r="GXR146" s="597"/>
      <c r="GXS146" s="597"/>
      <c r="GXT146" s="153"/>
      <c r="GXU146" s="597"/>
      <c r="GXV146" s="597"/>
      <c r="GXW146" s="597"/>
      <c r="GXX146" s="153"/>
      <c r="GXY146" s="597"/>
      <c r="GXZ146" s="597"/>
      <c r="GYA146" s="597"/>
      <c r="GYB146" s="153"/>
      <c r="GYC146" s="597"/>
      <c r="GYD146" s="597"/>
      <c r="GYE146" s="597"/>
      <c r="GYF146" s="153"/>
      <c r="GYG146" s="597"/>
      <c r="GYH146" s="597"/>
      <c r="GYI146" s="597"/>
      <c r="GYJ146" s="153"/>
      <c r="GYK146" s="597"/>
      <c r="GYL146" s="597"/>
      <c r="GYM146" s="597"/>
      <c r="GYN146" s="153"/>
      <c r="GYO146" s="597"/>
      <c r="GYP146" s="597"/>
      <c r="GYQ146" s="597"/>
      <c r="GYR146" s="153"/>
      <c r="GYS146" s="597"/>
      <c r="GYT146" s="597"/>
      <c r="GYU146" s="597"/>
      <c r="GYV146" s="153"/>
      <c r="GYW146" s="597"/>
      <c r="GYX146" s="597"/>
      <c r="GYY146" s="597"/>
      <c r="GYZ146" s="153"/>
      <c r="GZA146" s="597"/>
      <c r="GZB146" s="597"/>
      <c r="GZC146" s="597"/>
      <c r="GZD146" s="153"/>
      <c r="GZE146" s="597"/>
      <c r="GZF146" s="597"/>
      <c r="GZG146" s="597"/>
      <c r="GZH146" s="153"/>
      <c r="GZI146" s="597"/>
      <c r="GZJ146" s="597"/>
      <c r="GZK146" s="597"/>
      <c r="GZL146" s="153"/>
      <c r="GZM146" s="597"/>
      <c r="GZN146" s="597"/>
      <c r="GZO146" s="597"/>
      <c r="GZP146" s="153"/>
      <c r="GZQ146" s="597"/>
      <c r="GZR146" s="597"/>
      <c r="GZS146" s="597"/>
      <c r="GZT146" s="153"/>
      <c r="GZU146" s="597"/>
      <c r="GZV146" s="597"/>
      <c r="GZW146" s="597"/>
      <c r="GZX146" s="153"/>
      <c r="GZY146" s="597"/>
      <c r="GZZ146" s="597"/>
      <c r="HAA146" s="597"/>
      <c r="HAB146" s="153"/>
      <c r="HAC146" s="597"/>
      <c r="HAD146" s="597"/>
      <c r="HAE146" s="597"/>
      <c r="HAF146" s="153"/>
      <c r="HAG146" s="597"/>
      <c r="HAH146" s="597"/>
      <c r="HAI146" s="597"/>
      <c r="HAJ146" s="153"/>
      <c r="HAK146" s="597"/>
      <c r="HAL146" s="597"/>
      <c r="HAM146" s="597"/>
      <c r="HAN146" s="153"/>
      <c r="HAO146" s="597"/>
      <c r="HAP146" s="597"/>
      <c r="HAQ146" s="597"/>
      <c r="HAR146" s="153"/>
      <c r="HAS146" s="597"/>
      <c r="HAT146" s="597"/>
      <c r="HAU146" s="597"/>
      <c r="HAV146" s="153"/>
      <c r="HAW146" s="597"/>
      <c r="HAX146" s="597"/>
      <c r="HAY146" s="597"/>
      <c r="HAZ146" s="153"/>
      <c r="HBA146" s="597"/>
      <c r="HBB146" s="597"/>
      <c r="HBC146" s="597"/>
      <c r="HBD146" s="153"/>
      <c r="HBE146" s="597"/>
      <c r="HBF146" s="597"/>
      <c r="HBG146" s="597"/>
      <c r="HBH146" s="153"/>
      <c r="HBI146" s="597"/>
      <c r="HBJ146" s="597"/>
      <c r="HBK146" s="597"/>
      <c r="HBL146" s="153"/>
      <c r="HBM146" s="597"/>
      <c r="HBN146" s="597"/>
      <c r="HBO146" s="597"/>
      <c r="HBP146" s="153"/>
      <c r="HBQ146" s="597"/>
      <c r="HBR146" s="597"/>
      <c r="HBS146" s="597"/>
      <c r="HBT146" s="153"/>
      <c r="HBU146" s="597"/>
      <c r="HBV146" s="597"/>
      <c r="HBW146" s="597"/>
      <c r="HBX146" s="153"/>
      <c r="HBY146" s="597"/>
      <c r="HBZ146" s="597"/>
      <c r="HCA146" s="597"/>
      <c r="HCB146" s="153"/>
      <c r="HCC146" s="597"/>
      <c r="HCD146" s="597"/>
      <c r="HCE146" s="597"/>
      <c r="HCF146" s="153"/>
      <c r="HCG146" s="597"/>
      <c r="HCH146" s="597"/>
      <c r="HCI146" s="597"/>
      <c r="HCJ146" s="153"/>
      <c r="HCK146" s="597"/>
      <c r="HCL146" s="597"/>
      <c r="HCM146" s="597"/>
      <c r="HCN146" s="153"/>
      <c r="HCO146" s="597"/>
      <c r="HCP146" s="597"/>
      <c r="HCQ146" s="597"/>
      <c r="HCR146" s="153"/>
      <c r="HCS146" s="597"/>
      <c r="HCT146" s="597"/>
      <c r="HCU146" s="597"/>
      <c r="HCV146" s="153"/>
      <c r="HCW146" s="597"/>
      <c r="HCX146" s="597"/>
      <c r="HCY146" s="597"/>
      <c r="HCZ146" s="153"/>
      <c r="HDA146" s="597"/>
      <c r="HDB146" s="597"/>
      <c r="HDC146" s="597"/>
      <c r="HDD146" s="153"/>
      <c r="HDE146" s="597"/>
      <c r="HDF146" s="597"/>
      <c r="HDG146" s="597"/>
      <c r="HDH146" s="153"/>
      <c r="HDI146" s="597"/>
      <c r="HDJ146" s="597"/>
      <c r="HDK146" s="597"/>
      <c r="HDL146" s="153"/>
      <c r="HDM146" s="597"/>
      <c r="HDN146" s="597"/>
      <c r="HDO146" s="597"/>
      <c r="HDP146" s="153"/>
      <c r="HDQ146" s="597"/>
      <c r="HDR146" s="597"/>
      <c r="HDS146" s="597"/>
      <c r="HDT146" s="153"/>
      <c r="HDU146" s="597"/>
      <c r="HDV146" s="597"/>
      <c r="HDW146" s="597"/>
      <c r="HDX146" s="153"/>
      <c r="HDY146" s="597"/>
      <c r="HDZ146" s="597"/>
      <c r="HEA146" s="597"/>
      <c r="HEB146" s="153"/>
      <c r="HEC146" s="597"/>
      <c r="HED146" s="597"/>
      <c r="HEE146" s="597"/>
      <c r="HEF146" s="153"/>
      <c r="HEG146" s="597"/>
      <c r="HEH146" s="597"/>
      <c r="HEI146" s="597"/>
      <c r="HEJ146" s="153"/>
      <c r="HEK146" s="597"/>
      <c r="HEL146" s="597"/>
      <c r="HEM146" s="597"/>
      <c r="HEN146" s="153"/>
      <c r="HEO146" s="597"/>
      <c r="HEP146" s="597"/>
      <c r="HEQ146" s="597"/>
      <c r="HER146" s="153"/>
      <c r="HES146" s="597"/>
      <c r="HET146" s="597"/>
      <c r="HEU146" s="597"/>
      <c r="HEV146" s="153"/>
      <c r="HEW146" s="597"/>
      <c r="HEX146" s="597"/>
      <c r="HEY146" s="597"/>
      <c r="HEZ146" s="153"/>
      <c r="HFA146" s="597"/>
      <c r="HFB146" s="597"/>
      <c r="HFC146" s="597"/>
      <c r="HFD146" s="153"/>
      <c r="HFE146" s="597"/>
      <c r="HFF146" s="597"/>
      <c r="HFG146" s="597"/>
      <c r="HFH146" s="153"/>
      <c r="HFI146" s="597"/>
      <c r="HFJ146" s="597"/>
      <c r="HFK146" s="597"/>
      <c r="HFL146" s="153"/>
      <c r="HFM146" s="597"/>
      <c r="HFN146" s="597"/>
      <c r="HFO146" s="597"/>
      <c r="HFP146" s="153"/>
      <c r="HFQ146" s="597"/>
      <c r="HFR146" s="597"/>
      <c r="HFS146" s="597"/>
      <c r="HFT146" s="153"/>
      <c r="HFU146" s="597"/>
      <c r="HFV146" s="597"/>
      <c r="HFW146" s="597"/>
      <c r="HFX146" s="153"/>
      <c r="HFY146" s="597"/>
      <c r="HFZ146" s="597"/>
      <c r="HGA146" s="597"/>
      <c r="HGB146" s="153"/>
      <c r="HGC146" s="597"/>
      <c r="HGD146" s="597"/>
      <c r="HGE146" s="597"/>
      <c r="HGF146" s="153"/>
      <c r="HGG146" s="597"/>
      <c r="HGH146" s="597"/>
      <c r="HGI146" s="597"/>
      <c r="HGJ146" s="153"/>
      <c r="HGK146" s="597"/>
      <c r="HGL146" s="597"/>
      <c r="HGM146" s="597"/>
      <c r="HGN146" s="153"/>
      <c r="HGO146" s="597"/>
      <c r="HGP146" s="597"/>
      <c r="HGQ146" s="597"/>
      <c r="HGR146" s="153"/>
      <c r="HGS146" s="597"/>
      <c r="HGT146" s="597"/>
      <c r="HGU146" s="597"/>
      <c r="HGV146" s="153"/>
      <c r="HGW146" s="597"/>
      <c r="HGX146" s="597"/>
      <c r="HGY146" s="597"/>
      <c r="HGZ146" s="153"/>
      <c r="HHA146" s="597"/>
      <c r="HHB146" s="597"/>
      <c r="HHC146" s="597"/>
      <c r="HHD146" s="153"/>
      <c r="HHE146" s="597"/>
      <c r="HHF146" s="597"/>
      <c r="HHG146" s="597"/>
      <c r="HHH146" s="153"/>
      <c r="HHI146" s="597"/>
      <c r="HHJ146" s="597"/>
      <c r="HHK146" s="597"/>
      <c r="HHL146" s="153"/>
      <c r="HHM146" s="597"/>
      <c r="HHN146" s="597"/>
      <c r="HHO146" s="597"/>
      <c r="HHP146" s="153"/>
      <c r="HHQ146" s="597"/>
      <c r="HHR146" s="597"/>
      <c r="HHS146" s="597"/>
      <c r="HHT146" s="153"/>
      <c r="HHU146" s="597"/>
      <c r="HHV146" s="597"/>
      <c r="HHW146" s="597"/>
      <c r="HHX146" s="153"/>
      <c r="HHY146" s="597"/>
      <c r="HHZ146" s="597"/>
      <c r="HIA146" s="597"/>
      <c r="HIB146" s="153"/>
      <c r="HIC146" s="597"/>
      <c r="HID146" s="597"/>
      <c r="HIE146" s="597"/>
      <c r="HIF146" s="153"/>
      <c r="HIG146" s="597"/>
      <c r="HIH146" s="597"/>
      <c r="HII146" s="597"/>
      <c r="HIJ146" s="153"/>
      <c r="HIK146" s="597"/>
      <c r="HIL146" s="597"/>
      <c r="HIM146" s="597"/>
      <c r="HIN146" s="153"/>
      <c r="HIO146" s="597"/>
      <c r="HIP146" s="597"/>
      <c r="HIQ146" s="597"/>
      <c r="HIR146" s="153"/>
      <c r="HIS146" s="597"/>
      <c r="HIT146" s="597"/>
      <c r="HIU146" s="597"/>
      <c r="HIV146" s="153"/>
      <c r="HIW146" s="597"/>
      <c r="HIX146" s="597"/>
      <c r="HIY146" s="597"/>
      <c r="HIZ146" s="153"/>
      <c r="HJA146" s="597"/>
      <c r="HJB146" s="597"/>
      <c r="HJC146" s="597"/>
      <c r="HJD146" s="153"/>
      <c r="HJE146" s="597"/>
      <c r="HJF146" s="597"/>
      <c r="HJG146" s="597"/>
      <c r="HJH146" s="153"/>
      <c r="HJI146" s="597"/>
      <c r="HJJ146" s="597"/>
      <c r="HJK146" s="597"/>
      <c r="HJL146" s="153"/>
      <c r="HJM146" s="597"/>
      <c r="HJN146" s="597"/>
      <c r="HJO146" s="597"/>
      <c r="HJP146" s="153"/>
      <c r="HJQ146" s="597"/>
      <c r="HJR146" s="597"/>
      <c r="HJS146" s="597"/>
      <c r="HJT146" s="153"/>
      <c r="HJU146" s="597"/>
      <c r="HJV146" s="597"/>
      <c r="HJW146" s="597"/>
      <c r="HJX146" s="153"/>
      <c r="HJY146" s="597"/>
      <c r="HJZ146" s="597"/>
      <c r="HKA146" s="597"/>
      <c r="HKB146" s="153"/>
      <c r="HKC146" s="597"/>
      <c r="HKD146" s="597"/>
      <c r="HKE146" s="597"/>
      <c r="HKF146" s="153"/>
      <c r="HKG146" s="597"/>
      <c r="HKH146" s="597"/>
      <c r="HKI146" s="597"/>
      <c r="HKJ146" s="153"/>
      <c r="HKK146" s="597"/>
      <c r="HKL146" s="597"/>
      <c r="HKM146" s="597"/>
      <c r="HKN146" s="153"/>
      <c r="HKO146" s="597"/>
      <c r="HKP146" s="597"/>
      <c r="HKQ146" s="597"/>
      <c r="HKR146" s="153"/>
      <c r="HKS146" s="597"/>
      <c r="HKT146" s="597"/>
      <c r="HKU146" s="597"/>
      <c r="HKV146" s="153"/>
      <c r="HKW146" s="597"/>
      <c r="HKX146" s="597"/>
      <c r="HKY146" s="597"/>
      <c r="HKZ146" s="153"/>
      <c r="HLA146" s="597"/>
      <c r="HLB146" s="597"/>
      <c r="HLC146" s="597"/>
      <c r="HLD146" s="153"/>
      <c r="HLE146" s="597"/>
      <c r="HLF146" s="597"/>
      <c r="HLG146" s="597"/>
      <c r="HLH146" s="153"/>
      <c r="HLI146" s="597"/>
      <c r="HLJ146" s="597"/>
      <c r="HLK146" s="597"/>
      <c r="HLL146" s="153"/>
      <c r="HLM146" s="597"/>
      <c r="HLN146" s="597"/>
      <c r="HLO146" s="597"/>
      <c r="HLP146" s="153"/>
      <c r="HLQ146" s="597"/>
      <c r="HLR146" s="597"/>
      <c r="HLS146" s="597"/>
      <c r="HLT146" s="153"/>
      <c r="HLU146" s="597"/>
      <c r="HLV146" s="597"/>
      <c r="HLW146" s="597"/>
      <c r="HLX146" s="153"/>
      <c r="HLY146" s="597"/>
      <c r="HLZ146" s="597"/>
      <c r="HMA146" s="597"/>
      <c r="HMB146" s="153"/>
      <c r="HMC146" s="597"/>
      <c r="HMD146" s="597"/>
      <c r="HME146" s="597"/>
      <c r="HMF146" s="153"/>
      <c r="HMG146" s="597"/>
      <c r="HMH146" s="597"/>
      <c r="HMI146" s="597"/>
      <c r="HMJ146" s="153"/>
      <c r="HMK146" s="597"/>
      <c r="HML146" s="597"/>
      <c r="HMM146" s="597"/>
      <c r="HMN146" s="153"/>
      <c r="HMO146" s="597"/>
      <c r="HMP146" s="597"/>
      <c r="HMQ146" s="597"/>
      <c r="HMR146" s="153"/>
      <c r="HMS146" s="597"/>
      <c r="HMT146" s="597"/>
      <c r="HMU146" s="597"/>
      <c r="HMV146" s="153"/>
      <c r="HMW146" s="597"/>
      <c r="HMX146" s="597"/>
      <c r="HMY146" s="597"/>
      <c r="HMZ146" s="153"/>
      <c r="HNA146" s="597"/>
      <c r="HNB146" s="597"/>
      <c r="HNC146" s="597"/>
      <c r="HND146" s="153"/>
      <c r="HNE146" s="597"/>
      <c r="HNF146" s="597"/>
      <c r="HNG146" s="597"/>
      <c r="HNH146" s="153"/>
      <c r="HNI146" s="597"/>
      <c r="HNJ146" s="597"/>
      <c r="HNK146" s="597"/>
      <c r="HNL146" s="153"/>
      <c r="HNM146" s="597"/>
      <c r="HNN146" s="597"/>
      <c r="HNO146" s="597"/>
      <c r="HNP146" s="153"/>
      <c r="HNQ146" s="597"/>
      <c r="HNR146" s="597"/>
      <c r="HNS146" s="597"/>
      <c r="HNT146" s="153"/>
      <c r="HNU146" s="597"/>
      <c r="HNV146" s="597"/>
      <c r="HNW146" s="597"/>
      <c r="HNX146" s="153"/>
      <c r="HNY146" s="597"/>
      <c r="HNZ146" s="597"/>
      <c r="HOA146" s="597"/>
      <c r="HOB146" s="153"/>
      <c r="HOC146" s="597"/>
      <c r="HOD146" s="597"/>
      <c r="HOE146" s="597"/>
      <c r="HOF146" s="153"/>
      <c r="HOG146" s="597"/>
      <c r="HOH146" s="597"/>
      <c r="HOI146" s="597"/>
      <c r="HOJ146" s="153"/>
      <c r="HOK146" s="597"/>
      <c r="HOL146" s="597"/>
      <c r="HOM146" s="597"/>
      <c r="HON146" s="153"/>
      <c r="HOO146" s="597"/>
      <c r="HOP146" s="597"/>
      <c r="HOQ146" s="597"/>
      <c r="HOR146" s="153"/>
      <c r="HOS146" s="597"/>
      <c r="HOT146" s="597"/>
      <c r="HOU146" s="597"/>
      <c r="HOV146" s="153"/>
      <c r="HOW146" s="597"/>
      <c r="HOX146" s="597"/>
      <c r="HOY146" s="597"/>
      <c r="HOZ146" s="153"/>
      <c r="HPA146" s="597"/>
      <c r="HPB146" s="597"/>
      <c r="HPC146" s="597"/>
      <c r="HPD146" s="153"/>
      <c r="HPE146" s="597"/>
      <c r="HPF146" s="597"/>
      <c r="HPG146" s="597"/>
      <c r="HPH146" s="153"/>
      <c r="HPI146" s="597"/>
      <c r="HPJ146" s="597"/>
      <c r="HPK146" s="597"/>
      <c r="HPL146" s="153"/>
      <c r="HPM146" s="597"/>
      <c r="HPN146" s="597"/>
      <c r="HPO146" s="597"/>
      <c r="HPP146" s="153"/>
      <c r="HPQ146" s="597"/>
      <c r="HPR146" s="597"/>
      <c r="HPS146" s="597"/>
      <c r="HPT146" s="153"/>
      <c r="HPU146" s="597"/>
      <c r="HPV146" s="597"/>
      <c r="HPW146" s="597"/>
      <c r="HPX146" s="153"/>
      <c r="HPY146" s="597"/>
      <c r="HPZ146" s="597"/>
      <c r="HQA146" s="597"/>
      <c r="HQB146" s="153"/>
      <c r="HQC146" s="597"/>
      <c r="HQD146" s="597"/>
      <c r="HQE146" s="597"/>
      <c r="HQF146" s="153"/>
      <c r="HQG146" s="597"/>
      <c r="HQH146" s="597"/>
      <c r="HQI146" s="597"/>
      <c r="HQJ146" s="153"/>
      <c r="HQK146" s="597"/>
      <c r="HQL146" s="597"/>
      <c r="HQM146" s="597"/>
      <c r="HQN146" s="153"/>
      <c r="HQO146" s="597"/>
      <c r="HQP146" s="597"/>
      <c r="HQQ146" s="597"/>
      <c r="HQR146" s="153"/>
      <c r="HQS146" s="597"/>
      <c r="HQT146" s="597"/>
      <c r="HQU146" s="597"/>
      <c r="HQV146" s="153"/>
      <c r="HQW146" s="597"/>
      <c r="HQX146" s="597"/>
      <c r="HQY146" s="597"/>
      <c r="HQZ146" s="153"/>
      <c r="HRA146" s="597"/>
      <c r="HRB146" s="597"/>
      <c r="HRC146" s="597"/>
      <c r="HRD146" s="153"/>
      <c r="HRE146" s="597"/>
      <c r="HRF146" s="597"/>
      <c r="HRG146" s="597"/>
      <c r="HRH146" s="153"/>
      <c r="HRI146" s="597"/>
      <c r="HRJ146" s="597"/>
      <c r="HRK146" s="597"/>
      <c r="HRL146" s="153"/>
      <c r="HRM146" s="597"/>
      <c r="HRN146" s="597"/>
      <c r="HRO146" s="597"/>
      <c r="HRP146" s="153"/>
      <c r="HRQ146" s="597"/>
      <c r="HRR146" s="597"/>
      <c r="HRS146" s="597"/>
      <c r="HRT146" s="153"/>
      <c r="HRU146" s="597"/>
      <c r="HRV146" s="597"/>
      <c r="HRW146" s="597"/>
      <c r="HRX146" s="153"/>
      <c r="HRY146" s="597"/>
      <c r="HRZ146" s="597"/>
      <c r="HSA146" s="597"/>
      <c r="HSB146" s="153"/>
      <c r="HSC146" s="597"/>
      <c r="HSD146" s="597"/>
      <c r="HSE146" s="597"/>
      <c r="HSF146" s="153"/>
      <c r="HSG146" s="597"/>
      <c r="HSH146" s="597"/>
      <c r="HSI146" s="597"/>
      <c r="HSJ146" s="153"/>
      <c r="HSK146" s="597"/>
      <c r="HSL146" s="597"/>
      <c r="HSM146" s="597"/>
      <c r="HSN146" s="153"/>
      <c r="HSO146" s="597"/>
      <c r="HSP146" s="597"/>
      <c r="HSQ146" s="597"/>
      <c r="HSR146" s="153"/>
      <c r="HSS146" s="597"/>
      <c r="HST146" s="597"/>
      <c r="HSU146" s="597"/>
      <c r="HSV146" s="153"/>
      <c r="HSW146" s="597"/>
      <c r="HSX146" s="597"/>
      <c r="HSY146" s="597"/>
      <c r="HSZ146" s="153"/>
      <c r="HTA146" s="597"/>
      <c r="HTB146" s="597"/>
      <c r="HTC146" s="597"/>
      <c r="HTD146" s="153"/>
      <c r="HTE146" s="597"/>
      <c r="HTF146" s="597"/>
      <c r="HTG146" s="597"/>
      <c r="HTH146" s="153"/>
      <c r="HTI146" s="597"/>
      <c r="HTJ146" s="597"/>
      <c r="HTK146" s="597"/>
      <c r="HTL146" s="153"/>
      <c r="HTM146" s="597"/>
      <c r="HTN146" s="597"/>
      <c r="HTO146" s="597"/>
      <c r="HTP146" s="153"/>
      <c r="HTQ146" s="597"/>
      <c r="HTR146" s="597"/>
      <c r="HTS146" s="597"/>
      <c r="HTT146" s="153"/>
      <c r="HTU146" s="597"/>
      <c r="HTV146" s="597"/>
      <c r="HTW146" s="597"/>
      <c r="HTX146" s="153"/>
      <c r="HTY146" s="597"/>
      <c r="HTZ146" s="597"/>
      <c r="HUA146" s="597"/>
      <c r="HUB146" s="153"/>
      <c r="HUC146" s="597"/>
      <c r="HUD146" s="597"/>
      <c r="HUE146" s="597"/>
      <c r="HUF146" s="153"/>
      <c r="HUG146" s="597"/>
      <c r="HUH146" s="597"/>
      <c r="HUI146" s="597"/>
      <c r="HUJ146" s="153"/>
      <c r="HUK146" s="597"/>
      <c r="HUL146" s="597"/>
      <c r="HUM146" s="597"/>
      <c r="HUN146" s="153"/>
      <c r="HUO146" s="597"/>
      <c r="HUP146" s="597"/>
      <c r="HUQ146" s="597"/>
      <c r="HUR146" s="153"/>
      <c r="HUS146" s="597"/>
      <c r="HUT146" s="597"/>
      <c r="HUU146" s="597"/>
      <c r="HUV146" s="153"/>
      <c r="HUW146" s="597"/>
      <c r="HUX146" s="597"/>
      <c r="HUY146" s="597"/>
      <c r="HUZ146" s="153"/>
      <c r="HVA146" s="597"/>
      <c r="HVB146" s="597"/>
      <c r="HVC146" s="597"/>
      <c r="HVD146" s="153"/>
      <c r="HVE146" s="597"/>
      <c r="HVF146" s="597"/>
      <c r="HVG146" s="597"/>
      <c r="HVH146" s="153"/>
      <c r="HVI146" s="597"/>
      <c r="HVJ146" s="597"/>
      <c r="HVK146" s="597"/>
      <c r="HVL146" s="153"/>
      <c r="HVM146" s="597"/>
      <c r="HVN146" s="597"/>
      <c r="HVO146" s="597"/>
      <c r="HVP146" s="153"/>
      <c r="HVQ146" s="597"/>
      <c r="HVR146" s="597"/>
      <c r="HVS146" s="597"/>
      <c r="HVT146" s="153"/>
      <c r="HVU146" s="597"/>
      <c r="HVV146" s="597"/>
      <c r="HVW146" s="597"/>
      <c r="HVX146" s="153"/>
      <c r="HVY146" s="597"/>
      <c r="HVZ146" s="597"/>
      <c r="HWA146" s="597"/>
      <c r="HWB146" s="153"/>
      <c r="HWC146" s="597"/>
      <c r="HWD146" s="597"/>
      <c r="HWE146" s="597"/>
      <c r="HWF146" s="153"/>
      <c r="HWG146" s="597"/>
      <c r="HWH146" s="597"/>
      <c r="HWI146" s="597"/>
      <c r="HWJ146" s="153"/>
      <c r="HWK146" s="597"/>
      <c r="HWL146" s="597"/>
      <c r="HWM146" s="597"/>
      <c r="HWN146" s="153"/>
      <c r="HWO146" s="597"/>
      <c r="HWP146" s="597"/>
      <c r="HWQ146" s="597"/>
      <c r="HWR146" s="153"/>
      <c r="HWS146" s="597"/>
      <c r="HWT146" s="597"/>
      <c r="HWU146" s="597"/>
      <c r="HWV146" s="153"/>
      <c r="HWW146" s="597"/>
      <c r="HWX146" s="597"/>
      <c r="HWY146" s="597"/>
      <c r="HWZ146" s="153"/>
      <c r="HXA146" s="597"/>
      <c r="HXB146" s="597"/>
      <c r="HXC146" s="597"/>
      <c r="HXD146" s="153"/>
      <c r="HXE146" s="597"/>
      <c r="HXF146" s="597"/>
      <c r="HXG146" s="597"/>
      <c r="HXH146" s="153"/>
      <c r="HXI146" s="597"/>
      <c r="HXJ146" s="597"/>
      <c r="HXK146" s="597"/>
      <c r="HXL146" s="153"/>
      <c r="HXM146" s="597"/>
      <c r="HXN146" s="597"/>
      <c r="HXO146" s="597"/>
      <c r="HXP146" s="153"/>
      <c r="HXQ146" s="597"/>
      <c r="HXR146" s="597"/>
      <c r="HXS146" s="597"/>
      <c r="HXT146" s="153"/>
      <c r="HXU146" s="597"/>
      <c r="HXV146" s="597"/>
      <c r="HXW146" s="597"/>
      <c r="HXX146" s="153"/>
      <c r="HXY146" s="597"/>
      <c r="HXZ146" s="597"/>
      <c r="HYA146" s="597"/>
      <c r="HYB146" s="153"/>
      <c r="HYC146" s="597"/>
      <c r="HYD146" s="597"/>
      <c r="HYE146" s="597"/>
      <c r="HYF146" s="153"/>
      <c r="HYG146" s="597"/>
      <c r="HYH146" s="597"/>
      <c r="HYI146" s="597"/>
      <c r="HYJ146" s="153"/>
      <c r="HYK146" s="597"/>
      <c r="HYL146" s="597"/>
      <c r="HYM146" s="597"/>
      <c r="HYN146" s="153"/>
      <c r="HYO146" s="597"/>
      <c r="HYP146" s="597"/>
      <c r="HYQ146" s="597"/>
      <c r="HYR146" s="153"/>
      <c r="HYS146" s="597"/>
      <c r="HYT146" s="597"/>
      <c r="HYU146" s="597"/>
      <c r="HYV146" s="153"/>
      <c r="HYW146" s="597"/>
      <c r="HYX146" s="597"/>
      <c r="HYY146" s="597"/>
      <c r="HYZ146" s="153"/>
      <c r="HZA146" s="597"/>
      <c r="HZB146" s="597"/>
      <c r="HZC146" s="597"/>
      <c r="HZD146" s="153"/>
      <c r="HZE146" s="597"/>
      <c r="HZF146" s="597"/>
      <c r="HZG146" s="597"/>
      <c r="HZH146" s="153"/>
      <c r="HZI146" s="597"/>
      <c r="HZJ146" s="597"/>
      <c r="HZK146" s="597"/>
      <c r="HZL146" s="153"/>
      <c r="HZM146" s="597"/>
      <c r="HZN146" s="597"/>
      <c r="HZO146" s="597"/>
      <c r="HZP146" s="153"/>
      <c r="HZQ146" s="597"/>
      <c r="HZR146" s="597"/>
      <c r="HZS146" s="597"/>
      <c r="HZT146" s="153"/>
      <c r="HZU146" s="597"/>
      <c r="HZV146" s="597"/>
      <c r="HZW146" s="597"/>
      <c r="HZX146" s="153"/>
      <c r="HZY146" s="597"/>
      <c r="HZZ146" s="597"/>
      <c r="IAA146" s="597"/>
      <c r="IAB146" s="153"/>
      <c r="IAC146" s="597"/>
      <c r="IAD146" s="597"/>
      <c r="IAE146" s="597"/>
      <c r="IAF146" s="153"/>
      <c r="IAG146" s="597"/>
      <c r="IAH146" s="597"/>
      <c r="IAI146" s="597"/>
      <c r="IAJ146" s="153"/>
      <c r="IAK146" s="597"/>
      <c r="IAL146" s="597"/>
      <c r="IAM146" s="597"/>
      <c r="IAN146" s="153"/>
      <c r="IAO146" s="597"/>
      <c r="IAP146" s="597"/>
      <c r="IAQ146" s="597"/>
      <c r="IAR146" s="153"/>
      <c r="IAS146" s="597"/>
      <c r="IAT146" s="597"/>
      <c r="IAU146" s="597"/>
      <c r="IAV146" s="153"/>
      <c r="IAW146" s="597"/>
      <c r="IAX146" s="597"/>
      <c r="IAY146" s="597"/>
      <c r="IAZ146" s="153"/>
      <c r="IBA146" s="597"/>
      <c r="IBB146" s="597"/>
      <c r="IBC146" s="597"/>
      <c r="IBD146" s="153"/>
      <c r="IBE146" s="597"/>
      <c r="IBF146" s="597"/>
      <c r="IBG146" s="597"/>
      <c r="IBH146" s="153"/>
      <c r="IBI146" s="597"/>
      <c r="IBJ146" s="597"/>
      <c r="IBK146" s="597"/>
      <c r="IBL146" s="153"/>
      <c r="IBM146" s="597"/>
      <c r="IBN146" s="597"/>
      <c r="IBO146" s="597"/>
      <c r="IBP146" s="153"/>
      <c r="IBQ146" s="597"/>
      <c r="IBR146" s="597"/>
      <c r="IBS146" s="597"/>
      <c r="IBT146" s="153"/>
      <c r="IBU146" s="597"/>
      <c r="IBV146" s="597"/>
      <c r="IBW146" s="597"/>
      <c r="IBX146" s="153"/>
      <c r="IBY146" s="597"/>
      <c r="IBZ146" s="597"/>
      <c r="ICA146" s="597"/>
      <c r="ICB146" s="153"/>
      <c r="ICC146" s="597"/>
      <c r="ICD146" s="597"/>
      <c r="ICE146" s="597"/>
      <c r="ICF146" s="153"/>
      <c r="ICG146" s="597"/>
      <c r="ICH146" s="597"/>
      <c r="ICI146" s="597"/>
      <c r="ICJ146" s="153"/>
      <c r="ICK146" s="597"/>
      <c r="ICL146" s="597"/>
      <c r="ICM146" s="597"/>
      <c r="ICN146" s="153"/>
      <c r="ICO146" s="597"/>
      <c r="ICP146" s="597"/>
      <c r="ICQ146" s="597"/>
      <c r="ICR146" s="153"/>
      <c r="ICS146" s="597"/>
      <c r="ICT146" s="597"/>
      <c r="ICU146" s="597"/>
      <c r="ICV146" s="153"/>
      <c r="ICW146" s="597"/>
      <c r="ICX146" s="597"/>
      <c r="ICY146" s="597"/>
      <c r="ICZ146" s="153"/>
      <c r="IDA146" s="597"/>
      <c r="IDB146" s="597"/>
      <c r="IDC146" s="597"/>
      <c r="IDD146" s="153"/>
      <c r="IDE146" s="597"/>
      <c r="IDF146" s="597"/>
      <c r="IDG146" s="597"/>
      <c r="IDH146" s="153"/>
      <c r="IDI146" s="597"/>
      <c r="IDJ146" s="597"/>
      <c r="IDK146" s="597"/>
      <c r="IDL146" s="153"/>
      <c r="IDM146" s="597"/>
      <c r="IDN146" s="597"/>
      <c r="IDO146" s="597"/>
      <c r="IDP146" s="153"/>
      <c r="IDQ146" s="597"/>
      <c r="IDR146" s="597"/>
      <c r="IDS146" s="597"/>
      <c r="IDT146" s="153"/>
      <c r="IDU146" s="597"/>
      <c r="IDV146" s="597"/>
      <c r="IDW146" s="597"/>
      <c r="IDX146" s="153"/>
      <c r="IDY146" s="597"/>
      <c r="IDZ146" s="597"/>
      <c r="IEA146" s="597"/>
      <c r="IEB146" s="153"/>
      <c r="IEC146" s="597"/>
      <c r="IED146" s="597"/>
      <c r="IEE146" s="597"/>
      <c r="IEF146" s="153"/>
      <c r="IEG146" s="597"/>
      <c r="IEH146" s="597"/>
      <c r="IEI146" s="597"/>
      <c r="IEJ146" s="153"/>
      <c r="IEK146" s="597"/>
      <c r="IEL146" s="597"/>
      <c r="IEM146" s="597"/>
      <c r="IEN146" s="153"/>
      <c r="IEO146" s="597"/>
      <c r="IEP146" s="597"/>
      <c r="IEQ146" s="597"/>
      <c r="IER146" s="153"/>
      <c r="IES146" s="597"/>
      <c r="IET146" s="597"/>
      <c r="IEU146" s="597"/>
      <c r="IEV146" s="153"/>
      <c r="IEW146" s="597"/>
      <c r="IEX146" s="597"/>
      <c r="IEY146" s="597"/>
      <c r="IEZ146" s="153"/>
      <c r="IFA146" s="597"/>
      <c r="IFB146" s="597"/>
      <c r="IFC146" s="597"/>
      <c r="IFD146" s="153"/>
      <c r="IFE146" s="597"/>
      <c r="IFF146" s="597"/>
      <c r="IFG146" s="597"/>
      <c r="IFH146" s="153"/>
      <c r="IFI146" s="597"/>
      <c r="IFJ146" s="597"/>
      <c r="IFK146" s="597"/>
      <c r="IFL146" s="153"/>
      <c r="IFM146" s="597"/>
      <c r="IFN146" s="597"/>
      <c r="IFO146" s="597"/>
      <c r="IFP146" s="153"/>
      <c r="IFQ146" s="597"/>
      <c r="IFR146" s="597"/>
      <c r="IFS146" s="597"/>
      <c r="IFT146" s="153"/>
      <c r="IFU146" s="597"/>
      <c r="IFV146" s="597"/>
      <c r="IFW146" s="597"/>
      <c r="IFX146" s="153"/>
      <c r="IFY146" s="597"/>
      <c r="IFZ146" s="597"/>
      <c r="IGA146" s="597"/>
      <c r="IGB146" s="153"/>
      <c r="IGC146" s="597"/>
      <c r="IGD146" s="597"/>
      <c r="IGE146" s="597"/>
      <c r="IGF146" s="153"/>
      <c r="IGG146" s="597"/>
      <c r="IGH146" s="597"/>
      <c r="IGI146" s="597"/>
      <c r="IGJ146" s="153"/>
      <c r="IGK146" s="597"/>
      <c r="IGL146" s="597"/>
      <c r="IGM146" s="597"/>
      <c r="IGN146" s="153"/>
      <c r="IGO146" s="597"/>
      <c r="IGP146" s="597"/>
      <c r="IGQ146" s="597"/>
      <c r="IGR146" s="153"/>
      <c r="IGS146" s="597"/>
      <c r="IGT146" s="597"/>
      <c r="IGU146" s="597"/>
      <c r="IGV146" s="153"/>
      <c r="IGW146" s="597"/>
      <c r="IGX146" s="597"/>
      <c r="IGY146" s="597"/>
      <c r="IGZ146" s="153"/>
      <c r="IHA146" s="597"/>
      <c r="IHB146" s="597"/>
      <c r="IHC146" s="597"/>
      <c r="IHD146" s="153"/>
      <c r="IHE146" s="597"/>
      <c r="IHF146" s="597"/>
      <c r="IHG146" s="597"/>
      <c r="IHH146" s="153"/>
      <c r="IHI146" s="597"/>
      <c r="IHJ146" s="597"/>
      <c r="IHK146" s="597"/>
      <c r="IHL146" s="153"/>
      <c r="IHM146" s="597"/>
      <c r="IHN146" s="597"/>
      <c r="IHO146" s="597"/>
      <c r="IHP146" s="153"/>
      <c r="IHQ146" s="597"/>
      <c r="IHR146" s="597"/>
      <c r="IHS146" s="597"/>
      <c r="IHT146" s="153"/>
      <c r="IHU146" s="597"/>
      <c r="IHV146" s="597"/>
      <c r="IHW146" s="597"/>
      <c r="IHX146" s="153"/>
      <c r="IHY146" s="597"/>
      <c r="IHZ146" s="597"/>
      <c r="IIA146" s="597"/>
      <c r="IIB146" s="153"/>
      <c r="IIC146" s="597"/>
      <c r="IID146" s="597"/>
      <c r="IIE146" s="597"/>
      <c r="IIF146" s="153"/>
      <c r="IIG146" s="597"/>
      <c r="IIH146" s="597"/>
      <c r="III146" s="597"/>
      <c r="IIJ146" s="153"/>
      <c r="IIK146" s="597"/>
      <c r="IIL146" s="597"/>
      <c r="IIM146" s="597"/>
      <c r="IIN146" s="153"/>
      <c r="IIO146" s="597"/>
      <c r="IIP146" s="597"/>
      <c r="IIQ146" s="597"/>
      <c r="IIR146" s="153"/>
      <c r="IIS146" s="597"/>
      <c r="IIT146" s="597"/>
      <c r="IIU146" s="597"/>
      <c r="IIV146" s="153"/>
      <c r="IIW146" s="597"/>
      <c r="IIX146" s="597"/>
      <c r="IIY146" s="597"/>
      <c r="IIZ146" s="153"/>
      <c r="IJA146" s="597"/>
      <c r="IJB146" s="597"/>
      <c r="IJC146" s="597"/>
      <c r="IJD146" s="153"/>
      <c r="IJE146" s="597"/>
      <c r="IJF146" s="597"/>
      <c r="IJG146" s="597"/>
      <c r="IJH146" s="153"/>
      <c r="IJI146" s="597"/>
      <c r="IJJ146" s="597"/>
      <c r="IJK146" s="597"/>
      <c r="IJL146" s="153"/>
      <c r="IJM146" s="597"/>
      <c r="IJN146" s="597"/>
      <c r="IJO146" s="597"/>
      <c r="IJP146" s="153"/>
      <c r="IJQ146" s="597"/>
      <c r="IJR146" s="597"/>
      <c r="IJS146" s="597"/>
      <c r="IJT146" s="153"/>
      <c r="IJU146" s="597"/>
      <c r="IJV146" s="597"/>
      <c r="IJW146" s="597"/>
      <c r="IJX146" s="153"/>
      <c r="IJY146" s="597"/>
      <c r="IJZ146" s="597"/>
      <c r="IKA146" s="597"/>
      <c r="IKB146" s="153"/>
      <c r="IKC146" s="597"/>
      <c r="IKD146" s="597"/>
      <c r="IKE146" s="597"/>
      <c r="IKF146" s="153"/>
      <c r="IKG146" s="597"/>
      <c r="IKH146" s="597"/>
      <c r="IKI146" s="597"/>
      <c r="IKJ146" s="153"/>
      <c r="IKK146" s="597"/>
      <c r="IKL146" s="597"/>
      <c r="IKM146" s="597"/>
      <c r="IKN146" s="153"/>
      <c r="IKO146" s="597"/>
      <c r="IKP146" s="597"/>
      <c r="IKQ146" s="597"/>
      <c r="IKR146" s="153"/>
      <c r="IKS146" s="597"/>
      <c r="IKT146" s="597"/>
      <c r="IKU146" s="597"/>
      <c r="IKV146" s="153"/>
      <c r="IKW146" s="597"/>
      <c r="IKX146" s="597"/>
      <c r="IKY146" s="597"/>
      <c r="IKZ146" s="153"/>
      <c r="ILA146" s="597"/>
      <c r="ILB146" s="597"/>
      <c r="ILC146" s="597"/>
      <c r="ILD146" s="153"/>
      <c r="ILE146" s="597"/>
      <c r="ILF146" s="597"/>
      <c r="ILG146" s="597"/>
      <c r="ILH146" s="153"/>
      <c r="ILI146" s="597"/>
      <c r="ILJ146" s="597"/>
      <c r="ILK146" s="597"/>
      <c r="ILL146" s="153"/>
      <c r="ILM146" s="597"/>
      <c r="ILN146" s="597"/>
      <c r="ILO146" s="597"/>
      <c r="ILP146" s="153"/>
      <c r="ILQ146" s="597"/>
      <c r="ILR146" s="597"/>
      <c r="ILS146" s="597"/>
      <c r="ILT146" s="153"/>
      <c r="ILU146" s="597"/>
      <c r="ILV146" s="597"/>
      <c r="ILW146" s="597"/>
      <c r="ILX146" s="153"/>
      <c r="ILY146" s="597"/>
      <c r="ILZ146" s="597"/>
      <c r="IMA146" s="597"/>
      <c r="IMB146" s="153"/>
      <c r="IMC146" s="597"/>
      <c r="IMD146" s="597"/>
      <c r="IME146" s="597"/>
      <c r="IMF146" s="153"/>
      <c r="IMG146" s="597"/>
      <c r="IMH146" s="597"/>
      <c r="IMI146" s="597"/>
      <c r="IMJ146" s="153"/>
      <c r="IMK146" s="597"/>
      <c r="IML146" s="597"/>
      <c r="IMM146" s="597"/>
      <c r="IMN146" s="153"/>
      <c r="IMO146" s="597"/>
      <c r="IMP146" s="597"/>
      <c r="IMQ146" s="597"/>
      <c r="IMR146" s="153"/>
      <c r="IMS146" s="597"/>
      <c r="IMT146" s="597"/>
      <c r="IMU146" s="597"/>
      <c r="IMV146" s="153"/>
      <c r="IMW146" s="597"/>
      <c r="IMX146" s="597"/>
      <c r="IMY146" s="597"/>
      <c r="IMZ146" s="153"/>
      <c r="INA146" s="597"/>
      <c r="INB146" s="597"/>
      <c r="INC146" s="597"/>
      <c r="IND146" s="153"/>
      <c r="INE146" s="597"/>
      <c r="INF146" s="597"/>
      <c r="ING146" s="597"/>
      <c r="INH146" s="153"/>
      <c r="INI146" s="597"/>
      <c r="INJ146" s="597"/>
      <c r="INK146" s="597"/>
      <c r="INL146" s="153"/>
      <c r="INM146" s="597"/>
      <c r="INN146" s="597"/>
      <c r="INO146" s="597"/>
      <c r="INP146" s="153"/>
      <c r="INQ146" s="597"/>
      <c r="INR146" s="597"/>
      <c r="INS146" s="597"/>
      <c r="INT146" s="153"/>
      <c r="INU146" s="597"/>
      <c r="INV146" s="597"/>
      <c r="INW146" s="597"/>
      <c r="INX146" s="153"/>
      <c r="INY146" s="597"/>
      <c r="INZ146" s="597"/>
      <c r="IOA146" s="597"/>
      <c r="IOB146" s="153"/>
      <c r="IOC146" s="597"/>
      <c r="IOD146" s="597"/>
      <c r="IOE146" s="597"/>
      <c r="IOF146" s="153"/>
      <c r="IOG146" s="597"/>
      <c r="IOH146" s="597"/>
      <c r="IOI146" s="597"/>
      <c r="IOJ146" s="153"/>
      <c r="IOK146" s="597"/>
      <c r="IOL146" s="597"/>
      <c r="IOM146" s="597"/>
      <c r="ION146" s="153"/>
      <c r="IOO146" s="597"/>
      <c r="IOP146" s="597"/>
      <c r="IOQ146" s="597"/>
      <c r="IOR146" s="153"/>
      <c r="IOS146" s="597"/>
      <c r="IOT146" s="597"/>
      <c r="IOU146" s="597"/>
      <c r="IOV146" s="153"/>
      <c r="IOW146" s="597"/>
      <c r="IOX146" s="597"/>
      <c r="IOY146" s="597"/>
      <c r="IOZ146" s="153"/>
      <c r="IPA146" s="597"/>
      <c r="IPB146" s="597"/>
      <c r="IPC146" s="597"/>
      <c r="IPD146" s="153"/>
      <c r="IPE146" s="597"/>
      <c r="IPF146" s="597"/>
      <c r="IPG146" s="597"/>
      <c r="IPH146" s="153"/>
      <c r="IPI146" s="597"/>
      <c r="IPJ146" s="597"/>
      <c r="IPK146" s="597"/>
      <c r="IPL146" s="153"/>
      <c r="IPM146" s="597"/>
      <c r="IPN146" s="597"/>
      <c r="IPO146" s="597"/>
      <c r="IPP146" s="153"/>
      <c r="IPQ146" s="597"/>
      <c r="IPR146" s="597"/>
      <c r="IPS146" s="597"/>
      <c r="IPT146" s="153"/>
      <c r="IPU146" s="597"/>
      <c r="IPV146" s="597"/>
      <c r="IPW146" s="597"/>
      <c r="IPX146" s="153"/>
      <c r="IPY146" s="597"/>
      <c r="IPZ146" s="597"/>
      <c r="IQA146" s="597"/>
      <c r="IQB146" s="153"/>
      <c r="IQC146" s="597"/>
      <c r="IQD146" s="597"/>
      <c r="IQE146" s="597"/>
      <c r="IQF146" s="153"/>
      <c r="IQG146" s="597"/>
      <c r="IQH146" s="597"/>
      <c r="IQI146" s="597"/>
      <c r="IQJ146" s="153"/>
      <c r="IQK146" s="597"/>
      <c r="IQL146" s="597"/>
      <c r="IQM146" s="597"/>
      <c r="IQN146" s="153"/>
      <c r="IQO146" s="597"/>
      <c r="IQP146" s="597"/>
      <c r="IQQ146" s="597"/>
      <c r="IQR146" s="153"/>
      <c r="IQS146" s="597"/>
      <c r="IQT146" s="597"/>
      <c r="IQU146" s="597"/>
      <c r="IQV146" s="153"/>
      <c r="IQW146" s="597"/>
      <c r="IQX146" s="597"/>
      <c r="IQY146" s="597"/>
      <c r="IQZ146" s="153"/>
      <c r="IRA146" s="597"/>
      <c r="IRB146" s="597"/>
      <c r="IRC146" s="597"/>
      <c r="IRD146" s="153"/>
      <c r="IRE146" s="597"/>
      <c r="IRF146" s="597"/>
      <c r="IRG146" s="597"/>
      <c r="IRH146" s="153"/>
      <c r="IRI146" s="597"/>
      <c r="IRJ146" s="597"/>
      <c r="IRK146" s="597"/>
      <c r="IRL146" s="153"/>
      <c r="IRM146" s="597"/>
      <c r="IRN146" s="597"/>
      <c r="IRO146" s="597"/>
      <c r="IRP146" s="153"/>
      <c r="IRQ146" s="597"/>
      <c r="IRR146" s="597"/>
      <c r="IRS146" s="597"/>
      <c r="IRT146" s="153"/>
      <c r="IRU146" s="597"/>
      <c r="IRV146" s="597"/>
      <c r="IRW146" s="597"/>
      <c r="IRX146" s="153"/>
      <c r="IRY146" s="597"/>
      <c r="IRZ146" s="597"/>
      <c r="ISA146" s="597"/>
      <c r="ISB146" s="153"/>
      <c r="ISC146" s="597"/>
      <c r="ISD146" s="597"/>
      <c r="ISE146" s="597"/>
      <c r="ISF146" s="153"/>
      <c r="ISG146" s="597"/>
      <c r="ISH146" s="597"/>
      <c r="ISI146" s="597"/>
      <c r="ISJ146" s="153"/>
      <c r="ISK146" s="597"/>
      <c r="ISL146" s="597"/>
      <c r="ISM146" s="597"/>
      <c r="ISN146" s="153"/>
      <c r="ISO146" s="597"/>
      <c r="ISP146" s="597"/>
      <c r="ISQ146" s="597"/>
      <c r="ISR146" s="153"/>
      <c r="ISS146" s="597"/>
      <c r="IST146" s="597"/>
      <c r="ISU146" s="597"/>
      <c r="ISV146" s="153"/>
      <c r="ISW146" s="597"/>
      <c r="ISX146" s="597"/>
      <c r="ISY146" s="597"/>
      <c r="ISZ146" s="153"/>
      <c r="ITA146" s="597"/>
      <c r="ITB146" s="597"/>
      <c r="ITC146" s="597"/>
      <c r="ITD146" s="153"/>
      <c r="ITE146" s="597"/>
      <c r="ITF146" s="597"/>
      <c r="ITG146" s="597"/>
      <c r="ITH146" s="153"/>
      <c r="ITI146" s="597"/>
      <c r="ITJ146" s="597"/>
      <c r="ITK146" s="597"/>
      <c r="ITL146" s="153"/>
      <c r="ITM146" s="597"/>
      <c r="ITN146" s="597"/>
      <c r="ITO146" s="597"/>
      <c r="ITP146" s="153"/>
      <c r="ITQ146" s="597"/>
      <c r="ITR146" s="597"/>
      <c r="ITS146" s="597"/>
      <c r="ITT146" s="153"/>
      <c r="ITU146" s="597"/>
      <c r="ITV146" s="597"/>
      <c r="ITW146" s="597"/>
      <c r="ITX146" s="153"/>
      <c r="ITY146" s="597"/>
      <c r="ITZ146" s="597"/>
      <c r="IUA146" s="597"/>
      <c r="IUB146" s="153"/>
      <c r="IUC146" s="597"/>
      <c r="IUD146" s="597"/>
      <c r="IUE146" s="597"/>
      <c r="IUF146" s="153"/>
      <c r="IUG146" s="597"/>
      <c r="IUH146" s="597"/>
      <c r="IUI146" s="597"/>
      <c r="IUJ146" s="153"/>
      <c r="IUK146" s="597"/>
      <c r="IUL146" s="597"/>
      <c r="IUM146" s="597"/>
      <c r="IUN146" s="153"/>
      <c r="IUO146" s="597"/>
      <c r="IUP146" s="597"/>
      <c r="IUQ146" s="597"/>
      <c r="IUR146" s="153"/>
      <c r="IUS146" s="597"/>
      <c r="IUT146" s="597"/>
      <c r="IUU146" s="597"/>
      <c r="IUV146" s="153"/>
      <c r="IUW146" s="597"/>
      <c r="IUX146" s="597"/>
      <c r="IUY146" s="597"/>
      <c r="IUZ146" s="153"/>
      <c r="IVA146" s="597"/>
      <c r="IVB146" s="597"/>
      <c r="IVC146" s="597"/>
      <c r="IVD146" s="153"/>
      <c r="IVE146" s="597"/>
      <c r="IVF146" s="597"/>
      <c r="IVG146" s="597"/>
      <c r="IVH146" s="153"/>
      <c r="IVI146" s="597"/>
      <c r="IVJ146" s="597"/>
      <c r="IVK146" s="597"/>
      <c r="IVL146" s="153"/>
      <c r="IVM146" s="597"/>
      <c r="IVN146" s="597"/>
      <c r="IVO146" s="597"/>
      <c r="IVP146" s="153"/>
      <c r="IVQ146" s="597"/>
      <c r="IVR146" s="597"/>
      <c r="IVS146" s="597"/>
      <c r="IVT146" s="153"/>
      <c r="IVU146" s="597"/>
      <c r="IVV146" s="597"/>
      <c r="IVW146" s="597"/>
      <c r="IVX146" s="153"/>
      <c r="IVY146" s="597"/>
      <c r="IVZ146" s="597"/>
      <c r="IWA146" s="597"/>
      <c r="IWB146" s="153"/>
      <c r="IWC146" s="597"/>
      <c r="IWD146" s="597"/>
      <c r="IWE146" s="597"/>
      <c r="IWF146" s="153"/>
      <c r="IWG146" s="597"/>
      <c r="IWH146" s="597"/>
      <c r="IWI146" s="597"/>
      <c r="IWJ146" s="153"/>
      <c r="IWK146" s="597"/>
      <c r="IWL146" s="597"/>
      <c r="IWM146" s="597"/>
      <c r="IWN146" s="153"/>
      <c r="IWO146" s="597"/>
      <c r="IWP146" s="597"/>
      <c r="IWQ146" s="597"/>
      <c r="IWR146" s="153"/>
      <c r="IWS146" s="597"/>
      <c r="IWT146" s="597"/>
      <c r="IWU146" s="597"/>
      <c r="IWV146" s="153"/>
      <c r="IWW146" s="597"/>
      <c r="IWX146" s="597"/>
      <c r="IWY146" s="597"/>
      <c r="IWZ146" s="153"/>
      <c r="IXA146" s="597"/>
      <c r="IXB146" s="597"/>
      <c r="IXC146" s="597"/>
      <c r="IXD146" s="153"/>
      <c r="IXE146" s="597"/>
      <c r="IXF146" s="597"/>
      <c r="IXG146" s="597"/>
      <c r="IXH146" s="153"/>
      <c r="IXI146" s="597"/>
      <c r="IXJ146" s="597"/>
      <c r="IXK146" s="597"/>
      <c r="IXL146" s="153"/>
      <c r="IXM146" s="597"/>
      <c r="IXN146" s="597"/>
      <c r="IXO146" s="597"/>
      <c r="IXP146" s="153"/>
      <c r="IXQ146" s="597"/>
      <c r="IXR146" s="597"/>
      <c r="IXS146" s="597"/>
      <c r="IXT146" s="153"/>
      <c r="IXU146" s="597"/>
      <c r="IXV146" s="597"/>
      <c r="IXW146" s="597"/>
      <c r="IXX146" s="153"/>
      <c r="IXY146" s="597"/>
      <c r="IXZ146" s="597"/>
      <c r="IYA146" s="597"/>
      <c r="IYB146" s="153"/>
      <c r="IYC146" s="597"/>
      <c r="IYD146" s="597"/>
      <c r="IYE146" s="597"/>
      <c r="IYF146" s="153"/>
      <c r="IYG146" s="597"/>
      <c r="IYH146" s="597"/>
      <c r="IYI146" s="597"/>
      <c r="IYJ146" s="153"/>
      <c r="IYK146" s="597"/>
      <c r="IYL146" s="597"/>
      <c r="IYM146" s="597"/>
      <c r="IYN146" s="153"/>
      <c r="IYO146" s="597"/>
      <c r="IYP146" s="597"/>
      <c r="IYQ146" s="597"/>
      <c r="IYR146" s="153"/>
      <c r="IYS146" s="597"/>
      <c r="IYT146" s="597"/>
      <c r="IYU146" s="597"/>
      <c r="IYV146" s="153"/>
      <c r="IYW146" s="597"/>
      <c r="IYX146" s="597"/>
      <c r="IYY146" s="597"/>
      <c r="IYZ146" s="153"/>
      <c r="IZA146" s="597"/>
      <c r="IZB146" s="597"/>
      <c r="IZC146" s="597"/>
      <c r="IZD146" s="153"/>
      <c r="IZE146" s="597"/>
      <c r="IZF146" s="597"/>
      <c r="IZG146" s="597"/>
      <c r="IZH146" s="153"/>
      <c r="IZI146" s="597"/>
      <c r="IZJ146" s="597"/>
      <c r="IZK146" s="597"/>
      <c r="IZL146" s="153"/>
      <c r="IZM146" s="597"/>
      <c r="IZN146" s="597"/>
      <c r="IZO146" s="597"/>
      <c r="IZP146" s="153"/>
      <c r="IZQ146" s="597"/>
      <c r="IZR146" s="597"/>
      <c r="IZS146" s="597"/>
      <c r="IZT146" s="153"/>
      <c r="IZU146" s="597"/>
      <c r="IZV146" s="597"/>
      <c r="IZW146" s="597"/>
      <c r="IZX146" s="153"/>
      <c r="IZY146" s="597"/>
      <c r="IZZ146" s="597"/>
      <c r="JAA146" s="597"/>
      <c r="JAB146" s="153"/>
      <c r="JAC146" s="597"/>
      <c r="JAD146" s="597"/>
      <c r="JAE146" s="597"/>
      <c r="JAF146" s="153"/>
      <c r="JAG146" s="597"/>
      <c r="JAH146" s="597"/>
      <c r="JAI146" s="597"/>
      <c r="JAJ146" s="153"/>
      <c r="JAK146" s="597"/>
      <c r="JAL146" s="597"/>
      <c r="JAM146" s="597"/>
      <c r="JAN146" s="153"/>
      <c r="JAO146" s="597"/>
      <c r="JAP146" s="597"/>
      <c r="JAQ146" s="597"/>
      <c r="JAR146" s="153"/>
      <c r="JAS146" s="597"/>
      <c r="JAT146" s="597"/>
      <c r="JAU146" s="597"/>
      <c r="JAV146" s="153"/>
      <c r="JAW146" s="597"/>
      <c r="JAX146" s="597"/>
      <c r="JAY146" s="597"/>
      <c r="JAZ146" s="153"/>
      <c r="JBA146" s="597"/>
      <c r="JBB146" s="597"/>
      <c r="JBC146" s="597"/>
      <c r="JBD146" s="153"/>
      <c r="JBE146" s="597"/>
      <c r="JBF146" s="597"/>
      <c r="JBG146" s="597"/>
      <c r="JBH146" s="153"/>
      <c r="JBI146" s="597"/>
      <c r="JBJ146" s="597"/>
      <c r="JBK146" s="597"/>
      <c r="JBL146" s="153"/>
      <c r="JBM146" s="597"/>
      <c r="JBN146" s="597"/>
      <c r="JBO146" s="597"/>
      <c r="JBP146" s="153"/>
      <c r="JBQ146" s="597"/>
      <c r="JBR146" s="597"/>
      <c r="JBS146" s="597"/>
      <c r="JBT146" s="153"/>
      <c r="JBU146" s="597"/>
      <c r="JBV146" s="597"/>
      <c r="JBW146" s="597"/>
      <c r="JBX146" s="153"/>
      <c r="JBY146" s="597"/>
      <c r="JBZ146" s="597"/>
      <c r="JCA146" s="597"/>
      <c r="JCB146" s="153"/>
      <c r="JCC146" s="597"/>
      <c r="JCD146" s="597"/>
      <c r="JCE146" s="597"/>
      <c r="JCF146" s="153"/>
      <c r="JCG146" s="597"/>
      <c r="JCH146" s="597"/>
      <c r="JCI146" s="597"/>
      <c r="JCJ146" s="153"/>
      <c r="JCK146" s="597"/>
      <c r="JCL146" s="597"/>
      <c r="JCM146" s="597"/>
      <c r="JCN146" s="153"/>
      <c r="JCO146" s="597"/>
      <c r="JCP146" s="597"/>
      <c r="JCQ146" s="597"/>
      <c r="JCR146" s="153"/>
      <c r="JCS146" s="597"/>
      <c r="JCT146" s="597"/>
      <c r="JCU146" s="597"/>
      <c r="JCV146" s="153"/>
      <c r="JCW146" s="597"/>
      <c r="JCX146" s="597"/>
      <c r="JCY146" s="597"/>
      <c r="JCZ146" s="153"/>
      <c r="JDA146" s="597"/>
      <c r="JDB146" s="597"/>
      <c r="JDC146" s="597"/>
      <c r="JDD146" s="153"/>
      <c r="JDE146" s="597"/>
      <c r="JDF146" s="597"/>
      <c r="JDG146" s="597"/>
      <c r="JDH146" s="153"/>
      <c r="JDI146" s="597"/>
      <c r="JDJ146" s="597"/>
      <c r="JDK146" s="597"/>
      <c r="JDL146" s="153"/>
      <c r="JDM146" s="597"/>
      <c r="JDN146" s="597"/>
      <c r="JDO146" s="597"/>
      <c r="JDP146" s="153"/>
      <c r="JDQ146" s="597"/>
      <c r="JDR146" s="597"/>
      <c r="JDS146" s="597"/>
      <c r="JDT146" s="153"/>
      <c r="JDU146" s="597"/>
      <c r="JDV146" s="597"/>
      <c r="JDW146" s="597"/>
      <c r="JDX146" s="153"/>
      <c r="JDY146" s="597"/>
      <c r="JDZ146" s="597"/>
      <c r="JEA146" s="597"/>
      <c r="JEB146" s="153"/>
      <c r="JEC146" s="597"/>
      <c r="JED146" s="597"/>
      <c r="JEE146" s="597"/>
      <c r="JEF146" s="153"/>
      <c r="JEG146" s="597"/>
      <c r="JEH146" s="597"/>
      <c r="JEI146" s="597"/>
      <c r="JEJ146" s="153"/>
      <c r="JEK146" s="597"/>
      <c r="JEL146" s="597"/>
      <c r="JEM146" s="597"/>
      <c r="JEN146" s="153"/>
      <c r="JEO146" s="597"/>
      <c r="JEP146" s="597"/>
      <c r="JEQ146" s="597"/>
      <c r="JER146" s="153"/>
      <c r="JES146" s="597"/>
      <c r="JET146" s="597"/>
      <c r="JEU146" s="597"/>
      <c r="JEV146" s="153"/>
      <c r="JEW146" s="597"/>
      <c r="JEX146" s="597"/>
      <c r="JEY146" s="597"/>
      <c r="JEZ146" s="153"/>
      <c r="JFA146" s="597"/>
      <c r="JFB146" s="597"/>
      <c r="JFC146" s="597"/>
      <c r="JFD146" s="153"/>
      <c r="JFE146" s="597"/>
      <c r="JFF146" s="597"/>
      <c r="JFG146" s="597"/>
      <c r="JFH146" s="153"/>
      <c r="JFI146" s="597"/>
      <c r="JFJ146" s="597"/>
      <c r="JFK146" s="597"/>
      <c r="JFL146" s="153"/>
      <c r="JFM146" s="597"/>
      <c r="JFN146" s="597"/>
      <c r="JFO146" s="597"/>
      <c r="JFP146" s="153"/>
      <c r="JFQ146" s="597"/>
      <c r="JFR146" s="597"/>
      <c r="JFS146" s="597"/>
      <c r="JFT146" s="153"/>
      <c r="JFU146" s="597"/>
      <c r="JFV146" s="597"/>
      <c r="JFW146" s="597"/>
      <c r="JFX146" s="153"/>
      <c r="JFY146" s="597"/>
      <c r="JFZ146" s="597"/>
      <c r="JGA146" s="597"/>
      <c r="JGB146" s="153"/>
      <c r="JGC146" s="597"/>
      <c r="JGD146" s="597"/>
      <c r="JGE146" s="597"/>
      <c r="JGF146" s="153"/>
      <c r="JGG146" s="597"/>
      <c r="JGH146" s="597"/>
      <c r="JGI146" s="597"/>
      <c r="JGJ146" s="153"/>
      <c r="JGK146" s="597"/>
      <c r="JGL146" s="597"/>
      <c r="JGM146" s="597"/>
      <c r="JGN146" s="153"/>
      <c r="JGO146" s="597"/>
      <c r="JGP146" s="597"/>
      <c r="JGQ146" s="597"/>
      <c r="JGR146" s="153"/>
      <c r="JGS146" s="597"/>
      <c r="JGT146" s="597"/>
      <c r="JGU146" s="597"/>
      <c r="JGV146" s="153"/>
      <c r="JGW146" s="597"/>
      <c r="JGX146" s="597"/>
      <c r="JGY146" s="597"/>
      <c r="JGZ146" s="153"/>
      <c r="JHA146" s="597"/>
      <c r="JHB146" s="597"/>
      <c r="JHC146" s="597"/>
      <c r="JHD146" s="153"/>
      <c r="JHE146" s="597"/>
      <c r="JHF146" s="597"/>
      <c r="JHG146" s="597"/>
      <c r="JHH146" s="153"/>
      <c r="JHI146" s="597"/>
      <c r="JHJ146" s="597"/>
      <c r="JHK146" s="597"/>
      <c r="JHL146" s="153"/>
      <c r="JHM146" s="597"/>
      <c r="JHN146" s="597"/>
      <c r="JHO146" s="597"/>
      <c r="JHP146" s="153"/>
      <c r="JHQ146" s="597"/>
      <c r="JHR146" s="597"/>
      <c r="JHS146" s="597"/>
      <c r="JHT146" s="153"/>
      <c r="JHU146" s="597"/>
      <c r="JHV146" s="597"/>
      <c r="JHW146" s="597"/>
      <c r="JHX146" s="153"/>
      <c r="JHY146" s="597"/>
      <c r="JHZ146" s="597"/>
      <c r="JIA146" s="597"/>
      <c r="JIB146" s="153"/>
      <c r="JIC146" s="597"/>
      <c r="JID146" s="597"/>
      <c r="JIE146" s="597"/>
      <c r="JIF146" s="153"/>
      <c r="JIG146" s="597"/>
      <c r="JIH146" s="597"/>
      <c r="JII146" s="597"/>
      <c r="JIJ146" s="153"/>
      <c r="JIK146" s="597"/>
      <c r="JIL146" s="597"/>
      <c r="JIM146" s="597"/>
      <c r="JIN146" s="153"/>
      <c r="JIO146" s="597"/>
      <c r="JIP146" s="597"/>
      <c r="JIQ146" s="597"/>
      <c r="JIR146" s="153"/>
      <c r="JIS146" s="597"/>
      <c r="JIT146" s="597"/>
      <c r="JIU146" s="597"/>
      <c r="JIV146" s="153"/>
      <c r="JIW146" s="597"/>
      <c r="JIX146" s="597"/>
      <c r="JIY146" s="597"/>
      <c r="JIZ146" s="153"/>
      <c r="JJA146" s="597"/>
      <c r="JJB146" s="597"/>
      <c r="JJC146" s="597"/>
      <c r="JJD146" s="153"/>
      <c r="JJE146" s="597"/>
      <c r="JJF146" s="597"/>
      <c r="JJG146" s="597"/>
      <c r="JJH146" s="153"/>
      <c r="JJI146" s="597"/>
      <c r="JJJ146" s="597"/>
      <c r="JJK146" s="597"/>
      <c r="JJL146" s="153"/>
      <c r="JJM146" s="597"/>
      <c r="JJN146" s="597"/>
      <c r="JJO146" s="597"/>
      <c r="JJP146" s="153"/>
      <c r="JJQ146" s="597"/>
      <c r="JJR146" s="597"/>
      <c r="JJS146" s="597"/>
      <c r="JJT146" s="153"/>
      <c r="JJU146" s="597"/>
      <c r="JJV146" s="597"/>
      <c r="JJW146" s="597"/>
      <c r="JJX146" s="153"/>
      <c r="JJY146" s="597"/>
      <c r="JJZ146" s="597"/>
      <c r="JKA146" s="597"/>
      <c r="JKB146" s="153"/>
      <c r="JKC146" s="597"/>
      <c r="JKD146" s="597"/>
      <c r="JKE146" s="597"/>
      <c r="JKF146" s="153"/>
      <c r="JKG146" s="597"/>
      <c r="JKH146" s="597"/>
      <c r="JKI146" s="597"/>
      <c r="JKJ146" s="153"/>
      <c r="JKK146" s="597"/>
      <c r="JKL146" s="597"/>
      <c r="JKM146" s="597"/>
      <c r="JKN146" s="153"/>
      <c r="JKO146" s="597"/>
      <c r="JKP146" s="597"/>
      <c r="JKQ146" s="597"/>
      <c r="JKR146" s="153"/>
      <c r="JKS146" s="597"/>
      <c r="JKT146" s="597"/>
      <c r="JKU146" s="597"/>
      <c r="JKV146" s="153"/>
      <c r="JKW146" s="597"/>
      <c r="JKX146" s="597"/>
      <c r="JKY146" s="597"/>
      <c r="JKZ146" s="153"/>
      <c r="JLA146" s="597"/>
      <c r="JLB146" s="597"/>
      <c r="JLC146" s="597"/>
      <c r="JLD146" s="153"/>
      <c r="JLE146" s="597"/>
      <c r="JLF146" s="597"/>
      <c r="JLG146" s="597"/>
      <c r="JLH146" s="153"/>
      <c r="JLI146" s="597"/>
      <c r="JLJ146" s="597"/>
      <c r="JLK146" s="597"/>
      <c r="JLL146" s="153"/>
      <c r="JLM146" s="597"/>
      <c r="JLN146" s="597"/>
      <c r="JLO146" s="597"/>
      <c r="JLP146" s="153"/>
      <c r="JLQ146" s="597"/>
      <c r="JLR146" s="597"/>
      <c r="JLS146" s="597"/>
      <c r="JLT146" s="153"/>
      <c r="JLU146" s="597"/>
      <c r="JLV146" s="597"/>
      <c r="JLW146" s="597"/>
      <c r="JLX146" s="153"/>
      <c r="JLY146" s="597"/>
      <c r="JLZ146" s="597"/>
      <c r="JMA146" s="597"/>
      <c r="JMB146" s="153"/>
      <c r="JMC146" s="597"/>
      <c r="JMD146" s="597"/>
      <c r="JME146" s="597"/>
      <c r="JMF146" s="153"/>
      <c r="JMG146" s="597"/>
      <c r="JMH146" s="597"/>
      <c r="JMI146" s="597"/>
      <c r="JMJ146" s="153"/>
      <c r="JMK146" s="597"/>
      <c r="JML146" s="597"/>
      <c r="JMM146" s="597"/>
      <c r="JMN146" s="153"/>
      <c r="JMO146" s="597"/>
      <c r="JMP146" s="597"/>
      <c r="JMQ146" s="597"/>
      <c r="JMR146" s="153"/>
      <c r="JMS146" s="597"/>
      <c r="JMT146" s="597"/>
      <c r="JMU146" s="597"/>
      <c r="JMV146" s="153"/>
      <c r="JMW146" s="597"/>
      <c r="JMX146" s="597"/>
      <c r="JMY146" s="597"/>
      <c r="JMZ146" s="153"/>
      <c r="JNA146" s="597"/>
      <c r="JNB146" s="597"/>
      <c r="JNC146" s="597"/>
      <c r="JND146" s="153"/>
      <c r="JNE146" s="597"/>
      <c r="JNF146" s="597"/>
      <c r="JNG146" s="597"/>
      <c r="JNH146" s="153"/>
      <c r="JNI146" s="597"/>
      <c r="JNJ146" s="597"/>
      <c r="JNK146" s="597"/>
      <c r="JNL146" s="153"/>
      <c r="JNM146" s="597"/>
      <c r="JNN146" s="597"/>
      <c r="JNO146" s="597"/>
      <c r="JNP146" s="153"/>
      <c r="JNQ146" s="597"/>
      <c r="JNR146" s="597"/>
      <c r="JNS146" s="597"/>
      <c r="JNT146" s="153"/>
      <c r="JNU146" s="597"/>
      <c r="JNV146" s="597"/>
      <c r="JNW146" s="597"/>
      <c r="JNX146" s="153"/>
      <c r="JNY146" s="597"/>
      <c r="JNZ146" s="597"/>
      <c r="JOA146" s="597"/>
      <c r="JOB146" s="153"/>
      <c r="JOC146" s="597"/>
      <c r="JOD146" s="597"/>
      <c r="JOE146" s="597"/>
      <c r="JOF146" s="153"/>
      <c r="JOG146" s="597"/>
      <c r="JOH146" s="597"/>
      <c r="JOI146" s="597"/>
      <c r="JOJ146" s="153"/>
      <c r="JOK146" s="597"/>
      <c r="JOL146" s="597"/>
      <c r="JOM146" s="597"/>
      <c r="JON146" s="153"/>
      <c r="JOO146" s="597"/>
      <c r="JOP146" s="597"/>
      <c r="JOQ146" s="597"/>
      <c r="JOR146" s="153"/>
      <c r="JOS146" s="597"/>
      <c r="JOT146" s="597"/>
      <c r="JOU146" s="597"/>
      <c r="JOV146" s="153"/>
      <c r="JOW146" s="597"/>
      <c r="JOX146" s="597"/>
      <c r="JOY146" s="597"/>
      <c r="JOZ146" s="153"/>
      <c r="JPA146" s="597"/>
      <c r="JPB146" s="597"/>
      <c r="JPC146" s="597"/>
      <c r="JPD146" s="153"/>
      <c r="JPE146" s="597"/>
      <c r="JPF146" s="597"/>
      <c r="JPG146" s="597"/>
      <c r="JPH146" s="153"/>
      <c r="JPI146" s="597"/>
      <c r="JPJ146" s="597"/>
      <c r="JPK146" s="597"/>
      <c r="JPL146" s="153"/>
      <c r="JPM146" s="597"/>
      <c r="JPN146" s="597"/>
      <c r="JPO146" s="597"/>
      <c r="JPP146" s="153"/>
      <c r="JPQ146" s="597"/>
      <c r="JPR146" s="597"/>
      <c r="JPS146" s="597"/>
      <c r="JPT146" s="153"/>
      <c r="JPU146" s="597"/>
      <c r="JPV146" s="597"/>
      <c r="JPW146" s="597"/>
      <c r="JPX146" s="153"/>
      <c r="JPY146" s="597"/>
      <c r="JPZ146" s="597"/>
      <c r="JQA146" s="597"/>
      <c r="JQB146" s="153"/>
      <c r="JQC146" s="597"/>
      <c r="JQD146" s="597"/>
      <c r="JQE146" s="597"/>
      <c r="JQF146" s="153"/>
      <c r="JQG146" s="597"/>
      <c r="JQH146" s="597"/>
      <c r="JQI146" s="597"/>
      <c r="JQJ146" s="153"/>
      <c r="JQK146" s="597"/>
      <c r="JQL146" s="597"/>
      <c r="JQM146" s="597"/>
      <c r="JQN146" s="153"/>
      <c r="JQO146" s="597"/>
      <c r="JQP146" s="597"/>
      <c r="JQQ146" s="597"/>
      <c r="JQR146" s="153"/>
      <c r="JQS146" s="597"/>
      <c r="JQT146" s="597"/>
      <c r="JQU146" s="597"/>
      <c r="JQV146" s="153"/>
      <c r="JQW146" s="597"/>
      <c r="JQX146" s="597"/>
      <c r="JQY146" s="597"/>
      <c r="JQZ146" s="153"/>
      <c r="JRA146" s="597"/>
      <c r="JRB146" s="597"/>
      <c r="JRC146" s="597"/>
      <c r="JRD146" s="153"/>
      <c r="JRE146" s="597"/>
      <c r="JRF146" s="597"/>
      <c r="JRG146" s="597"/>
      <c r="JRH146" s="153"/>
      <c r="JRI146" s="597"/>
      <c r="JRJ146" s="597"/>
      <c r="JRK146" s="597"/>
      <c r="JRL146" s="153"/>
      <c r="JRM146" s="597"/>
      <c r="JRN146" s="597"/>
      <c r="JRO146" s="597"/>
      <c r="JRP146" s="153"/>
      <c r="JRQ146" s="597"/>
      <c r="JRR146" s="597"/>
      <c r="JRS146" s="597"/>
      <c r="JRT146" s="153"/>
      <c r="JRU146" s="597"/>
      <c r="JRV146" s="597"/>
      <c r="JRW146" s="597"/>
      <c r="JRX146" s="153"/>
      <c r="JRY146" s="597"/>
      <c r="JRZ146" s="597"/>
      <c r="JSA146" s="597"/>
      <c r="JSB146" s="153"/>
      <c r="JSC146" s="597"/>
      <c r="JSD146" s="597"/>
      <c r="JSE146" s="597"/>
      <c r="JSF146" s="153"/>
      <c r="JSG146" s="597"/>
      <c r="JSH146" s="597"/>
      <c r="JSI146" s="597"/>
      <c r="JSJ146" s="153"/>
      <c r="JSK146" s="597"/>
      <c r="JSL146" s="597"/>
      <c r="JSM146" s="597"/>
      <c r="JSN146" s="153"/>
      <c r="JSO146" s="597"/>
      <c r="JSP146" s="597"/>
      <c r="JSQ146" s="597"/>
      <c r="JSR146" s="153"/>
      <c r="JSS146" s="597"/>
      <c r="JST146" s="597"/>
      <c r="JSU146" s="597"/>
      <c r="JSV146" s="153"/>
      <c r="JSW146" s="597"/>
      <c r="JSX146" s="597"/>
      <c r="JSY146" s="597"/>
      <c r="JSZ146" s="153"/>
      <c r="JTA146" s="597"/>
      <c r="JTB146" s="597"/>
      <c r="JTC146" s="597"/>
      <c r="JTD146" s="153"/>
      <c r="JTE146" s="597"/>
      <c r="JTF146" s="597"/>
      <c r="JTG146" s="597"/>
      <c r="JTH146" s="153"/>
      <c r="JTI146" s="597"/>
      <c r="JTJ146" s="597"/>
      <c r="JTK146" s="597"/>
      <c r="JTL146" s="153"/>
      <c r="JTM146" s="597"/>
      <c r="JTN146" s="597"/>
      <c r="JTO146" s="597"/>
      <c r="JTP146" s="153"/>
      <c r="JTQ146" s="597"/>
      <c r="JTR146" s="597"/>
      <c r="JTS146" s="597"/>
      <c r="JTT146" s="153"/>
      <c r="JTU146" s="597"/>
      <c r="JTV146" s="597"/>
      <c r="JTW146" s="597"/>
      <c r="JTX146" s="153"/>
      <c r="JTY146" s="597"/>
      <c r="JTZ146" s="597"/>
      <c r="JUA146" s="597"/>
      <c r="JUB146" s="153"/>
      <c r="JUC146" s="597"/>
      <c r="JUD146" s="597"/>
      <c r="JUE146" s="597"/>
      <c r="JUF146" s="153"/>
      <c r="JUG146" s="597"/>
      <c r="JUH146" s="597"/>
      <c r="JUI146" s="597"/>
      <c r="JUJ146" s="153"/>
      <c r="JUK146" s="597"/>
      <c r="JUL146" s="597"/>
      <c r="JUM146" s="597"/>
      <c r="JUN146" s="153"/>
      <c r="JUO146" s="597"/>
      <c r="JUP146" s="597"/>
      <c r="JUQ146" s="597"/>
      <c r="JUR146" s="153"/>
      <c r="JUS146" s="597"/>
      <c r="JUT146" s="597"/>
      <c r="JUU146" s="597"/>
      <c r="JUV146" s="153"/>
      <c r="JUW146" s="597"/>
      <c r="JUX146" s="597"/>
      <c r="JUY146" s="597"/>
      <c r="JUZ146" s="153"/>
      <c r="JVA146" s="597"/>
      <c r="JVB146" s="597"/>
      <c r="JVC146" s="597"/>
      <c r="JVD146" s="153"/>
      <c r="JVE146" s="597"/>
      <c r="JVF146" s="597"/>
      <c r="JVG146" s="597"/>
      <c r="JVH146" s="153"/>
      <c r="JVI146" s="597"/>
      <c r="JVJ146" s="597"/>
      <c r="JVK146" s="597"/>
      <c r="JVL146" s="153"/>
      <c r="JVM146" s="597"/>
      <c r="JVN146" s="597"/>
      <c r="JVO146" s="597"/>
      <c r="JVP146" s="153"/>
      <c r="JVQ146" s="597"/>
      <c r="JVR146" s="597"/>
      <c r="JVS146" s="597"/>
      <c r="JVT146" s="153"/>
      <c r="JVU146" s="597"/>
      <c r="JVV146" s="597"/>
      <c r="JVW146" s="597"/>
      <c r="JVX146" s="153"/>
      <c r="JVY146" s="597"/>
      <c r="JVZ146" s="597"/>
      <c r="JWA146" s="597"/>
      <c r="JWB146" s="153"/>
      <c r="JWC146" s="597"/>
      <c r="JWD146" s="597"/>
      <c r="JWE146" s="597"/>
      <c r="JWF146" s="153"/>
      <c r="JWG146" s="597"/>
      <c r="JWH146" s="597"/>
      <c r="JWI146" s="597"/>
      <c r="JWJ146" s="153"/>
      <c r="JWK146" s="597"/>
      <c r="JWL146" s="597"/>
      <c r="JWM146" s="597"/>
      <c r="JWN146" s="153"/>
      <c r="JWO146" s="597"/>
      <c r="JWP146" s="597"/>
      <c r="JWQ146" s="597"/>
      <c r="JWR146" s="153"/>
      <c r="JWS146" s="597"/>
      <c r="JWT146" s="597"/>
      <c r="JWU146" s="597"/>
      <c r="JWV146" s="153"/>
      <c r="JWW146" s="597"/>
      <c r="JWX146" s="597"/>
      <c r="JWY146" s="597"/>
      <c r="JWZ146" s="153"/>
      <c r="JXA146" s="597"/>
      <c r="JXB146" s="597"/>
      <c r="JXC146" s="597"/>
      <c r="JXD146" s="153"/>
      <c r="JXE146" s="597"/>
      <c r="JXF146" s="597"/>
      <c r="JXG146" s="597"/>
      <c r="JXH146" s="153"/>
      <c r="JXI146" s="597"/>
      <c r="JXJ146" s="597"/>
      <c r="JXK146" s="597"/>
      <c r="JXL146" s="153"/>
      <c r="JXM146" s="597"/>
      <c r="JXN146" s="597"/>
      <c r="JXO146" s="597"/>
      <c r="JXP146" s="153"/>
      <c r="JXQ146" s="597"/>
      <c r="JXR146" s="597"/>
      <c r="JXS146" s="597"/>
      <c r="JXT146" s="153"/>
      <c r="JXU146" s="597"/>
      <c r="JXV146" s="597"/>
      <c r="JXW146" s="597"/>
      <c r="JXX146" s="153"/>
      <c r="JXY146" s="597"/>
      <c r="JXZ146" s="597"/>
      <c r="JYA146" s="597"/>
      <c r="JYB146" s="153"/>
      <c r="JYC146" s="597"/>
      <c r="JYD146" s="597"/>
      <c r="JYE146" s="597"/>
      <c r="JYF146" s="153"/>
      <c r="JYG146" s="597"/>
      <c r="JYH146" s="597"/>
      <c r="JYI146" s="597"/>
      <c r="JYJ146" s="153"/>
      <c r="JYK146" s="597"/>
      <c r="JYL146" s="597"/>
      <c r="JYM146" s="597"/>
      <c r="JYN146" s="153"/>
      <c r="JYO146" s="597"/>
      <c r="JYP146" s="597"/>
      <c r="JYQ146" s="597"/>
      <c r="JYR146" s="153"/>
      <c r="JYS146" s="597"/>
      <c r="JYT146" s="597"/>
      <c r="JYU146" s="597"/>
      <c r="JYV146" s="153"/>
      <c r="JYW146" s="597"/>
      <c r="JYX146" s="597"/>
      <c r="JYY146" s="597"/>
      <c r="JYZ146" s="153"/>
      <c r="JZA146" s="597"/>
      <c r="JZB146" s="597"/>
      <c r="JZC146" s="597"/>
      <c r="JZD146" s="153"/>
      <c r="JZE146" s="597"/>
      <c r="JZF146" s="597"/>
      <c r="JZG146" s="597"/>
      <c r="JZH146" s="153"/>
      <c r="JZI146" s="597"/>
      <c r="JZJ146" s="597"/>
      <c r="JZK146" s="597"/>
      <c r="JZL146" s="153"/>
      <c r="JZM146" s="597"/>
      <c r="JZN146" s="597"/>
      <c r="JZO146" s="597"/>
      <c r="JZP146" s="153"/>
      <c r="JZQ146" s="597"/>
      <c r="JZR146" s="597"/>
      <c r="JZS146" s="597"/>
      <c r="JZT146" s="153"/>
      <c r="JZU146" s="597"/>
      <c r="JZV146" s="597"/>
      <c r="JZW146" s="597"/>
      <c r="JZX146" s="153"/>
      <c r="JZY146" s="597"/>
      <c r="JZZ146" s="597"/>
      <c r="KAA146" s="597"/>
      <c r="KAB146" s="153"/>
      <c r="KAC146" s="597"/>
      <c r="KAD146" s="597"/>
      <c r="KAE146" s="597"/>
      <c r="KAF146" s="153"/>
      <c r="KAG146" s="597"/>
      <c r="KAH146" s="597"/>
      <c r="KAI146" s="597"/>
      <c r="KAJ146" s="153"/>
      <c r="KAK146" s="597"/>
      <c r="KAL146" s="597"/>
      <c r="KAM146" s="597"/>
      <c r="KAN146" s="153"/>
      <c r="KAO146" s="597"/>
      <c r="KAP146" s="597"/>
      <c r="KAQ146" s="597"/>
      <c r="KAR146" s="153"/>
      <c r="KAS146" s="597"/>
      <c r="KAT146" s="597"/>
      <c r="KAU146" s="597"/>
      <c r="KAV146" s="153"/>
      <c r="KAW146" s="597"/>
      <c r="KAX146" s="597"/>
      <c r="KAY146" s="597"/>
      <c r="KAZ146" s="153"/>
      <c r="KBA146" s="597"/>
      <c r="KBB146" s="597"/>
      <c r="KBC146" s="597"/>
      <c r="KBD146" s="153"/>
      <c r="KBE146" s="597"/>
      <c r="KBF146" s="597"/>
      <c r="KBG146" s="597"/>
      <c r="KBH146" s="153"/>
      <c r="KBI146" s="597"/>
      <c r="KBJ146" s="597"/>
      <c r="KBK146" s="597"/>
      <c r="KBL146" s="153"/>
      <c r="KBM146" s="597"/>
      <c r="KBN146" s="597"/>
      <c r="KBO146" s="597"/>
      <c r="KBP146" s="153"/>
      <c r="KBQ146" s="597"/>
      <c r="KBR146" s="597"/>
      <c r="KBS146" s="597"/>
      <c r="KBT146" s="153"/>
      <c r="KBU146" s="597"/>
      <c r="KBV146" s="597"/>
      <c r="KBW146" s="597"/>
      <c r="KBX146" s="153"/>
      <c r="KBY146" s="597"/>
      <c r="KBZ146" s="597"/>
      <c r="KCA146" s="597"/>
      <c r="KCB146" s="153"/>
      <c r="KCC146" s="597"/>
      <c r="KCD146" s="597"/>
      <c r="KCE146" s="597"/>
      <c r="KCF146" s="153"/>
      <c r="KCG146" s="597"/>
      <c r="KCH146" s="597"/>
      <c r="KCI146" s="597"/>
      <c r="KCJ146" s="153"/>
      <c r="KCK146" s="597"/>
      <c r="KCL146" s="597"/>
      <c r="KCM146" s="597"/>
      <c r="KCN146" s="153"/>
      <c r="KCO146" s="597"/>
      <c r="KCP146" s="597"/>
      <c r="KCQ146" s="597"/>
      <c r="KCR146" s="153"/>
      <c r="KCS146" s="597"/>
      <c r="KCT146" s="597"/>
      <c r="KCU146" s="597"/>
      <c r="KCV146" s="153"/>
      <c r="KCW146" s="597"/>
      <c r="KCX146" s="597"/>
      <c r="KCY146" s="597"/>
      <c r="KCZ146" s="153"/>
      <c r="KDA146" s="597"/>
      <c r="KDB146" s="597"/>
      <c r="KDC146" s="597"/>
      <c r="KDD146" s="153"/>
      <c r="KDE146" s="597"/>
      <c r="KDF146" s="597"/>
      <c r="KDG146" s="597"/>
      <c r="KDH146" s="153"/>
      <c r="KDI146" s="597"/>
      <c r="KDJ146" s="597"/>
      <c r="KDK146" s="597"/>
      <c r="KDL146" s="153"/>
      <c r="KDM146" s="597"/>
      <c r="KDN146" s="597"/>
      <c r="KDO146" s="597"/>
      <c r="KDP146" s="153"/>
      <c r="KDQ146" s="597"/>
      <c r="KDR146" s="597"/>
      <c r="KDS146" s="597"/>
      <c r="KDT146" s="153"/>
      <c r="KDU146" s="597"/>
      <c r="KDV146" s="597"/>
      <c r="KDW146" s="597"/>
      <c r="KDX146" s="153"/>
      <c r="KDY146" s="597"/>
      <c r="KDZ146" s="597"/>
      <c r="KEA146" s="597"/>
      <c r="KEB146" s="153"/>
      <c r="KEC146" s="597"/>
      <c r="KED146" s="597"/>
      <c r="KEE146" s="597"/>
      <c r="KEF146" s="153"/>
      <c r="KEG146" s="597"/>
      <c r="KEH146" s="597"/>
      <c r="KEI146" s="597"/>
      <c r="KEJ146" s="153"/>
      <c r="KEK146" s="597"/>
      <c r="KEL146" s="597"/>
      <c r="KEM146" s="597"/>
      <c r="KEN146" s="153"/>
      <c r="KEO146" s="597"/>
      <c r="KEP146" s="597"/>
      <c r="KEQ146" s="597"/>
      <c r="KER146" s="153"/>
      <c r="KES146" s="597"/>
      <c r="KET146" s="597"/>
      <c r="KEU146" s="597"/>
      <c r="KEV146" s="153"/>
      <c r="KEW146" s="597"/>
      <c r="KEX146" s="597"/>
      <c r="KEY146" s="597"/>
      <c r="KEZ146" s="153"/>
      <c r="KFA146" s="597"/>
      <c r="KFB146" s="597"/>
      <c r="KFC146" s="597"/>
      <c r="KFD146" s="153"/>
      <c r="KFE146" s="597"/>
      <c r="KFF146" s="597"/>
      <c r="KFG146" s="597"/>
      <c r="KFH146" s="153"/>
      <c r="KFI146" s="597"/>
      <c r="KFJ146" s="597"/>
      <c r="KFK146" s="597"/>
      <c r="KFL146" s="153"/>
      <c r="KFM146" s="597"/>
      <c r="KFN146" s="597"/>
      <c r="KFO146" s="597"/>
      <c r="KFP146" s="153"/>
      <c r="KFQ146" s="597"/>
      <c r="KFR146" s="597"/>
      <c r="KFS146" s="597"/>
      <c r="KFT146" s="153"/>
      <c r="KFU146" s="597"/>
      <c r="KFV146" s="597"/>
      <c r="KFW146" s="597"/>
      <c r="KFX146" s="153"/>
      <c r="KFY146" s="597"/>
      <c r="KFZ146" s="597"/>
      <c r="KGA146" s="597"/>
      <c r="KGB146" s="153"/>
      <c r="KGC146" s="597"/>
      <c r="KGD146" s="597"/>
      <c r="KGE146" s="597"/>
      <c r="KGF146" s="153"/>
      <c r="KGG146" s="597"/>
      <c r="KGH146" s="597"/>
      <c r="KGI146" s="597"/>
      <c r="KGJ146" s="153"/>
      <c r="KGK146" s="597"/>
      <c r="KGL146" s="597"/>
      <c r="KGM146" s="597"/>
      <c r="KGN146" s="153"/>
      <c r="KGO146" s="597"/>
      <c r="KGP146" s="597"/>
      <c r="KGQ146" s="597"/>
      <c r="KGR146" s="153"/>
      <c r="KGS146" s="597"/>
      <c r="KGT146" s="597"/>
      <c r="KGU146" s="597"/>
      <c r="KGV146" s="153"/>
      <c r="KGW146" s="597"/>
      <c r="KGX146" s="597"/>
      <c r="KGY146" s="597"/>
      <c r="KGZ146" s="153"/>
      <c r="KHA146" s="597"/>
      <c r="KHB146" s="597"/>
      <c r="KHC146" s="597"/>
      <c r="KHD146" s="153"/>
      <c r="KHE146" s="597"/>
      <c r="KHF146" s="597"/>
      <c r="KHG146" s="597"/>
      <c r="KHH146" s="153"/>
      <c r="KHI146" s="597"/>
      <c r="KHJ146" s="597"/>
      <c r="KHK146" s="597"/>
      <c r="KHL146" s="153"/>
      <c r="KHM146" s="597"/>
      <c r="KHN146" s="597"/>
      <c r="KHO146" s="597"/>
      <c r="KHP146" s="153"/>
      <c r="KHQ146" s="597"/>
      <c r="KHR146" s="597"/>
      <c r="KHS146" s="597"/>
      <c r="KHT146" s="153"/>
      <c r="KHU146" s="597"/>
      <c r="KHV146" s="597"/>
      <c r="KHW146" s="597"/>
      <c r="KHX146" s="153"/>
      <c r="KHY146" s="597"/>
      <c r="KHZ146" s="597"/>
      <c r="KIA146" s="597"/>
      <c r="KIB146" s="153"/>
      <c r="KIC146" s="597"/>
      <c r="KID146" s="597"/>
      <c r="KIE146" s="597"/>
      <c r="KIF146" s="153"/>
      <c r="KIG146" s="597"/>
      <c r="KIH146" s="597"/>
      <c r="KII146" s="597"/>
      <c r="KIJ146" s="153"/>
      <c r="KIK146" s="597"/>
      <c r="KIL146" s="597"/>
      <c r="KIM146" s="597"/>
      <c r="KIN146" s="153"/>
      <c r="KIO146" s="597"/>
      <c r="KIP146" s="597"/>
      <c r="KIQ146" s="597"/>
      <c r="KIR146" s="153"/>
      <c r="KIS146" s="597"/>
      <c r="KIT146" s="597"/>
      <c r="KIU146" s="597"/>
      <c r="KIV146" s="153"/>
      <c r="KIW146" s="597"/>
      <c r="KIX146" s="597"/>
      <c r="KIY146" s="597"/>
      <c r="KIZ146" s="153"/>
      <c r="KJA146" s="597"/>
      <c r="KJB146" s="597"/>
      <c r="KJC146" s="597"/>
      <c r="KJD146" s="153"/>
      <c r="KJE146" s="597"/>
      <c r="KJF146" s="597"/>
      <c r="KJG146" s="597"/>
      <c r="KJH146" s="153"/>
      <c r="KJI146" s="597"/>
      <c r="KJJ146" s="597"/>
      <c r="KJK146" s="597"/>
      <c r="KJL146" s="153"/>
      <c r="KJM146" s="597"/>
      <c r="KJN146" s="597"/>
      <c r="KJO146" s="597"/>
      <c r="KJP146" s="153"/>
      <c r="KJQ146" s="597"/>
      <c r="KJR146" s="597"/>
      <c r="KJS146" s="597"/>
      <c r="KJT146" s="153"/>
      <c r="KJU146" s="597"/>
      <c r="KJV146" s="597"/>
      <c r="KJW146" s="597"/>
      <c r="KJX146" s="153"/>
      <c r="KJY146" s="597"/>
      <c r="KJZ146" s="597"/>
      <c r="KKA146" s="597"/>
      <c r="KKB146" s="153"/>
      <c r="KKC146" s="597"/>
      <c r="KKD146" s="597"/>
      <c r="KKE146" s="597"/>
      <c r="KKF146" s="153"/>
      <c r="KKG146" s="597"/>
      <c r="KKH146" s="597"/>
      <c r="KKI146" s="597"/>
      <c r="KKJ146" s="153"/>
      <c r="KKK146" s="597"/>
      <c r="KKL146" s="597"/>
      <c r="KKM146" s="597"/>
      <c r="KKN146" s="153"/>
      <c r="KKO146" s="597"/>
      <c r="KKP146" s="597"/>
      <c r="KKQ146" s="597"/>
      <c r="KKR146" s="153"/>
      <c r="KKS146" s="597"/>
      <c r="KKT146" s="597"/>
      <c r="KKU146" s="597"/>
      <c r="KKV146" s="153"/>
      <c r="KKW146" s="597"/>
      <c r="KKX146" s="597"/>
      <c r="KKY146" s="597"/>
      <c r="KKZ146" s="153"/>
      <c r="KLA146" s="597"/>
      <c r="KLB146" s="597"/>
      <c r="KLC146" s="597"/>
      <c r="KLD146" s="153"/>
      <c r="KLE146" s="597"/>
      <c r="KLF146" s="597"/>
      <c r="KLG146" s="597"/>
      <c r="KLH146" s="153"/>
      <c r="KLI146" s="597"/>
      <c r="KLJ146" s="597"/>
      <c r="KLK146" s="597"/>
      <c r="KLL146" s="153"/>
      <c r="KLM146" s="597"/>
      <c r="KLN146" s="597"/>
      <c r="KLO146" s="597"/>
      <c r="KLP146" s="153"/>
      <c r="KLQ146" s="597"/>
      <c r="KLR146" s="597"/>
      <c r="KLS146" s="597"/>
      <c r="KLT146" s="153"/>
      <c r="KLU146" s="597"/>
      <c r="KLV146" s="597"/>
      <c r="KLW146" s="597"/>
      <c r="KLX146" s="153"/>
      <c r="KLY146" s="597"/>
      <c r="KLZ146" s="597"/>
      <c r="KMA146" s="597"/>
      <c r="KMB146" s="153"/>
      <c r="KMC146" s="597"/>
      <c r="KMD146" s="597"/>
      <c r="KME146" s="597"/>
      <c r="KMF146" s="153"/>
      <c r="KMG146" s="597"/>
      <c r="KMH146" s="597"/>
      <c r="KMI146" s="597"/>
      <c r="KMJ146" s="153"/>
      <c r="KMK146" s="597"/>
      <c r="KML146" s="597"/>
      <c r="KMM146" s="597"/>
      <c r="KMN146" s="153"/>
      <c r="KMO146" s="597"/>
      <c r="KMP146" s="597"/>
      <c r="KMQ146" s="597"/>
      <c r="KMR146" s="153"/>
      <c r="KMS146" s="597"/>
      <c r="KMT146" s="597"/>
      <c r="KMU146" s="597"/>
      <c r="KMV146" s="153"/>
      <c r="KMW146" s="597"/>
      <c r="KMX146" s="597"/>
      <c r="KMY146" s="597"/>
      <c r="KMZ146" s="153"/>
      <c r="KNA146" s="597"/>
      <c r="KNB146" s="597"/>
      <c r="KNC146" s="597"/>
      <c r="KND146" s="153"/>
      <c r="KNE146" s="597"/>
      <c r="KNF146" s="597"/>
      <c r="KNG146" s="597"/>
      <c r="KNH146" s="153"/>
      <c r="KNI146" s="597"/>
      <c r="KNJ146" s="597"/>
      <c r="KNK146" s="597"/>
      <c r="KNL146" s="153"/>
      <c r="KNM146" s="597"/>
      <c r="KNN146" s="597"/>
      <c r="KNO146" s="597"/>
      <c r="KNP146" s="153"/>
      <c r="KNQ146" s="597"/>
      <c r="KNR146" s="597"/>
      <c r="KNS146" s="597"/>
      <c r="KNT146" s="153"/>
      <c r="KNU146" s="597"/>
      <c r="KNV146" s="597"/>
      <c r="KNW146" s="597"/>
      <c r="KNX146" s="153"/>
      <c r="KNY146" s="597"/>
      <c r="KNZ146" s="597"/>
      <c r="KOA146" s="597"/>
      <c r="KOB146" s="153"/>
      <c r="KOC146" s="597"/>
      <c r="KOD146" s="597"/>
      <c r="KOE146" s="597"/>
      <c r="KOF146" s="153"/>
      <c r="KOG146" s="597"/>
      <c r="KOH146" s="597"/>
      <c r="KOI146" s="597"/>
      <c r="KOJ146" s="153"/>
      <c r="KOK146" s="597"/>
      <c r="KOL146" s="597"/>
      <c r="KOM146" s="597"/>
      <c r="KON146" s="153"/>
      <c r="KOO146" s="597"/>
      <c r="KOP146" s="597"/>
      <c r="KOQ146" s="597"/>
      <c r="KOR146" s="153"/>
      <c r="KOS146" s="597"/>
      <c r="KOT146" s="597"/>
      <c r="KOU146" s="597"/>
      <c r="KOV146" s="153"/>
      <c r="KOW146" s="597"/>
      <c r="KOX146" s="597"/>
      <c r="KOY146" s="597"/>
      <c r="KOZ146" s="153"/>
      <c r="KPA146" s="597"/>
      <c r="KPB146" s="597"/>
      <c r="KPC146" s="597"/>
      <c r="KPD146" s="153"/>
      <c r="KPE146" s="597"/>
      <c r="KPF146" s="597"/>
      <c r="KPG146" s="597"/>
      <c r="KPH146" s="153"/>
      <c r="KPI146" s="597"/>
      <c r="KPJ146" s="597"/>
      <c r="KPK146" s="597"/>
      <c r="KPL146" s="153"/>
      <c r="KPM146" s="597"/>
      <c r="KPN146" s="597"/>
      <c r="KPO146" s="597"/>
      <c r="KPP146" s="153"/>
      <c r="KPQ146" s="597"/>
      <c r="KPR146" s="597"/>
      <c r="KPS146" s="597"/>
      <c r="KPT146" s="153"/>
      <c r="KPU146" s="597"/>
      <c r="KPV146" s="597"/>
      <c r="KPW146" s="597"/>
      <c r="KPX146" s="153"/>
      <c r="KPY146" s="597"/>
      <c r="KPZ146" s="597"/>
      <c r="KQA146" s="597"/>
      <c r="KQB146" s="153"/>
      <c r="KQC146" s="597"/>
      <c r="KQD146" s="597"/>
      <c r="KQE146" s="597"/>
      <c r="KQF146" s="153"/>
      <c r="KQG146" s="597"/>
      <c r="KQH146" s="597"/>
      <c r="KQI146" s="597"/>
      <c r="KQJ146" s="153"/>
      <c r="KQK146" s="597"/>
      <c r="KQL146" s="597"/>
      <c r="KQM146" s="597"/>
      <c r="KQN146" s="153"/>
      <c r="KQO146" s="597"/>
      <c r="KQP146" s="597"/>
      <c r="KQQ146" s="597"/>
      <c r="KQR146" s="153"/>
      <c r="KQS146" s="597"/>
      <c r="KQT146" s="597"/>
      <c r="KQU146" s="597"/>
      <c r="KQV146" s="153"/>
      <c r="KQW146" s="597"/>
      <c r="KQX146" s="597"/>
      <c r="KQY146" s="597"/>
      <c r="KQZ146" s="153"/>
      <c r="KRA146" s="597"/>
      <c r="KRB146" s="597"/>
      <c r="KRC146" s="597"/>
      <c r="KRD146" s="153"/>
      <c r="KRE146" s="597"/>
      <c r="KRF146" s="597"/>
      <c r="KRG146" s="597"/>
      <c r="KRH146" s="153"/>
      <c r="KRI146" s="597"/>
      <c r="KRJ146" s="597"/>
      <c r="KRK146" s="597"/>
      <c r="KRL146" s="153"/>
      <c r="KRM146" s="597"/>
      <c r="KRN146" s="597"/>
      <c r="KRO146" s="597"/>
      <c r="KRP146" s="153"/>
      <c r="KRQ146" s="597"/>
      <c r="KRR146" s="597"/>
      <c r="KRS146" s="597"/>
      <c r="KRT146" s="153"/>
      <c r="KRU146" s="597"/>
      <c r="KRV146" s="597"/>
      <c r="KRW146" s="597"/>
      <c r="KRX146" s="153"/>
      <c r="KRY146" s="597"/>
      <c r="KRZ146" s="597"/>
      <c r="KSA146" s="597"/>
      <c r="KSB146" s="153"/>
      <c r="KSC146" s="597"/>
      <c r="KSD146" s="597"/>
      <c r="KSE146" s="597"/>
      <c r="KSF146" s="153"/>
      <c r="KSG146" s="597"/>
      <c r="KSH146" s="597"/>
      <c r="KSI146" s="597"/>
      <c r="KSJ146" s="153"/>
      <c r="KSK146" s="597"/>
      <c r="KSL146" s="597"/>
      <c r="KSM146" s="597"/>
      <c r="KSN146" s="153"/>
      <c r="KSO146" s="597"/>
      <c r="KSP146" s="597"/>
      <c r="KSQ146" s="597"/>
      <c r="KSR146" s="153"/>
      <c r="KSS146" s="597"/>
      <c r="KST146" s="597"/>
      <c r="KSU146" s="597"/>
      <c r="KSV146" s="153"/>
      <c r="KSW146" s="597"/>
      <c r="KSX146" s="597"/>
      <c r="KSY146" s="597"/>
      <c r="KSZ146" s="153"/>
      <c r="KTA146" s="597"/>
      <c r="KTB146" s="597"/>
      <c r="KTC146" s="597"/>
      <c r="KTD146" s="153"/>
      <c r="KTE146" s="597"/>
      <c r="KTF146" s="597"/>
      <c r="KTG146" s="597"/>
      <c r="KTH146" s="153"/>
      <c r="KTI146" s="597"/>
      <c r="KTJ146" s="597"/>
      <c r="KTK146" s="597"/>
      <c r="KTL146" s="153"/>
      <c r="KTM146" s="597"/>
      <c r="KTN146" s="597"/>
      <c r="KTO146" s="597"/>
      <c r="KTP146" s="153"/>
      <c r="KTQ146" s="597"/>
      <c r="KTR146" s="597"/>
      <c r="KTS146" s="597"/>
      <c r="KTT146" s="153"/>
      <c r="KTU146" s="597"/>
      <c r="KTV146" s="597"/>
      <c r="KTW146" s="597"/>
      <c r="KTX146" s="153"/>
      <c r="KTY146" s="597"/>
      <c r="KTZ146" s="597"/>
      <c r="KUA146" s="597"/>
      <c r="KUB146" s="153"/>
      <c r="KUC146" s="597"/>
      <c r="KUD146" s="597"/>
      <c r="KUE146" s="597"/>
      <c r="KUF146" s="153"/>
      <c r="KUG146" s="597"/>
      <c r="KUH146" s="597"/>
      <c r="KUI146" s="597"/>
      <c r="KUJ146" s="153"/>
      <c r="KUK146" s="597"/>
      <c r="KUL146" s="597"/>
      <c r="KUM146" s="597"/>
      <c r="KUN146" s="153"/>
      <c r="KUO146" s="597"/>
      <c r="KUP146" s="597"/>
      <c r="KUQ146" s="597"/>
      <c r="KUR146" s="153"/>
      <c r="KUS146" s="597"/>
      <c r="KUT146" s="597"/>
      <c r="KUU146" s="597"/>
      <c r="KUV146" s="153"/>
      <c r="KUW146" s="597"/>
      <c r="KUX146" s="597"/>
      <c r="KUY146" s="597"/>
      <c r="KUZ146" s="153"/>
      <c r="KVA146" s="597"/>
      <c r="KVB146" s="597"/>
      <c r="KVC146" s="597"/>
      <c r="KVD146" s="153"/>
      <c r="KVE146" s="597"/>
      <c r="KVF146" s="597"/>
      <c r="KVG146" s="597"/>
      <c r="KVH146" s="153"/>
      <c r="KVI146" s="597"/>
      <c r="KVJ146" s="597"/>
      <c r="KVK146" s="597"/>
      <c r="KVL146" s="153"/>
      <c r="KVM146" s="597"/>
      <c r="KVN146" s="597"/>
      <c r="KVO146" s="597"/>
      <c r="KVP146" s="153"/>
      <c r="KVQ146" s="597"/>
      <c r="KVR146" s="597"/>
      <c r="KVS146" s="597"/>
      <c r="KVT146" s="153"/>
      <c r="KVU146" s="597"/>
      <c r="KVV146" s="597"/>
      <c r="KVW146" s="597"/>
      <c r="KVX146" s="153"/>
      <c r="KVY146" s="597"/>
      <c r="KVZ146" s="597"/>
      <c r="KWA146" s="597"/>
      <c r="KWB146" s="153"/>
      <c r="KWC146" s="597"/>
      <c r="KWD146" s="597"/>
      <c r="KWE146" s="597"/>
      <c r="KWF146" s="153"/>
      <c r="KWG146" s="597"/>
      <c r="KWH146" s="597"/>
      <c r="KWI146" s="597"/>
      <c r="KWJ146" s="153"/>
      <c r="KWK146" s="597"/>
      <c r="KWL146" s="597"/>
      <c r="KWM146" s="597"/>
      <c r="KWN146" s="153"/>
      <c r="KWO146" s="597"/>
      <c r="KWP146" s="597"/>
      <c r="KWQ146" s="597"/>
      <c r="KWR146" s="153"/>
      <c r="KWS146" s="597"/>
      <c r="KWT146" s="597"/>
      <c r="KWU146" s="597"/>
      <c r="KWV146" s="153"/>
      <c r="KWW146" s="597"/>
      <c r="KWX146" s="597"/>
      <c r="KWY146" s="597"/>
      <c r="KWZ146" s="153"/>
      <c r="KXA146" s="597"/>
      <c r="KXB146" s="597"/>
      <c r="KXC146" s="597"/>
      <c r="KXD146" s="153"/>
      <c r="KXE146" s="597"/>
      <c r="KXF146" s="597"/>
      <c r="KXG146" s="597"/>
      <c r="KXH146" s="153"/>
      <c r="KXI146" s="597"/>
      <c r="KXJ146" s="597"/>
      <c r="KXK146" s="597"/>
      <c r="KXL146" s="153"/>
      <c r="KXM146" s="597"/>
      <c r="KXN146" s="597"/>
      <c r="KXO146" s="597"/>
      <c r="KXP146" s="153"/>
      <c r="KXQ146" s="597"/>
      <c r="KXR146" s="597"/>
      <c r="KXS146" s="597"/>
      <c r="KXT146" s="153"/>
      <c r="KXU146" s="597"/>
      <c r="KXV146" s="597"/>
      <c r="KXW146" s="597"/>
      <c r="KXX146" s="153"/>
      <c r="KXY146" s="597"/>
      <c r="KXZ146" s="597"/>
      <c r="KYA146" s="597"/>
      <c r="KYB146" s="153"/>
      <c r="KYC146" s="597"/>
      <c r="KYD146" s="597"/>
      <c r="KYE146" s="597"/>
      <c r="KYF146" s="153"/>
      <c r="KYG146" s="597"/>
      <c r="KYH146" s="597"/>
      <c r="KYI146" s="597"/>
      <c r="KYJ146" s="153"/>
      <c r="KYK146" s="597"/>
      <c r="KYL146" s="597"/>
      <c r="KYM146" s="597"/>
      <c r="KYN146" s="153"/>
      <c r="KYO146" s="597"/>
      <c r="KYP146" s="597"/>
      <c r="KYQ146" s="597"/>
      <c r="KYR146" s="153"/>
      <c r="KYS146" s="597"/>
      <c r="KYT146" s="597"/>
      <c r="KYU146" s="597"/>
      <c r="KYV146" s="153"/>
      <c r="KYW146" s="597"/>
      <c r="KYX146" s="597"/>
      <c r="KYY146" s="597"/>
      <c r="KYZ146" s="153"/>
      <c r="KZA146" s="597"/>
      <c r="KZB146" s="597"/>
      <c r="KZC146" s="597"/>
      <c r="KZD146" s="153"/>
      <c r="KZE146" s="597"/>
      <c r="KZF146" s="597"/>
      <c r="KZG146" s="597"/>
      <c r="KZH146" s="153"/>
      <c r="KZI146" s="597"/>
      <c r="KZJ146" s="597"/>
      <c r="KZK146" s="597"/>
      <c r="KZL146" s="153"/>
      <c r="KZM146" s="597"/>
      <c r="KZN146" s="597"/>
      <c r="KZO146" s="597"/>
      <c r="KZP146" s="153"/>
      <c r="KZQ146" s="597"/>
      <c r="KZR146" s="597"/>
      <c r="KZS146" s="597"/>
      <c r="KZT146" s="153"/>
      <c r="KZU146" s="597"/>
      <c r="KZV146" s="597"/>
      <c r="KZW146" s="597"/>
      <c r="KZX146" s="153"/>
      <c r="KZY146" s="597"/>
      <c r="KZZ146" s="597"/>
      <c r="LAA146" s="597"/>
      <c r="LAB146" s="153"/>
      <c r="LAC146" s="597"/>
      <c r="LAD146" s="597"/>
      <c r="LAE146" s="597"/>
      <c r="LAF146" s="153"/>
      <c r="LAG146" s="597"/>
      <c r="LAH146" s="597"/>
      <c r="LAI146" s="597"/>
      <c r="LAJ146" s="153"/>
      <c r="LAK146" s="597"/>
      <c r="LAL146" s="597"/>
      <c r="LAM146" s="597"/>
      <c r="LAN146" s="153"/>
      <c r="LAO146" s="597"/>
      <c r="LAP146" s="597"/>
      <c r="LAQ146" s="597"/>
      <c r="LAR146" s="153"/>
      <c r="LAS146" s="597"/>
      <c r="LAT146" s="597"/>
      <c r="LAU146" s="597"/>
      <c r="LAV146" s="153"/>
      <c r="LAW146" s="597"/>
      <c r="LAX146" s="597"/>
      <c r="LAY146" s="597"/>
      <c r="LAZ146" s="153"/>
      <c r="LBA146" s="597"/>
      <c r="LBB146" s="597"/>
      <c r="LBC146" s="597"/>
      <c r="LBD146" s="153"/>
      <c r="LBE146" s="597"/>
      <c r="LBF146" s="597"/>
      <c r="LBG146" s="597"/>
      <c r="LBH146" s="153"/>
      <c r="LBI146" s="597"/>
      <c r="LBJ146" s="597"/>
      <c r="LBK146" s="597"/>
      <c r="LBL146" s="153"/>
      <c r="LBM146" s="597"/>
      <c r="LBN146" s="597"/>
      <c r="LBO146" s="597"/>
      <c r="LBP146" s="153"/>
      <c r="LBQ146" s="597"/>
      <c r="LBR146" s="597"/>
      <c r="LBS146" s="597"/>
      <c r="LBT146" s="153"/>
      <c r="LBU146" s="597"/>
      <c r="LBV146" s="597"/>
      <c r="LBW146" s="597"/>
      <c r="LBX146" s="153"/>
      <c r="LBY146" s="597"/>
      <c r="LBZ146" s="597"/>
      <c r="LCA146" s="597"/>
      <c r="LCB146" s="153"/>
      <c r="LCC146" s="597"/>
      <c r="LCD146" s="597"/>
      <c r="LCE146" s="597"/>
      <c r="LCF146" s="153"/>
      <c r="LCG146" s="597"/>
      <c r="LCH146" s="597"/>
      <c r="LCI146" s="597"/>
      <c r="LCJ146" s="153"/>
      <c r="LCK146" s="597"/>
      <c r="LCL146" s="597"/>
      <c r="LCM146" s="597"/>
      <c r="LCN146" s="153"/>
      <c r="LCO146" s="597"/>
      <c r="LCP146" s="597"/>
      <c r="LCQ146" s="597"/>
      <c r="LCR146" s="153"/>
      <c r="LCS146" s="597"/>
      <c r="LCT146" s="597"/>
      <c r="LCU146" s="597"/>
      <c r="LCV146" s="153"/>
      <c r="LCW146" s="597"/>
      <c r="LCX146" s="597"/>
      <c r="LCY146" s="597"/>
      <c r="LCZ146" s="153"/>
      <c r="LDA146" s="597"/>
      <c r="LDB146" s="597"/>
      <c r="LDC146" s="597"/>
      <c r="LDD146" s="153"/>
      <c r="LDE146" s="597"/>
      <c r="LDF146" s="597"/>
      <c r="LDG146" s="597"/>
      <c r="LDH146" s="153"/>
      <c r="LDI146" s="597"/>
      <c r="LDJ146" s="597"/>
      <c r="LDK146" s="597"/>
      <c r="LDL146" s="153"/>
      <c r="LDM146" s="597"/>
      <c r="LDN146" s="597"/>
      <c r="LDO146" s="597"/>
      <c r="LDP146" s="153"/>
      <c r="LDQ146" s="597"/>
      <c r="LDR146" s="597"/>
      <c r="LDS146" s="597"/>
      <c r="LDT146" s="153"/>
      <c r="LDU146" s="597"/>
      <c r="LDV146" s="597"/>
      <c r="LDW146" s="597"/>
      <c r="LDX146" s="153"/>
      <c r="LDY146" s="597"/>
      <c r="LDZ146" s="597"/>
      <c r="LEA146" s="597"/>
      <c r="LEB146" s="153"/>
      <c r="LEC146" s="597"/>
      <c r="LED146" s="597"/>
      <c r="LEE146" s="597"/>
      <c r="LEF146" s="153"/>
      <c r="LEG146" s="597"/>
      <c r="LEH146" s="597"/>
      <c r="LEI146" s="597"/>
      <c r="LEJ146" s="153"/>
      <c r="LEK146" s="597"/>
      <c r="LEL146" s="597"/>
      <c r="LEM146" s="597"/>
      <c r="LEN146" s="153"/>
      <c r="LEO146" s="597"/>
      <c r="LEP146" s="597"/>
      <c r="LEQ146" s="597"/>
      <c r="LER146" s="153"/>
      <c r="LES146" s="597"/>
      <c r="LET146" s="597"/>
      <c r="LEU146" s="597"/>
      <c r="LEV146" s="153"/>
      <c r="LEW146" s="597"/>
      <c r="LEX146" s="597"/>
      <c r="LEY146" s="597"/>
      <c r="LEZ146" s="153"/>
      <c r="LFA146" s="597"/>
      <c r="LFB146" s="597"/>
      <c r="LFC146" s="597"/>
      <c r="LFD146" s="153"/>
      <c r="LFE146" s="597"/>
      <c r="LFF146" s="597"/>
      <c r="LFG146" s="597"/>
      <c r="LFH146" s="153"/>
      <c r="LFI146" s="597"/>
      <c r="LFJ146" s="597"/>
      <c r="LFK146" s="597"/>
      <c r="LFL146" s="153"/>
      <c r="LFM146" s="597"/>
      <c r="LFN146" s="597"/>
      <c r="LFO146" s="597"/>
      <c r="LFP146" s="153"/>
      <c r="LFQ146" s="597"/>
      <c r="LFR146" s="597"/>
      <c r="LFS146" s="597"/>
      <c r="LFT146" s="153"/>
      <c r="LFU146" s="597"/>
      <c r="LFV146" s="597"/>
      <c r="LFW146" s="597"/>
      <c r="LFX146" s="153"/>
      <c r="LFY146" s="597"/>
      <c r="LFZ146" s="597"/>
      <c r="LGA146" s="597"/>
      <c r="LGB146" s="153"/>
      <c r="LGC146" s="597"/>
      <c r="LGD146" s="597"/>
      <c r="LGE146" s="597"/>
      <c r="LGF146" s="153"/>
      <c r="LGG146" s="597"/>
      <c r="LGH146" s="597"/>
      <c r="LGI146" s="597"/>
      <c r="LGJ146" s="153"/>
      <c r="LGK146" s="597"/>
      <c r="LGL146" s="597"/>
      <c r="LGM146" s="597"/>
      <c r="LGN146" s="153"/>
      <c r="LGO146" s="597"/>
      <c r="LGP146" s="597"/>
      <c r="LGQ146" s="597"/>
      <c r="LGR146" s="153"/>
      <c r="LGS146" s="597"/>
      <c r="LGT146" s="597"/>
      <c r="LGU146" s="597"/>
      <c r="LGV146" s="153"/>
      <c r="LGW146" s="597"/>
      <c r="LGX146" s="597"/>
      <c r="LGY146" s="597"/>
      <c r="LGZ146" s="153"/>
      <c r="LHA146" s="597"/>
      <c r="LHB146" s="597"/>
      <c r="LHC146" s="597"/>
      <c r="LHD146" s="153"/>
      <c r="LHE146" s="597"/>
      <c r="LHF146" s="597"/>
      <c r="LHG146" s="597"/>
      <c r="LHH146" s="153"/>
      <c r="LHI146" s="597"/>
      <c r="LHJ146" s="597"/>
      <c r="LHK146" s="597"/>
      <c r="LHL146" s="153"/>
      <c r="LHM146" s="597"/>
      <c r="LHN146" s="597"/>
      <c r="LHO146" s="597"/>
      <c r="LHP146" s="153"/>
      <c r="LHQ146" s="597"/>
      <c r="LHR146" s="597"/>
      <c r="LHS146" s="597"/>
      <c r="LHT146" s="153"/>
      <c r="LHU146" s="597"/>
      <c r="LHV146" s="597"/>
      <c r="LHW146" s="597"/>
      <c r="LHX146" s="153"/>
      <c r="LHY146" s="597"/>
      <c r="LHZ146" s="597"/>
      <c r="LIA146" s="597"/>
      <c r="LIB146" s="153"/>
      <c r="LIC146" s="597"/>
      <c r="LID146" s="597"/>
      <c r="LIE146" s="597"/>
      <c r="LIF146" s="153"/>
      <c r="LIG146" s="597"/>
      <c r="LIH146" s="597"/>
      <c r="LII146" s="597"/>
      <c r="LIJ146" s="153"/>
      <c r="LIK146" s="597"/>
      <c r="LIL146" s="597"/>
      <c r="LIM146" s="597"/>
      <c r="LIN146" s="153"/>
      <c r="LIO146" s="597"/>
      <c r="LIP146" s="597"/>
      <c r="LIQ146" s="597"/>
      <c r="LIR146" s="153"/>
      <c r="LIS146" s="597"/>
      <c r="LIT146" s="597"/>
      <c r="LIU146" s="597"/>
      <c r="LIV146" s="153"/>
      <c r="LIW146" s="597"/>
      <c r="LIX146" s="597"/>
      <c r="LIY146" s="597"/>
      <c r="LIZ146" s="153"/>
      <c r="LJA146" s="597"/>
      <c r="LJB146" s="597"/>
      <c r="LJC146" s="597"/>
      <c r="LJD146" s="153"/>
      <c r="LJE146" s="597"/>
      <c r="LJF146" s="597"/>
      <c r="LJG146" s="597"/>
      <c r="LJH146" s="153"/>
      <c r="LJI146" s="597"/>
      <c r="LJJ146" s="597"/>
      <c r="LJK146" s="597"/>
      <c r="LJL146" s="153"/>
      <c r="LJM146" s="597"/>
      <c r="LJN146" s="597"/>
      <c r="LJO146" s="597"/>
      <c r="LJP146" s="153"/>
      <c r="LJQ146" s="597"/>
      <c r="LJR146" s="597"/>
      <c r="LJS146" s="597"/>
      <c r="LJT146" s="153"/>
      <c r="LJU146" s="597"/>
      <c r="LJV146" s="597"/>
      <c r="LJW146" s="597"/>
      <c r="LJX146" s="153"/>
      <c r="LJY146" s="597"/>
      <c r="LJZ146" s="597"/>
      <c r="LKA146" s="597"/>
      <c r="LKB146" s="153"/>
      <c r="LKC146" s="597"/>
      <c r="LKD146" s="597"/>
      <c r="LKE146" s="597"/>
      <c r="LKF146" s="153"/>
      <c r="LKG146" s="597"/>
      <c r="LKH146" s="597"/>
      <c r="LKI146" s="597"/>
      <c r="LKJ146" s="153"/>
      <c r="LKK146" s="597"/>
      <c r="LKL146" s="597"/>
      <c r="LKM146" s="597"/>
      <c r="LKN146" s="153"/>
      <c r="LKO146" s="597"/>
      <c r="LKP146" s="597"/>
      <c r="LKQ146" s="597"/>
      <c r="LKR146" s="153"/>
      <c r="LKS146" s="597"/>
      <c r="LKT146" s="597"/>
      <c r="LKU146" s="597"/>
      <c r="LKV146" s="153"/>
      <c r="LKW146" s="597"/>
      <c r="LKX146" s="597"/>
      <c r="LKY146" s="597"/>
      <c r="LKZ146" s="153"/>
      <c r="LLA146" s="597"/>
      <c r="LLB146" s="597"/>
      <c r="LLC146" s="597"/>
      <c r="LLD146" s="153"/>
      <c r="LLE146" s="597"/>
      <c r="LLF146" s="597"/>
      <c r="LLG146" s="597"/>
      <c r="LLH146" s="153"/>
      <c r="LLI146" s="597"/>
      <c r="LLJ146" s="597"/>
      <c r="LLK146" s="597"/>
      <c r="LLL146" s="153"/>
      <c r="LLM146" s="597"/>
      <c r="LLN146" s="597"/>
      <c r="LLO146" s="597"/>
      <c r="LLP146" s="153"/>
      <c r="LLQ146" s="597"/>
      <c r="LLR146" s="597"/>
      <c r="LLS146" s="597"/>
      <c r="LLT146" s="153"/>
      <c r="LLU146" s="597"/>
      <c r="LLV146" s="597"/>
      <c r="LLW146" s="597"/>
      <c r="LLX146" s="153"/>
      <c r="LLY146" s="597"/>
      <c r="LLZ146" s="597"/>
      <c r="LMA146" s="597"/>
      <c r="LMB146" s="153"/>
      <c r="LMC146" s="597"/>
      <c r="LMD146" s="597"/>
      <c r="LME146" s="597"/>
      <c r="LMF146" s="153"/>
      <c r="LMG146" s="597"/>
      <c r="LMH146" s="597"/>
      <c r="LMI146" s="597"/>
      <c r="LMJ146" s="153"/>
      <c r="LMK146" s="597"/>
      <c r="LML146" s="597"/>
      <c r="LMM146" s="597"/>
      <c r="LMN146" s="153"/>
      <c r="LMO146" s="597"/>
      <c r="LMP146" s="597"/>
      <c r="LMQ146" s="597"/>
      <c r="LMR146" s="153"/>
      <c r="LMS146" s="597"/>
      <c r="LMT146" s="597"/>
      <c r="LMU146" s="597"/>
      <c r="LMV146" s="153"/>
      <c r="LMW146" s="597"/>
      <c r="LMX146" s="597"/>
      <c r="LMY146" s="597"/>
      <c r="LMZ146" s="153"/>
      <c r="LNA146" s="597"/>
      <c r="LNB146" s="597"/>
      <c r="LNC146" s="597"/>
      <c r="LND146" s="153"/>
      <c r="LNE146" s="597"/>
      <c r="LNF146" s="597"/>
      <c r="LNG146" s="597"/>
      <c r="LNH146" s="153"/>
      <c r="LNI146" s="597"/>
      <c r="LNJ146" s="597"/>
      <c r="LNK146" s="597"/>
      <c r="LNL146" s="153"/>
      <c r="LNM146" s="597"/>
      <c r="LNN146" s="597"/>
      <c r="LNO146" s="597"/>
      <c r="LNP146" s="153"/>
      <c r="LNQ146" s="597"/>
      <c r="LNR146" s="597"/>
      <c r="LNS146" s="597"/>
      <c r="LNT146" s="153"/>
      <c r="LNU146" s="597"/>
      <c r="LNV146" s="597"/>
      <c r="LNW146" s="597"/>
      <c r="LNX146" s="153"/>
      <c r="LNY146" s="597"/>
      <c r="LNZ146" s="597"/>
      <c r="LOA146" s="597"/>
      <c r="LOB146" s="153"/>
      <c r="LOC146" s="597"/>
      <c r="LOD146" s="597"/>
      <c r="LOE146" s="597"/>
      <c r="LOF146" s="153"/>
      <c r="LOG146" s="597"/>
      <c r="LOH146" s="597"/>
      <c r="LOI146" s="597"/>
      <c r="LOJ146" s="153"/>
      <c r="LOK146" s="597"/>
      <c r="LOL146" s="597"/>
      <c r="LOM146" s="597"/>
      <c r="LON146" s="153"/>
      <c r="LOO146" s="597"/>
      <c r="LOP146" s="597"/>
      <c r="LOQ146" s="597"/>
      <c r="LOR146" s="153"/>
      <c r="LOS146" s="597"/>
      <c r="LOT146" s="597"/>
      <c r="LOU146" s="597"/>
      <c r="LOV146" s="153"/>
      <c r="LOW146" s="597"/>
      <c r="LOX146" s="597"/>
      <c r="LOY146" s="597"/>
      <c r="LOZ146" s="153"/>
      <c r="LPA146" s="597"/>
      <c r="LPB146" s="597"/>
      <c r="LPC146" s="597"/>
      <c r="LPD146" s="153"/>
      <c r="LPE146" s="597"/>
      <c r="LPF146" s="597"/>
      <c r="LPG146" s="597"/>
      <c r="LPH146" s="153"/>
      <c r="LPI146" s="597"/>
      <c r="LPJ146" s="597"/>
      <c r="LPK146" s="597"/>
      <c r="LPL146" s="153"/>
      <c r="LPM146" s="597"/>
      <c r="LPN146" s="597"/>
      <c r="LPO146" s="597"/>
      <c r="LPP146" s="153"/>
      <c r="LPQ146" s="597"/>
      <c r="LPR146" s="597"/>
      <c r="LPS146" s="597"/>
      <c r="LPT146" s="153"/>
      <c r="LPU146" s="597"/>
      <c r="LPV146" s="597"/>
      <c r="LPW146" s="597"/>
      <c r="LPX146" s="153"/>
      <c r="LPY146" s="597"/>
      <c r="LPZ146" s="597"/>
      <c r="LQA146" s="597"/>
      <c r="LQB146" s="153"/>
      <c r="LQC146" s="597"/>
      <c r="LQD146" s="597"/>
      <c r="LQE146" s="597"/>
      <c r="LQF146" s="153"/>
      <c r="LQG146" s="597"/>
      <c r="LQH146" s="597"/>
      <c r="LQI146" s="597"/>
      <c r="LQJ146" s="153"/>
      <c r="LQK146" s="597"/>
      <c r="LQL146" s="597"/>
      <c r="LQM146" s="597"/>
      <c r="LQN146" s="153"/>
      <c r="LQO146" s="597"/>
      <c r="LQP146" s="597"/>
      <c r="LQQ146" s="597"/>
      <c r="LQR146" s="153"/>
      <c r="LQS146" s="597"/>
      <c r="LQT146" s="597"/>
      <c r="LQU146" s="597"/>
      <c r="LQV146" s="153"/>
      <c r="LQW146" s="597"/>
      <c r="LQX146" s="597"/>
      <c r="LQY146" s="597"/>
      <c r="LQZ146" s="153"/>
      <c r="LRA146" s="597"/>
      <c r="LRB146" s="597"/>
      <c r="LRC146" s="597"/>
      <c r="LRD146" s="153"/>
      <c r="LRE146" s="597"/>
      <c r="LRF146" s="597"/>
      <c r="LRG146" s="597"/>
      <c r="LRH146" s="153"/>
      <c r="LRI146" s="597"/>
      <c r="LRJ146" s="597"/>
      <c r="LRK146" s="597"/>
      <c r="LRL146" s="153"/>
      <c r="LRM146" s="597"/>
      <c r="LRN146" s="597"/>
      <c r="LRO146" s="597"/>
      <c r="LRP146" s="153"/>
      <c r="LRQ146" s="597"/>
      <c r="LRR146" s="597"/>
      <c r="LRS146" s="597"/>
      <c r="LRT146" s="153"/>
      <c r="LRU146" s="597"/>
      <c r="LRV146" s="597"/>
      <c r="LRW146" s="597"/>
      <c r="LRX146" s="153"/>
      <c r="LRY146" s="597"/>
      <c r="LRZ146" s="597"/>
      <c r="LSA146" s="597"/>
      <c r="LSB146" s="153"/>
      <c r="LSC146" s="597"/>
      <c r="LSD146" s="597"/>
      <c r="LSE146" s="597"/>
      <c r="LSF146" s="153"/>
      <c r="LSG146" s="597"/>
      <c r="LSH146" s="597"/>
      <c r="LSI146" s="597"/>
      <c r="LSJ146" s="153"/>
      <c r="LSK146" s="597"/>
      <c r="LSL146" s="597"/>
      <c r="LSM146" s="597"/>
      <c r="LSN146" s="153"/>
      <c r="LSO146" s="597"/>
      <c r="LSP146" s="597"/>
      <c r="LSQ146" s="597"/>
      <c r="LSR146" s="153"/>
      <c r="LSS146" s="597"/>
      <c r="LST146" s="597"/>
      <c r="LSU146" s="597"/>
      <c r="LSV146" s="153"/>
      <c r="LSW146" s="597"/>
      <c r="LSX146" s="597"/>
      <c r="LSY146" s="597"/>
      <c r="LSZ146" s="153"/>
      <c r="LTA146" s="597"/>
      <c r="LTB146" s="597"/>
      <c r="LTC146" s="597"/>
      <c r="LTD146" s="153"/>
      <c r="LTE146" s="597"/>
      <c r="LTF146" s="597"/>
      <c r="LTG146" s="597"/>
      <c r="LTH146" s="153"/>
      <c r="LTI146" s="597"/>
      <c r="LTJ146" s="597"/>
      <c r="LTK146" s="597"/>
      <c r="LTL146" s="153"/>
      <c r="LTM146" s="597"/>
      <c r="LTN146" s="597"/>
      <c r="LTO146" s="597"/>
      <c r="LTP146" s="153"/>
      <c r="LTQ146" s="597"/>
      <c r="LTR146" s="597"/>
      <c r="LTS146" s="597"/>
      <c r="LTT146" s="153"/>
      <c r="LTU146" s="597"/>
      <c r="LTV146" s="597"/>
      <c r="LTW146" s="597"/>
      <c r="LTX146" s="153"/>
      <c r="LTY146" s="597"/>
      <c r="LTZ146" s="597"/>
      <c r="LUA146" s="597"/>
      <c r="LUB146" s="153"/>
      <c r="LUC146" s="597"/>
      <c r="LUD146" s="597"/>
      <c r="LUE146" s="597"/>
      <c r="LUF146" s="153"/>
      <c r="LUG146" s="597"/>
      <c r="LUH146" s="597"/>
      <c r="LUI146" s="597"/>
      <c r="LUJ146" s="153"/>
      <c r="LUK146" s="597"/>
      <c r="LUL146" s="597"/>
      <c r="LUM146" s="597"/>
      <c r="LUN146" s="153"/>
      <c r="LUO146" s="597"/>
      <c r="LUP146" s="597"/>
      <c r="LUQ146" s="597"/>
      <c r="LUR146" s="153"/>
      <c r="LUS146" s="597"/>
      <c r="LUT146" s="597"/>
      <c r="LUU146" s="597"/>
      <c r="LUV146" s="153"/>
      <c r="LUW146" s="597"/>
      <c r="LUX146" s="597"/>
      <c r="LUY146" s="597"/>
      <c r="LUZ146" s="153"/>
      <c r="LVA146" s="597"/>
      <c r="LVB146" s="597"/>
      <c r="LVC146" s="597"/>
      <c r="LVD146" s="153"/>
      <c r="LVE146" s="597"/>
      <c r="LVF146" s="597"/>
      <c r="LVG146" s="597"/>
      <c r="LVH146" s="153"/>
      <c r="LVI146" s="597"/>
      <c r="LVJ146" s="597"/>
      <c r="LVK146" s="597"/>
      <c r="LVL146" s="153"/>
      <c r="LVM146" s="597"/>
      <c r="LVN146" s="597"/>
      <c r="LVO146" s="597"/>
      <c r="LVP146" s="153"/>
      <c r="LVQ146" s="597"/>
      <c r="LVR146" s="597"/>
      <c r="LVS146" s="597"/>
      <c r="LVT146" s="153"/>
      <c r="LVU146" s="597"/>
      <c r="LVV146" s="597"/>
      <c r="LVW146" s="597"/>
      <c r="LVX146" s="153"/>
      <c r="LVY146" s="597"/>
      <c r="LVZ146" s="597"/>
      <c r="LWA146" s="597"/>
      <c r="LWB146" s="153"/>
      <c r="LWC146" s="597"/>
      <c r="LWD146" s="597"/>
      <c r="LWE146" s="597"/>
      <c r="LWF146" s="153"/>
      <c r="LWG146" s="597"/>
      <c r="LWH146" s="597"/>
      <c r="LWI146" s="597"/>
      <c r="LWJ146" s="153"/>
      <c r="LWK146" s="597"/>
      <c r="LWL146" s="597"/>
      <c r="LWM146" s="597"/>
      <c r="LWN146" s="153"/>
      <c r="LWO146" s="597"/>
      <c r="LWP146" s="597"/>
      <c r="LWQ146" s="597"/>
      <c r="LWR146" s="153"/>
      <c r="LWS146" s="597"/>
      <c r="LWT146" s="597"/>
      <c r="LWU146" s="597"/>
      <c r="LWV146" s="153"/>
      <c r="LWW146" s="597"/>
      <c r="LWX146" s="597"/>
      <c r="LWY146" s="597"/>
      <c r="LWZ146" s="153"/>
      <c r="LXA146" s="597"/>
      <c r="LXB146" s="597"/>
      <c r="LXC146" s="597"/>
      <c r="LXD146" s="153"/>
      <c r="LXE146" s="597"/>
      <c r="LXF146" s="597"/>
      <c r="LXG146" s="597"/>
      <c r="LXH146" s="153"/>
      <c r="LXI146" s="597"/>
      <c r="LXJ146" s="597"/>
      <c r="LXK146" s="597"/>
      <c r="LXL146" s="153"/>
      <c r="LXM146" s="597"/>
      <c r="LXN146" s="597"/>
      <c r="LXO146" s="597"/>
      <c r="LXP146" s="153"/>
      <c r="LXQ146" s="597"/>
      <c r="LXR146" s="597"/>
      <c r="LXS146" s="597"/>
      <c r="LXT146" s="153"/>
      <c r="LXU146" s="597"/>
      <c r="LXV146" s="597"/>
      <c r="LXW146" s="597"/>
      <c r="LXX146" s="153"/>
      <c r="LXY146" s="597"/>
      <c r="LXZ146" s="597"/>
      <c r="LYA146" s="597"/>
      <c r="LYB146" s="153"/>
      <c r="LYC146" s="597"/>
      <c r="LYD146" s="597"/>
      <c r="LYE146" s="597"/>
      <c r="LYF146" s="153"/>
      <c r="LYG146" s="597"/>
      <c r="LYH146" s="597"/>
      <c r="LYI146" s="597"/>
      <c r="LYJ146" s="153"/>
      <c r="LYK146" s="597"/>
      <c r="LYL146" s="597"/>
      <c r="LYM146" s="597"/>
      <c r="LYN146" s="153"/>
      <c r="LYO146" s="597"/>
      <c r="LYP146" s="597"/>
      <c r="LYQ146" s="597"/>
      <c r="LYR146" s="153"/>
      <c r="LYS146" s="597"/>
      <c r="LYT146" s="597"/>
      <c r="LYU146" s="597"/>
      <c r="LYV146" s="153"/>
      <c r="LYW146" s="597"/>
      <c r="LYX146" s="597"/>
      <c r="LYY146" s="597"/>
      <c r="LYZ146" s="153"/>
      <c r="LZA146" s="597"/>
      <c r="LZB146" s="597"/>
      <c r="LZC146" s="597"/>
      <c r="LZD146" s="153"/>
      <c r="LZE146" s="597"/>
      <c r="LZF146" s="597"/>
      <c r="LZG146" s="597"/>
      <c r="LZH146" s="153"/>
      <c r="LZI146" s="597"/>
      <c r="LZJ146" s="597"/>
      <c r="LZK146" s="597"/>
      <c r="LZL146" s="153"/>
      <c r="LZM146" s="597"/>
      <c r="LZN146" s="597"/>
      <c r="LZO146" s="597"/>
      <c r="LZP146" s="153"/>
      <c r="LZQ146" s="597"/>
      <c r="LZR146" s="597"/>
      <c r="LZS146" s="597"/>
      <c r="LZT146" s="153"/>
      <c r="LZU146" s="597"/>
      <c r="LZV146" s="597"/>
      <c r="LZW146" s="597"/>
      <c r="LZX146" s="153"/>
      <c r="LZY146" s="597"/>
      <c r="LZZ146" s="597"/>
      <c r="MAA146" s="597"/>
      <c r="MAB146" s="153"/>
      <c r="MAC146" s="597"/>
      <c r="MAD146" s="597"/>
      <c r="MAE146" s="597"/>
      <c r="MAF146" s="153"/>
      <c r="MAG146" s="597"/>
      <c r="MAH146" s="597"/>
      <c r="MAI146" s="597"/>
      <c r="MAJ146" s="153"/>
      <c r="MAK146" s="597"/>
      <c r="MAL146" s="597"/>
      <c r="MAM146" s="597"/>
      <c r="MAN146" s="153"/>
      <c r="MAO146" s="597"/>
      <c r="MAP146" s="597"/>
      <c r="MAQ146" s="597"/>
      <c r="MAR146" s="153"/>
      <c r="MAS146" s="597"/>
      <c r="MAT146" s="597"/>
      <c r="MAU146" s="597"/>
      <c r="MAV146" s="153"/>
      <c r="MAW146" s="597"/>
      <c r="MAX146" s="597"/>
      <c r="MAY146" s="597"/>
      <c r="MAZ146" s="153"/>
      <c r="MBA146" s="597"/>
      <c r="MBB146" s="597"/>
      <c r="MBC146" s="597"/>
      <c r="MBD146" s="153"/>
      <c r="MBE146" s="597"/>
      <c r="MBF146" s="597"/>
      <c r="MBG146" s="597"/>
      <c r="MBH146" s="153"/>
      <c r="MBI146" s="597"/>
      <c r="MBJ146" s="597"/>
      <c r="MBK146" s="597"/>
      <c r="MBL146" s="153"/>
      <c r="MBM146" s="597"/>
      <c r="MBN146" s="597"/>
      <c r="MBO146" s="597"/>
      <c r="MBP146" s="153"/>
      <c r="MBQ146" s="597"/>
      <c r="MBR146" s="597"/>
      <c r="MBS146" s="597"/>
      <c r="MBT146" s="153"/>
      <c r="MBU146" s="597"/>
      <c r="MBV146" s="597"/>
      <c r="MBW146" s="597"/>
      <c r="MBX146" s="153"/>
      <c r="MBY146" s="597"/>
      <c r="MBZ146" s="597"/>
      <c r="MCA146" s="597"/>
      <c r="MCB146" s="153"/>
      <c r="MCC146" s="597"/>
      <c r="MCD146" s="597"/>
      <c r="MCE146" s="597"/>
      <c r="MCF146" s="153"/>
      <c r="MCG146" s="597"/>
      <c r="MCH146" s="597"/>
      <c r="MCI146" s="597"/>
      <c r="MCJ146" s="153"/>
      <c r="MCK146" s="597"/>
      <c r="MCL146" s="597"/>
      <c r="MCM146" s="597"/>
      <c r="MCN146" s="153"/>
      <c r="MCO146" s="597"/>
      <c r="MCP146" s="597"/>
      <c r="MCQ146" s="597"/>
      <c r="MCR146" s="153"/>
      <c r="MCS146" s="597"/>
      <c r="MCT146" s="597"/>
      <c r="MCU146" s="597"/>
      <c r="MCV146" s="153"/>
      <c r="MCW146" s="597"/>
      <c r="MCX146" s="597"/>
      <c r="MCY146" s="597"/>
      <c r="MCZ146" s="153"/>
      <c r="MDA146" s="597"/>
      <c r="MDB146" s="597"/>
      <c r="MDC146" s="597"/>
      <c r="MDD146" s="153"/>
      <c r="MDE146" s="597"/>
      <c r="MDF146" s="597"/>
      <c r="MDG146" s="597"/>
      <c r="MDH146" s="153"/>
      <c r="MDI146" s="597"/>
      <c r="MDJ146" s="597"/>
      <c r="MDK146" s="597"/>
      <c r="MDL146" s="153"/>
      <c r="MDM146" s="597"/>
      <c r="MDN146" s="597"/>
      <c r="MDO146" s="597"/>
      <c r="MDP146" s="153"/>
      <c r="MDQ146" s="597"/>
      <c r="MDR146" s="597"/>
      <c r="MDS146" s="597"/>
      <c r="MDT146" s="153"/>
      <c r="MDU146" s="597"/>
      <c r="MDV146" s="597"/>
      <c r="MDW146" s="597"/>
      <c r="MDX146" s="153"/>
      <c r="MDY146" s="597"/>
      <c r="MDZ146" s="597"/>
      <c r="MEA146" s="597"/>
      <c r="MEB146" s="153"/>
      <c r="MEC146" s="597"/>
      <c r="MED146" s="597"/>
      <c r="MEE146" s="597"/>
      <c r="MEF146" s="153"/>
      <c r="MEG146" s="597"/>
      <c r="MEH146" s="597"/>
      <c r="MEI146" s="597"/>
      <c r="MEJ146" s="153"/>
      <c r="MEK146" s="597"/>
      <c r="MEL146" s="597"/>
      <c r="MEM146" s="597"/>
      <c r="MEN146" s="153"/>
      <c r="MEO146" s="597"/>
      <c r="MEP146" s="597"/>
      <c r="MEQ146" s="597"/>
      <c r="MER146" s="153"/>
      <c r="MES146" s="597"/>
      <c r="MET146" s="597"/>
      <c r="MEU146" s="597"/>
      <c r="MEV146" s="153"/>
      <c r="MEW146" s="597"/>
      <c r="MEX146" s="597"/>
      <c r="MEY146" s="597"/>
      <c r="MEZ146" s="153"/>
      <c r="MFA146" s="597"/>
      <c r="MFB146" s="597"/>
      <c r="MFC146" s="597"/>
      <c r="MFD146" s="153"/>
      <c r="MFE146" s="597"/>
      <c r="MFF146" s="597"/>
      <c r="MFG146" s="597"/>
      <c r="MFH146" s="153"/>
      <c r="MFI146" s="597"/>
      <c r="MFJ146" s="597"/>
      <c r="MFK146" s="597"/>
      <c r="MFL146" s="153"/>
      <c r="MFM146" s="597"/>
      <c r="MFN146" s="597"/>
      <c r="MFO146" s="597"/>
      <c r="MFP146" s="153"/>
      <c r="MFQ146" s="597"/>
      <c r="MFR146" s="597"/>
      <c r="MFS146" s="597"/>
      <c r="MFT146" s="153"/>
      <c r="MFU146" s="597"/>
      <c r="MFV146" s="597"/>
      <c r="MFW146" s="597"/>
      <c r="MFX146" s="153"/>
      <c r="MFY146" s="597"/>
      <c r="MFZ146" s="597"/>
      <c r="MGA146" s="597"/>
      <c r="MGB146" s="153"/>
      <c r="MGC146" s="597"/>
      <c r="MGD146" s="597"/>
      <c r="MGE146" s="597"/>
      <c r="MGF146" s="153"/>
      <c r="MGG146" s="597"/>
      <c r="MGH146" s="597"/>
      <c r="MGI146" s="597"/>
      <c r="MGJ146" s="153"/>
      <c r="MGK146" s="597"/>
      <c r="MGL146" s="597"/>
      <c r="MGM146" s="597"/>
      <c r="MGN146" s="153"/>
      <c r="MGO146" s="597"/>
      <c r="MGP146" s="597"/>
      <c r="MGQ146" s="597"/>
      <c r="MGR146" s="153"/>
      <c r="MGS146" s="597"/>
      <c r="MGT146" s="597"/>
      <c r="MGU146" s="597"/>
      <c r="MGV146" s="153"/>
      <c r="MGW146" s="597"/>
      <c r="MGX146" s="597"/>
      <c r="MGY146" s="597"/>
      <c r="MGZ146" s="153"/>
      <c r="MHA146" s="597"/>
      <c r="MHB146" s="597"/>
      <c r="MHC146" s="597"/>
      <c r="MHD146" s="153"/>
      <c r="MHE146" s="597"/>
      <c r="MHF146" s="597"/>
      <c r="MHG146" s="597"/>
      <c r="MHH146" s="153"/>
      <c r="MHI146" s="597"/>
      <c r="MHJ146" s="597"/>
      <c r="MHK146" s="597"/>
      <c r="MHL146" s="153"/>
      <c r="MHM146" s="597"/>
      <c r="MHN146" s="597"/>
      <c r="MHO146" s="597"/>
      <c r="MHP146" s="153"/>
      <c r="MHQ146" s="597"/>
      <c r="MHR146" s="597"/>
      <c r="MHS146" s="597"/>
      <c r="MHT146" s="153"/>
      <c r="MHU146" s="597"/>
      <c r="MHV146" s="597"/>
      <c r="MHW146" s="597"/>
      <c r="MHX146" s="153"/>
      <c r="MHY146" s="597"/>
      <c r="MHZ146" s="597"/>
      <c r="MIA146" s="597"/>
      <c r="MIB146" s="153"/>
      <c r="MIC146" s="597"/>
      <c r="MID146" s="597"/>
      <c r="MIE146" s="597"/>
      <c r="MIF146" s="153"/>
      <c r="MIG146" s="597"/>
      <c r="MIH146" s="597"/>
      <c r="MII146" s="597"/>
      <c r="MIJ146" s="153"/>
      <c r="MIK146" s="597"/>
      <c r="MIL146" s="597"/>
      <c r="MIM146" s="597"/>
      <c r="MIN146" s="153"/>
      <c r="MIO146" s="597"/>
      <c r="MIP146" s="597"/>
      <c r="MIQ146" s="597"/>
      <c r="MIR146" s="153"/>
      <c r="MIS146" s="597"/>
      <c r="MIT146" s="597"/>
      <c r="MIU146" s="597"/>
      <c r="MIV146" s="153"/>
      <c r="MIW146" s="597"/>
      <c r="MIX146" s="597"/>
      <c r="MIY146" s="597"/>
      <c r="MIZ146" s="153"/>
      <c r="MJA146" s="597"/>
      <c r="MJB146" s="597"/>
      <c r="MJC146" s="597"/>
      <c r="MJD146" s="153"/>
      <c r="MJE146" s="597"/>
      <c r="MJF146" s="597"/>
      <c r="MJG146" s="597"/>
      <c r="MJH146" s="153"/>
      <c r="MJI146" s="597"/>
      <c r="MJJ146" s="597"/>
      <c r="MJK146" s="597"/>
      <c r="MJL146" s="153"/>
      <c r="MJM146" s="597"/>
      <c r="MJN146" s="597"/>
      <c r="MJO146" s="597"/>
      <c r="MJP146" s="153"/>
      <c r="MJQ146" s="597"/>
      <c r="MJR146" s="597"/>
      <c r="MJS146" s="597"/>
      <c r="MJT146" s="153"/>
      <c r="MJU146" s="597"/>
      <c r="MJV146" s="597"/>
      <c r="MJW146" s="597"/>
      <c r="MJX146" s="153"/>
      <c r="MJY146" s="597"/>
      <c r="MJZ146" s="597"/>
      <c r="MKA146" s="597"/>
      <c r="MKB146" s="153"/>
      <c r="MKC146" s="597"/>
      <c r="MKD146" s="597"/>
      <c r="MKE146" s="597"/>
      <c r="MKF146" s="153"/>
      <c r="MKG146" s="597"/>
      <c r="MKH146" s="597"/>
      <c r="MKI146" s="597"/>
      <c r="MKJ146" s="153"/>
      <c r="MKK146" s="597"/>
      <c r="MKL146" s="597"/>
      <c r="MKM146" s="597"/>
      <c r="MKN146" s="153"/>
      <c r="MKO146" s="597"/>
      <c r="MKP146" s="597"/>
      <c r="MKQ146" s="597"/>
      <c r="MKR146" s="153"/>
      <c r="MKS146" s="597"/>
      <c r="MKT146" s="597"/>
      <c r="MKU146" s="597"/>
      <c r="MKV146" s="153"/>
      <c r="MKW146" s="597"/>
      <c r="MKX146" s="597"/>
      <c r="MKY146" s="597"/>
      <c r="MKZ146" s="153"/>
      <c r="MLA146" s="597"/>
      <c r="MLB146" s="597"/>
      <c r="MLC146" s="597"/>
      <c r="MLD146" s="153"/>
      <c r="MLE146" s="597"/>
      <c r="MLF146" s="597"/>
      <c r="MLG146" s="597"/>
      <c r="MLH146" s="153"/>
      <c r="MLI146" s="597"/>
      <c r="MLJ146" s="597"/>
      <c r="MLK146" s="597"/>
      <c r="MLL146" s="153"/>
      <c r="MLM146" s="597"/>
      <c r="MLN146" s="597"/>
      <c r="MLO146" s="597"/>
      <c r="MLP146" s="153"/>
      <c r="MLQ146" s="597"/>
      <c r="MLR146" s="597"/>
      <c r="MLS146" s="597"/>
      <c r="MLT146" s="153"/>
      <c r="MLU146" s="597"/>
      <c r="MLV146" s="597"/>
      <c r="MLW146" s="597"/>
      <c r="MLX146" s="153"/>
      <c r="MLY146" s="597"/>
      <c r="MLZ146" s="597"/>
      <c r="MMA146" s="597"/>
      <c r="MMB146" s="153"/>
      <c r="MMC146" s="597"/>
      <c r="MMD146" s="597"/>
      <c r="MME146" s="597"/>
      <c r="MMF146" s="153"/>
      <c r="MMG146" s="597"/>
      <c r="MMH146" s="597"/>
      <c r="MMI146" s="597"/>
      <c r="MMJ146" s="153"/>
      <c r="MMK146" s="597"/>
      <c r="MML146" s="597"/>
      <c r="MMM146" s="597"/>
      <c r="MMN146" s="153"/>
      <c r="MMO146" s="597"/>
      <c r="MMP146" s="597"/>
      <c r="MMQ146" s="597"/>
      <c r="MMR146" s="153"/>
      <c r="MMS146" s="597"/>
      <c r="MMT146" s="597"/>
      <c r="MMU146" s="597"/>
      <c r="MMV146" s="153"/>
      <c r="MMW146" s="597"/>
      <c r="MMX146" s="597"/>
      <c r="MMY146" s="597"/>
      <c r="MMZ146" s="153"/>
      <c r="MNA146" s="597"/>
      <c r="MNB146" s="597"/>
      <c r="MNC146" s="597"/>
      <c r="MND146" s="153"/>
      <c r="MNE146" s="597"/>
      <c r="MNF146" s="597"/>
      <c r="MNG146" s="597"/>
      <c r="MNH146" s="153"/>
      <c r="MNI146" s="597"/>
      <c r="MNJ146" s="597"/>
      <c r="MNK146" s="597"/>
      <c r="MNL146" s="153"/>
      <c r="MNM146" s="597"/>
      <c r="MNN146" s="597"/>
      <c r="MNO146" s="597"/>
      <c r="MNP146" s="153"/>
      <c r="MNQ146" s="597"/>
      <c r="MNR146" s="597"/>
      <c r="MNS146" s="597"/>
      <c r="MNT146" s="153"/>
      <c r="MNU146" s="597"/>
      <c r="MNV146" s="597"/>
      <c r="MNW146" s="597"/>
      <c r="MNX146" s="153"/>
      <c r="MNY146" s="597"/>
      <c r="MNZ146" s="597"/>
      <c r="MOA146" s="597"/>
      <c r="MOB146" s="153"/>
      <c r="MOC146" s="597"/>
      <c r="MOD146" s="597"/>
      <c r="MOE146" s="597"/>
      <c r="MOF146" s="153"/>
      <c r="MOG146" s="597"/>
      <c r="MOH146" s="597"/>
      <c r="MOI146" s="597"/>
      <c r="MOJ146" s="153"/>
      <c r="MOK146" s="597"/>
      <c r="MOL146" s="597"/>
      <c r="MOM146" s="597"/>
      <c r="MON146" s="153"/>
      <c r="MOO146" s="597"/>
      <c r="MOP146" s="597"/>
      <c r="MOQ146" s="597"/>
      <c r="MOR146" s="153"/>
      <c r="MOS146" s="597"/>
      <c r="MOT146" s="597"/>
      <c r="MOU146" s="597"/>
      <c r="MOV146" s="153"/>
      <c r="MOW146" s="597"/>
      <c r="MOX146" s="597"/>
      <c r="MOY146" s="597"/>
      <c r="MOZ146" s="153"/>
      <c r="MPA146" s="597"/>
      <c r="MPB146" s="597"/>
      <c r="MPC146" s="597"/>
      <c r="MPD146" s="153"/>
      <c r="MPE146" s="597"/>
      <c r="MPF146" s="597"/>
      <c r="MPG146" s="597"/>
      <c r="MPH146" s="153"/>
      <c r="MPI146" s="597"/>
      <c r="MPJ146" s="597"/>
      <c r="MPK146" s="597"/>
      <c r="MPL146" s="153"/>
      <c r="MPM146" s="597"/>
      <c r="MPN146" s="597"/>
      <c r="MPO146" s="597"/>
      <c r="MPP146" s="153"/>
      <c r="MPQ146" s="597"/>
      <c r="MPR146" s="597"/>
      <c r="MPS146" s="597"/>
      <c r="MPT146" s="153"/>
      <c r="MPU146" s="597"/>
      <c r="MPV146" s="597"/>
      <c r="MPW146" s="597"/>
      <c r="MPX146" s="153"/>
      <c r="MPY146" s="597"/>
      <c r="MPZ146" s="597"/>
      <c r="MQA146" s="597"/>
      <c r="MQB146" s="153"/>
      <c r="MQC146" s="597"/>
      <c r="MQD146" s="597"/>
      <c r="MQE146" s="597"/>
      <c r="MQF146" s="153"/>
      <c r="MQG146" s="597"/>
      <c r="MQH146" s="597"/>
      <c r="MQI146" s="597"/>
      <c r="MQJ146" s="153"/>
      <c r="MQK146" s="597"/>
      <c r="MQL146" s="597"/>
      <c r="MQM146" s="597"/>
      <c r="MQN146" s="153"/>
      <c r="MQO146" s="597"/>
      <c r="MQP146" s="597"/>
      <c r="MQQ146" s="597"/>
      <c r="MQR146" s="153"/>
      <c r="MQS146" s="597"/>
      <c r="MQT146" s="597"/>
      <c r="MQU146" s="597"/>
      <c r="MQV146" s="153"/>
      <c r="MQW146" s="597"/>
      <c r="MQX146" s="597"/>
      <c r="MQY146" s="597"/>
      <c r="MQZ146" s="153"/>
      <c r="MRA146" s="597"/>
      <c r="MRB146" s="597"/>
      <c r="MRC146" s="597"/>
      <c r="MRD146" s="153"/>
      <c r="MRE146" s="597"/>
      <c r="MRF146" s="597"/>
      <c r="MRG146" s="597"/>
      <c r="MRH146" s="153"/>
      <c r="MRI146" s="597"/>
      <c r="MRJ146" s="597"/>
      <c r="MRK146" s="597"/>
      <c r="MRL146" s="153"/>
      <c r="MRM146" s="597"/>
      <c r="MRN146" s="597"/>
      <c r="MRO146" s="597"/>
      <c r="MRP146" s="153"/>
      <c r="MRQ146" s="597"/>
      <c r="MRR146" s="597"/>
      <c r="MRS146" s="597"/>
      <c r="MRT146" s="153"/>
      <c r="MRU146" s="597"/>
      <c r="MRV146" s="597"/>
      <c r="MRW146" s="597"/>
      <c r="MRX146" s="153"/>
      <c r="MRY146" s="597"/>
      <c r="MRZ146" s="597"/>
      <c r="MSA146" s="597"/>
      <c r="MSB146" s="153"/>
      <c r="MSC146" s="597"/>
      <c r="MSD146" s="597"/>
      <c r="MSE146" s="597"/>
      <c r="MSF146" s="153"/>
      <c r="MSG146" s="597"/>
      <c r="MSH146" s="597"/>
      <c r="MSI146" s="597"/>
      <c r="MSJ146" s="153"/>
      <c r="MSK146" s="597"/>
      <c r="MSL146" s="597"/>
      <c r="MSM146" s="597"/>
      <c r="MSN146" s="153"/>
      <c r="MSO146" s="597"/>
      <c r="MSP146" s="597"/>
      <c r="MSQ146" s="597"/>
      <c r="MSR146" s="153"/>
      <c r="MSS146" s="597"/>
      <c r="MST146" s="597"/>
      <c r="MSU146" s="597"/>
      <c r="MSV146" s="153"/>
      <c r="MSW146" s="597"/>
      <c r="MSX146" s="597"/>
      <c r="MSY146" s="597"/>
      <c r="MSZ146" s="153"/>
      <c r="MTA146" s="597"/>
      <c r="MTB146" s="597"/>
      <c r="MTC146" s="597"/>
      <c r="MTD146" s="153"/>
      <c r="MTE146" s="597"/>
      <c r="MTF146" s="597"/>
      <c r="MTG146" s="597"/>
      <c r="MTH146" s="153"/>
      <c r="MTI146" s="597"/>
      <c r="MTJ146" s="597"/>
      <c r="MTK146" s="597"/>
      <c r="MTL146" s="153"/>
      <c r="MTM146" s="597"/>
      <c r="MTN146" s="597"/>
      <c r="MTO146" s="597"/>
      <c r="MTP146" s="153"/>
      <c r="MTQ146" s="597"/>
      <c r="MTR146" s="597"/>
      <c r="MTS146" s="597"/>
      <c r="MTT146" s="153"/>
      <c r="MTU146" s="597"/>
      <c r="MTV146" s="597"/>
      <c r="MTW146" s="597"/>
      <c r="MTX146" s="153"/>
      <c r="MTY146" s="597"/>
      <c r="MTZ146" s="597"/>
      <c r="MUA146" s="597"/>
      <c r="MUB146" s="153"/>
      <c r="MUC146" s="597"/>
      <c r="MUD146" s="597"/>
      <c r="MUE146" s="597"/>
      <c r="MUF146" s="153"/>
      <c r="MUG146" s="597"/>
      <c r="MUH146" s="597"/>
      <c r="MUI146" s="597"/>
      <c r="MUJ146" s="153"/>
      <c r="MUK146" s="597"/>
      <c r="MUL146" s="597"/>
      <c r="MUM146" s="597"/>
      <c r="MUN146" s="153"/>
      <c r="MUO146" s="597"/>
      <c r="MUP146" s="597"/>
      <c r="MUQ146" s="597"/>
      <c r="MUR146" s="153"/>
      <c r="MUS146" s="597"/>
      <c r="MUT146" s="597"/>
      <c r="MUU146" s="597"/>
      <c r="MUV146" s="153"/>
      <c r="MUW146" s="597"/>
      <c r="MUX146" s="597"/>
      <c r="MUY146" s="597"/>
      <c r="MUZ146" s="153"/>
      <c r="MVA146" s="597"/>
      <c r="MVB146" s="597"/>
      <c r="MVC146" s="597"/>
      <c r="MVD146" s="153"/>
      <c r="MVE146" s="597"/>
      <c r="MVF146" s="597"/>
      <c r="MVG146" s="597"/>
      <c r="MVH146" s="153"/>
      <c r="MVI146" s="597"/>
      <c r="MVJ146" s="597"/>
      <c r="MVK146" s="597"/>
      <c r="MVL146" s="153"/>
      <c r="MVM146" s="597"/>
      <c r="MVN146" s="597"/>
      <c r="MVO146" s="597"/>
      <c r="MVP146" s="153"/>
      <c r="MVQ146" s="597"/>
      <c r="MVR146" s="597"/>
      <c r="MVS146" s="597"/>
      <c r="MVT146" s="153"/>
      <c r="MVU146" s="597"/>
      <c r="MVV146" s="597"/>
      <c r="MVW146" s="597"/>
      <c r="MVX146" s="153"/>
      <c r="MVY146" s="597"/>
      <c r="MVZ146" s="597"/>
      <c r="MWA146" s="597"/>
      <c r="MWB146" s="153"/>
      <c r="MWC146" s="597"/>
      <c r="MWD146" s="597"/>
      <c r="MWE146" s="597"/>
      <c r="MWF146" s="153"/>
      <c r="MWG146" s="597"/>
      <c r="MWH146" s="597"/>
      <c r="MWI146" s="597"/>
      <c r="MWJ146" s="153"/>
      <c r="MWK146" s="597"/>
      <c r="MWL146" s="597"/>
      <c r="MWM146" s="597"/>
      <c r="MWN146" s="153"/>
      <c r="MWO146" s="597"/>
      <c r="MWP146" s="597"/>
      <c r="MWQ146" s="597"/>
      <c r="MWR146" s="153"/>
      <c r="MWS146" s="597"/>
      <c r="MWT146" s="597"/>
      <c r="MWU146" s="597"/>
      <c r="MWV146" s="153"/>
      <c r="MWW146" s="597"/>
      <c r="MWX146" s="597"/>
      <c r="MWY146" s="597"/>
      <c r="MWZ146" s="153"/>
      <c r="MXA146" s="597"/>
      <c r="MXB146" s="597"/>
      <c r="MXC146" s="597"/>
      <c r="MXD146" s="153"/>
      <c r="MXE146" s="597"/>
      <c r="MXF146" s="597"/>
      <c r="MXG146" s="597"/>
      <c r="MXH146" s="153"/>
      <c r="MXI146" s="597"/>
      <c r="MXJ146" s="597"/>
      <c r="MXK146" s="597"/>
      <c r="MXL146" s="153"/>
      <c r="MXM146" s="597"/>
      <c r="MXN146" s="597"/>
      <c r="MXO146" s="597"/>
      <c r="MXP146" s="153"/>
      <c r="MXQ146" s="597"/>
      <c r="MXR146" s="597"/>
      <c r="MXS146" s="597"/>
      <c r="MXT146" s="153"/>
      <c r="MXU146" s="597"/>
      <c r="MXV146" s="597"/>
      <c r="MXW146" s="597"/>
      <c r="MXX146" s="153"/>
      <c r="MXY146" s="597"/>
      <c r="MXZ146" s="597"/>
      <c r="MYA146" s="597"/>
      <c r="MYB146" s="153"/>
      <c r="MYC146" s="597"/>
      <c r="MYD146" s="597"/>
      <c r="MYE146" s="597"/>
      <c r="MYF146" s="153"/>
      <c r="MYG146" s="597"/>
      <c r="MYH146" s="597"/>
      <c r="MYI146" s="597"/>
      <c r="MYJ146" s="153"/>
      <c r="MYK146" s="597"/>
      <c r="MYL146" s="597"/>
      <c r="MYM146" s="597"/>
      <c r="MYN146" s="153"/>
      <c r="MYO146" s="597"/>
      <c r="MYP146" s="597"/>
      <c r="MYQ146" s="597"/>
      <c r="MYR146" s="153"/>
      <c r="MYS146" s="597"/>
      <c r="MYT146" s="597"/>
      <c r="MYU146" s="597"/>
      <c r="MYV146" s="153"/>
      <c r="MYW146" s="597"/>
      <c r="MYX146" s="597"/>
      <c r="MYY146" s="597"/>
      <c r="MYZ146" s="153"/>
      <c r="MZA146" s="597"/>
      <c r="MZB146" s="597"/>
      <c r="MZC146" s="597"/>
      <c r="MZD146" s="153"/>
      <c r="MZE146" s="597"/>
      <c r="MZF146" s="597"/>
      <c r="MZG146" s="597"/>
      <c r="MZH146" s="153"/>
      <c r="MZI146" s="597"/>
      <c r="MZJ146" s="597"/>
      <c r="MZK146" s="597"/>
      <c r="MZL146" s="153"/>
      <c r="MZM146" s="597"/>
      <c r="MZN146" s="597"/>
      <c r="MZO146" s="597"/>
      <c r="MZP146" s="153"/>
      <c r="MZQ146" s="597"/>
      <c r="MZR146" s="597"/>
      <c r="MZS146" s="597"/>
      <c r="MZT146" s="153"/>
      <c r="MZU146" s="597"/>
      <c r="MZV146" s="597"/>
      <c r="MZW146" s="597"/>
      <c r="MZX146" s="153"/>
      <c r="MZY146" s="597"/>
      <c r="MZZ146" s="597"/>
      <c r="NAA146" s="597"/>
      <c r="NAB146" s="153"/>
      <c r="NAC146" s="597"/>
      <c r="NAD146" s="597"/>
      <c r="NAE146" s="597"/>
      <c r="NAF146" s="153"/>
      <c r="NAG146" s="597"/>
      <c r="NAH146" s="597"/>
      <c r="NAI146" s="597"/>
      <c r="NAJ146" s="153"/>
      <c r="NAK146" s="597"/>
      <c r="NAL146" s="597"/>
      <c r="NAM146" s="597"/>
      <c r="NAN146" s="153"/>
      <c r="NAO146" s="597"/>
      <c r="NAP146" s="597"/>
      <c r="NAQ146" s="597"/>
      <c r="NAR146" s="153"/>
      <c r="NAS146" s="597"/>
      <c r="NAT146" s="597"/>
      <c r="NAU146" s="597"/>
      <c r="NAV146" s="153"/>
      <c r="NAW146" s="597"/>
      <c r="NAX146" s="597"/>
      <c r="NAY146" s="597"/>
      <c r="NAZ146" s="153"/>
      <c r="NBA146" s="597"/>
      <c r="NBB146" s="597"/>
      <c r="NBC146" s="597"/>
      <c r="NBD146" s="153"/>
      <c r="NBE146" s="597"/>
      <c r="NBF146" s="597"/>
      <c r="NBG146" s="597"/>
      <c r="NBH146" s="153"/>
      <c r="NBI146" s="597"/>
      <c r="NBJ146" s="597"/>
      <c r="NBK146" s="597"/>
      <c r="NBL146" s="153"/>
      <c r="NBM146" s="597"/>
      <c r="NBN146" s="597"/>
      <c r="NBO146" s="597"/>
      <c r="NBP146" s="153"/>
      <c r="NBQ146" s="597"/>
      <c r="NBR146" s="597"/>
      <c r="NBS146" s="597"/>
      <c r="NBT146" s="153"/>
      <c r="NBU146" s="597"/>
      <c r="NBV146" s="597"/>
      <c r="NBW146" s="597"/>
      <c r="NBX146" s="153"/>
      <c r="NBY146" s="597"/>
      <c r="NBZ146" s="597"/>
      <c r="NCA146" s="597"/>
      <c r="NCB146" s="153"/>
      <c r="NCC146" s="597"/>
      <c r="NCD146" s="597"/>
      <c r="NCE146" s="597"/>
      <c r="NCF146" s="153"/>
      <c r="NCG146" s="597"/>
      <c r="NCH146" s="597"/>
      <c r="NCI146" s="597"/>
      <c r="NCJ146" s="153"/>
      <c r="NCK146" s="597"/>
      <c r="NCL146" s="597"/>
      <c r="NCM146" s="597"/>
      <c r="NCN146" s="153"/>
      <c r="NCO146" s="597"/>
      <c r="NCP146" s="597"/>
      <c r="NCQ146" s="597"/>
      <c r="NCR146" s="153"/>
      <c r="NCS146" s="597"/>
      <c r="NCT146" s="597"/>
      <c r="NCU146" s="597"/>
      <c r="NCV146" s="153"/>
      <c r="NCW146" s="597"/>
      <c r="NCX146" s="597"/>
      <c r="NCY146" s="597"/>
      <c r="NCZ146" s="153"/>
      <c r="NDA146" s="597"/>
      <c r="NDB146" s="597"/>
      <c r="NDC146" s="597"/>
      <c r="NDD146" s="153"/>
      <c r="NDE146" s="597"/>
      <c r="NDF146" s="597"/>
      <c r="NDG146" s="597"/>
      <c r="NDH146" s="153"/>
      <c r="NDI146" s="597"/>
      <c r="NDJ146" s="597"/>
      <c r="NDK146" s="597"/>
      <c r="NDL146" s="153"/>
      <c r="NDM146" s="597"/>
      <c r="NDN146" s="597"/>
      <c r="NDO146" s="597"/>
      <c r="NDP146" s="153"/>
      <c r="NDQ146" s="597"/>
      <c r="NDR146" s="597"/>
      <c r="NDS146" s="597"/>
      <c r="NDT146" s="153"/>
      <c r="NDU146" s="597"/>
      <c r="NDV146" s="597"/>
      <c r="NDW146" s="597"/>
      <c r="NDX146" s="153"/>
      <c r="NDY146" s="597"/>
      <c r="NDZ146" s="597"/>
      <c r="NEA146" s="597"/>
      <c r="NEB146" s="153"/>
      <c r="NEC146" s="597"/>
      <c r="NED146" s="597"/>
      <c r="NEE146" s="597"/>
      <c r="NEF146" s="153"/>
      <c r="NEG146" s="597"/>
      <c r="NEH146" s="597"/>
      <c r="NEI146" s="597"/>
      <c r="NEJ146" s="153"/>
      <c r="NEK146" s="597"/>
      <c r="NEL146" s="597"/>
      <c r="NEM146" s="597"/>
      <c r="NEN146" s="153"/>
      <c r="NEO146" s="597"/>
      <c r="NEP146" s="597"/>
      <c r="NEQ146" s="597"/>
      <c r="NER146" s="153"/>
      <c r="NES146" s="597"/>
      <c r="NET146" s="597"/>
      <c r="NEU146" s="597"/>
      <c r="NEV146" s="153"/>
      <c r="NEW146" s="597"/>
      <c r="NEX146" s="597"/>
      <c r="NEY146" s="597"/>
      <c r="NEZ146" s="153"/>
      <c r="NFA146" s="597"/>
      <c r="NFB146" s="597"/>
      <c r="NFC146" s="597"/>
      <c r="NFD146" s="153"/>
      <c r="NFE146" s="597"/>
      <c r="NFF146" s="597"/>
      <c r="NFG146" s="597"/>
      <c r="NFH146" s="153"/>
      <c r="NFI146" s="597"/>
      <c r="NFJ146" s="597"/>
      <c r="NFK146" s="597"/>
      <c r="NFL146" s="153"/>
      <c r="NFM146" s="597"/>
      <c r="NFN146" s="597"/>
      <c r="NFO146" s="597"/>
      <c r="NFP146" s="153"/>
      <c r="NFQ146" s="597"/>
      <c r="NFR146" s="597"/>
      <c r="NFS146" s="597"/>
      <c r="NFT146" s="153"/>
      <c r="NFU146" s="597"/>
      <c r="NFV146" s="597"/>
      <c r="NFW146" s="597"/>
      <c r="NFX146" s="153"/>
      <c r="NFY146" s="597"/>
      <c r="NFZ146" s="597"/>
      <c r="NGA146" s="597"/>
      <c r="NGB146" s="153"/>
      <c r="NGC146" s="597"/>
      <c r="NGD146" s="597"/>
      <c r="NGE146" s="597"/>
      <c r="NGF146" s="153"/>
      <c r="NGG146" s="597"/>
      <c r="NGH146" s="597"/>
      <c r="NGI146" s="597"/>
      <c r="NGJ146" s="153"/>
      <c r="NGK146" s="597"/>
      <c r="NGL146" s="597"/>
      <c r="NGM146" s="597"/>
      <c r="NGN146" s="153"/>
      <c r="NGO146" s="597"/>
      <c r="NGP146" s="597"/>
      <c r="NGQ146" s="597"/>
      <c r="NGR146" s="153"/>
      <c r="NGS146" s="597"/>
      <c r="NGT146" s="597"/>
      <c r="NGU146" s="597"/>
      <c r="NGV146" s="153"/>
      <c r="NGW146" s="597"/>
      <c r="NGX146" s="597"/>
      <c r="NGY146" s="597"/>
      <c r="NGZ146" s="153"/>
      <c r="NHA146" s="597"/>
      <c r="NHB146" s="597"/>
      <c r="NHC146" s="597"/>
      <c r="NHD146" s="153"/>
      <c r="NHE146" s="597"/>
      <c r="NHF146" s="597"/>
      <c r="NHG146" s="597"/>
      <c r="NHH146" s="153"/>
      <c r="NHI146" s="597"/>
      <c r="NHJ146" s="597"/>
      <c r="NHK146" s="597"/>
      <c r="NHL146" s="153"/>
      <c r="NHM146" s="597"/>
      <c r="NHN146" s="597"/>
      <c r="NHO146" s="597"/>
      <c r="NHP146" s="153"/>
      <c r="NHQ146" s="597"/>
      <c r="NHR146" s="597"/>
      <c r="NHS146" s="597"/>
      <c r="NHT146" s="153"/>
      <c r="NHU146" s="597"/>
      <c r="NHV146" s="597"/>
      <c r="NHW146" s="597"/>
      <c r="NHX146" s="153"/>
      <c r="NHY146" s="597"/>
      <c r="NHZ146" s="597"/>
      <c r="NIA146" s="597"/>
      <c r="NIB146" s="153"/>
      <c r="NIC146" s="597"/>
      <c r="NID146" s="597"/>
      <c r="NIE146" s="597"/>
      <c r="NIF146" s="153"/>
      <c r="NIG146" s="597"/>
      <c r="NIH146" s="597"/>
      <c r="NII146" s="597"/>
      <c r="NIJ146" s="153"/>
      <c r="NIK146" s="597"/>
      <c r="NIL146" s="597"/>
      <c r="NIM146" s="597"/>
      <c r="NIN146" s="153"/>
      <c r="NIO146" s="597"/>
      <c r="NIP146" s="597"/>
      <c r="NIQ146" s="597"/>
      <c r="NIR146" s="153"/>
      <c r="NIS146" s="597"/>
      <c r="NIT146" s="597"/>
      <c r="NIU146" s="597"/>
      <c r="NIV146" s="153"/>
      <c r="NIW146" s="597"/>
      <c r="NIX146" s="597"/>
      <c r="NIY146" s="597"/>
      <c r="NIZ146" s="153"/>
      <c r="NJA146" s="597"/>
      <c r="NJB146" s="597"/>
      <c r="NJC146" s="597"/>
      <c r="NJD146" s="153"/>
      <c r="NJE146" s="597"/>
      <c r="NJF146" s="597"/>
      <c r="NJG146" s="597"/>
      <c r="NJH146" s="153"/>
      <c r="NJI146" s="597"/>
      <c r="NJJ146" s="597"/>
      <c r="NJK146" s="597"/>
      <c r="NJL146" s="153"/>
      <c r="NJM146" s="597"/>
      <c r="NJN146" s="597"/>
      <c r="NJO146" s="597"/>
      <c r="NJP146" s="153"/>
      <c r="NJQ146" s="597"/>
      <c r="NJR146" s="597"/>
      <c r="NJS146" s="597"/>
      <c r="NJT146" s="153"/>
      <c r="NJU146" s="597"/>
      <c r="NJV146" s="597"/>
      <c r="NJW146" s="597"/>
      <c r="NJX146" s="153"/>
      <c r="NJY146" s="597"/>
      <c r="NJZ146" s="597"/>
      <c r="NKA146" s="597"/>
      <c r="NKB146" s="153"/>
      <c r="NKC146" s="597"/>
      <c r="NKD146" s="597"/>
      <c r="NKE146" s="597"/>
      <c r="NKF146" s="153"/>
      <c r="NKG146" s="597"/>
      <c r="NKH146" s="597"/>
      <c r="NKI146" s="597"/>
      <c r="NKJ146" s="153"/>
      <c r="NKK146" s="597"/>
      <c r="NKL146" s="597"/>
      <c r="NKM146" s="597"/>
      <c r="NKN146" s="153"/>
      <c r="NKO146" s="597"/>
      <c r="NKP146" s="597"/>
      <c r="NKQ146" s="597"/>
      <c r="NKR146" s="153"/>
      <c r="NKS146" s="597"/>
      <c r="NKT146" s="597"/>
      <c r="NKU146" s="597"/>
      <c r="NKV146" s="153"/>
      <c r="NKW146" s="597"/>
      <c r="NKX146" s="597"/>
      <c r="NKY146" s="597"/>
      <c r="NKZ146" s="153"/>
      <c r="NLA146" s="597"/>
      <c r="NLB146" s="597"/>
      <c r="NLC146" s="597"/>
      <c r="NLD146" s="153"/>
      <c r="NLE146" s="597"/>
      <c r="NLF146" s="597"/>
      <c r="NLG146" s="597"/>
      <c r="NLH146" s="153"/>
      <c r="NLI146" s="597"/>
      <c r="NLJ146" s="597"/>
      <c r="NLK146" s="597"/>
      <c r="NLL146" s="153"/>
      <c r="NLM146" s="597"/>
      <c r="NLN146" s="597"/>
      <c r="NLO146" s="597"/>
      <c r="NLP146" s="153"/>
      <c r="NLQ146" s="597"/>
      <c r="NLR146" s="597"/>
      <c r="NLS146" s="597"/>
      <c r="NLT146" s="153"/>
      <c r="NLU146" s="597"/>
      <c r="NLV146" s="597"/>
      <c r="NLW146" s="597"/>
      <c r="NLX146" s="153"/>
      <c r="NLY146" s="597"/>
      <c r="NLZ146" s="597"/>
      <c r="NMA146" s="597"/>
      <c r="NMB146" s="153"/>
      <c r="NMC146" s="597"/>
      <c r="NMD146" s="597"/>
      <c r="NME146" s="597"/>
      <c r="NMF146" s="153"/>
      <c r="NMG146" s="597"/>
      <c r="NMH146" s="597"/>
      <c r="NMI146" s="597"/>
      <c r="NMJ146" s="153"/>
      <c r="NMK146" s="597"/>
      <c r="NML146" s="597"/>
      <c r="NMM146" s="597"/>
      <c r="NMN146" s="153"/>
      <c r="NMO146" s="597"/>
      <c r="NMP146" s="597"/>
      <c r="NMQ146" s="597"/>
      <c r="NMR146" s="153"/>
      <c r="NMS146" s="597"/>
      <c r="NMT146" s="597"/>
      <c r="NMU146" s="597"/>
      <c r="NMV146" s="153"/>
      <c r="NMW146" s="597"/>
      <c r="NMX146" s="597"/>
      <c r="NMY146" s="597"/>
      <c r="NMZ146" s="153"/>
      <c r="NNA146" s="597"/>
      <c r="NNB146" s="597"/>
      <c r="NNC146" s="597"/>
      <c r="NND146" s="153"/>
      <c r="NNE146" s="597"/>
      <c r="NNF146" s="597"/>
      <c r="NNG146" s="597"/>
      <c r="NNH146" s="153"/>
      <c r="NNI146" s="597"/>
      <c r="NNJ146" s="597"/>
      <c r="NNK146" s="597"/>
      <c r="NNL146" s="153"/>
      <c r="NNM146" s="597"/>
      <c r="NNN146" s="597"/>
      <c r="NNO146" s="597"/>
      <c r="NNP146" s="153"/>
      <c r="NNQ146" s="597"/>
      <c r="NNR146" s="597"/>
      <c r="NNS146" s="597"/>
      <c r="NNT146" s="153"/>
      <c r="NNU146" s="597"/>
      <c r="NNV146" s="597"/>
      <c r="NNW146" s="597"/>
      <c r="NNX146" s="153"/>
      <c r="NNY146" s="597"/>
      <c r="NNZ146" s="597"/>
      <c r="NOA146" s="597"/>
      <c r="NOB146" s="153"/>
      <c r="NOC146" s="597"/>
      <c r="NOD146" s="597"/>
      <c r="NOE146" s="597"/>
      <c r="NOF146" s="153"/>
      <c r="NOG146" s="597"/>
      <c r="NOH146" s="597"/>
      <c r="NOI146" s="597"/>
      <c r="NOJ146" s="153"/>
      <c r="NOK146" s="597"/>
      <c r="NOL146" s="597"/>
      <c r="NOM146" s="597"/>
      <c r="NON146" s="153"/>
      <c r="NOO146" s="597"/>
      <c r="NOP146" s="597"/>
      <c r="NOQ146" s="597"/>
      <c r="NOR146" s="153"/>
      <c r="NOS146" s="597"/>
      <c r="NOT146" s="597"/>
      <c r="NOU146" s="597"/>
      <c r="NOV146" s="153"/>
      <c r="NOW146" s="597"/>
      <c r="NOX146" s="597"/>
      <c r="NOY146" s="597"/>
      <c r="NOZ146" s="153"/>
      <c r="NPA146" s="597"/>
      <c r="NPB146" s="597"/>
      <c r="NPC146" s="597"/>
      <c r="NPD146" s="153"/>
      <c r="NPE146" s="597"/>
      <c r="NPF146" s="597"/>
      <c r="NPG146" s="597"/>
      <c r="NPH146" s="153"/>
      <c r="NPI146" s="597"/>
      <c r="NPJ146" s="597"/>
      <c r="NPK146" s="597"/>
      <c r="NPL146" s="153"/>
      <c r="NPM146" s="597"/>
      <c r="NPN146" s="597"/>
      <c r="NPO146" s="597"/>
      <c r="NPP146" s="153"/>
      <c r="NPQ146" s="597"/>
      <c r="NPR146" s="597"/>
      <c r="NPS146" s="597"/>
      <c r="NPT146" s="153"/>
      <c r="NPU146" s="597"/>
      <c r="NPV146" s="597"/>
      <c r="NPW146" s="597"/>
      <c r="NPX146" s="153"/>
      <c r="NPY146" s="597"/>
      <c r="NPZ146" s="597"/>
      <c r="NQA146" s="597"/>
      <c r="NQB146" s="153"/>
      <c r="NQC146" s="597"/>
      <c r="NQD146" s="597"/>
      <c r="NQE146" s="597"/>
      <c r="NQF146" s="153"/>
      <c r="NQG146" s="597"/>
      <c r="NQH146" s="597"/>
      <c r="NQI146" s="597"/>
      <c r="NQJ146" s="153"/>
      <c r="NQK146" s="597"/>
      <c r="NQL146" s="597"/>
      <c r="NQM146" s="597"/>
      <c r="NQN146" s="153"/>
      <c r="NQO146" s="597"/>
      <c r="NQP146" s="597"/>
      <c r="NQQ146" s="597"/>
      <c r="NQR146" s="153"/>
      <c r="NQS146" s="597"/>
      <c r="NQT146" s="597"/>
      <c r="NQU146" s="597"/>
      <c r="NQV146" s="153"/>
      <c r="NQW146" s="597"/>
      <c r="NQX146" s="597"/>
      <c r="NQY146" s="597"/>
      <c r="NQZ146" s="153"/>
      <c r="NRA146" s="597"/>
      <c r="NRB146" s="597"/>
      <c r="NRC146" s="597"/>
      <c r="NRD146" s="153"/>
      <c r="NRE146" s="597"/>
      <c r="NRF146" s="597"/>
      <c r="NRG146" s="597"/>
      <c r="NRH146" s="153"/>
      <c r="NRI146" s="597"/>
      <c r="NRJ146" s="597"/>
      <c r="NRK146" s="597"/>
      <c r="NRL146" s="153"/>
      <c r="NRM146" s="597"/>
      <c r="NRN146" s="597"/>
      <c r="NRO146" s="597"/>
      <c r="NRP146" s="153"/>
      <c r="NRQ146" s="597"/>
      <c r="NRR146" s="597"/>
      <c r="NRS146" s="597"/>
      <c r="NRT146" s="153"/>
      <c r="NRU146" s="597"/>
      <c r="NRV146" s="597"/>
      <c r="NRW146" s="597"/>
      <c r="NRX146" s="153"/>
      <c r="NRY146" s="597"/>
      <c r="NRZ146" s="597"/>
      <c r="NSA146" s="597"/>
      <c r="NSB146" s="153"/>
      <c r="NSC146" s="597"/>
      <c r="NSD146" s="597"/>
      <c r="NSE146" s="597"/>
      <c r="NSF146" s="153"/>
      <c r="NSG146" s="597"/>
      <c r="NSH146" s="597"/>
      <c r="NSI146" s="597"/>
      <c r="NSJ146" s="153"/>
      <c r="NSK146" s="597"/>
      <c r="NSL146" s="597"/>
      <c r="NSM146" s="597"/>
      <c r="NSN146" s="153"/>
      <c r="NSO146" s="597"/>
      <c r="NSP146" s="597"/>
      <c r="NSQ146" s="597"/>
      <c r="NSR146" s="153"/>
      <c r="NSS146" s="597"/>
      <c r="NST146" s="597"/>
      <c r="NSU146" s="597"/>
      <c r="NSV146" s="153"/>
      <c r="NSW146" s="597"/>
      <c r="NSX146" s="597"/>
      <c r="NSY146" s="597"/>
      <c r="NSZ146" s="153"/>
      <c r="NTA146" s="597"/>
      <c r="NTB146" s="597"/>
      <c r="NTC146" s="597"/>
      <c r="NTD146" s="153"/>
      <c r="NTE146" s="597"/>
      <c r="NTF146" s="597"/>
      <c r="NTG146" s="597"/>
      <c r="NTH146" s="153"/>
      <c r="NTI146" s="597"/>
      <c r="NTJ146" s="597"/>
      <c r="NTK146" s="597"/>
      <c r="NTL146" s="153"/>
      <c r="NTM146" s="597"/>
      <c r="NTN146" s="597"/>
      <c r="NTO146" s="597"/>
      <c r="NTP146" s="153"/>
      <c r="NTQ146" s="597"/>
      <c r="NTR146" s="597"/>
      <c r="NTS146" s="597"/>
      <c r="NTT146" s="153"/>
      <c r="NTU146" s="597"/>
      <c r="NTV146" s="597"/>
      <c r="NTW146" s="597"/>
      <c r="NTX146" s="153"/>
      <c r="NTY146" s="597"/>
      <c r="NTZ146" s="597"/>
      <c r="NUA146" s="597"/>
      <c r="NUB146" s="153"/>
      <c r="NUC146" s="597"/>
      <c r="NUD146" s="597"/>
      <c r="NUE146" s="597"/>
      <c r="NUF146" s="153"/>
      <c r="NUG146" s="597"/>
      <c r="NUH146" s="597"/>
      <c r="NUI146" s="597"/>
      <c r="NUJ146" s="153"/>
      <c r="NUK146" s="597"/>
      <c r="NUL146" s="597"/>
      <c r="NUM146" s="597"/>
      <c r="NUN146" s="153"/>
      <c r="NUO146" s="597"/>
      <c r="NUP146" s="597"/>
      <c r="NUQ146" s="597"/>
      <c r="NUR146" s="153"/>
      <c r="NUS146" s="597"/>
      <c r="NUT146" s="597"/>
      <c r="NUU146" s="597"/>
      <c r="NUV146" s="153"/>
      <c r="NUW146" s="597"/>
      <c r="NUX146" s="597"/>
      <c r="NUY146" s="597"/>
      <c r="NUZ146" s="153"/>
      <c r="NVA146" s="597"/>
      <c r="NVB146" s="597"/>
      <c r="NVC146" s="597"/>
      <c r="NVD146" s="153"/>
      <c r="NVE146" s="597"/>
      <c r="NVF146" s="597"/>
      <c r="NVG146" s="597"/>
      <c r="NVH146" s="153"/>
      <c r="NVI146" s="597"/>
      <c r="NVJ146" s="597"/>
      <c r="NVK146" s="597"/>
      <c r="NVL146" s="153"/>
      <c r="NVM146" s="597"/>
      <c r="NVN146" s="597"/>
      <c r="NVO146" s="597"/>
      <c r="NVP146" s="153"/>
      <c r="NVQ146" s="597"/>
      <c r="NVR146" s="597"/>
      <c r="NVS146" s="597"/>
      <c r="NVT146" s="153"/>
      <c r="NVU146" s="597"/>
      <c r="NVV146" s="597"/>
      <c r="NVW146" s="597"/>
      <c r="NVX146" s="153"/>
      <c r="NVY146" s="597"/>
      <c r="NVZ146" s="597"/>
      <c r="NWA146" s="597"/>
      <c r="NWB146" s="153"/>
      <c r="NWC146" s="597"/>
      <c r="NWD146" s="597"/>
      <c r="NWE146" s="597"/>
      <c r="NWF146" s="153"/>
      <c r="NWG146" s="597"/>
      <c r="NWH146" s="597"/>
      <c r="NWI146" s="597"/>
      <c r="NWJ146" s="153"/>
      <c r="NWK146" s="597"/>
      <c r="NWL146" s="597"/>
      <c r="NWM146" s="597"/>
      <c r="NWN146" s="153"/>
      <c r="NWO146" s="597"/>
      <c r="NWP146" s="597"/>
      <c r="NWQ146" s="597"/>
      <c r="NWR146" s="153"/>
      <c r="NWS146" s="597"/>
      <c r="NWT146" s="597"/>
      <c r="NWU146" s="597"/>
      <c r="NWV146" s="153"/>
      <c r="NWW146" s="597"/>
      <c r="NWX146" s="597"/>
      <c r="NWY146" s="597"/>
      <c r="NWZ146" s="153"/>
      <c r="NXA146" s="597"/>
      <c r="NXB146" s="597"/>
      <c r="NXC146" s="597"/>
      <c r="NXD146" s="153"/>
      <c r="NXE146" s="597"/>
      <c r="NXF146" s="597"/>
      <c r="NXG146" s="597"/>
      <c r="NXH146" s="153"/>
      <c r="NXI146" s="597"/>
      <c r="NXJ146" s="597"/>
      <c r="NXK146" s="597"/>
      <c r="NXL146" s="153"/>
      <c r="NXM146" s="597"/>
      <c r="NXN146" s="597"/>
      <c r="NXO146" s="597"/>
      <c r="NXP146" s="153"/>
      <c r="NXQ146" s="597"/>
      <c r="NXR146" s="597"/>
      <c r="NXS146" s="597"/>
      <c r="NXT146" s="153"/>
      <c r="NXU146" s="597"/>
      <c r="NXV146" s="597"/>
      <c r="NXW146" s="597"/>
      <c r="NXX146" s="153"/>
      <c r="NXY146" s="597"/>
      <c r="NXZ146" s="597"/>
      <c r="NYA146" s="597"/>
      <c r="NYB146" s="153"/>
      <c r="NYC146" s="597"/>
      <c r="NYD146" s="597"/>
      <c r="NYE146" s="597"/>
      <c r="NYF146" s="153"/>
      <c r="NYG146" s="597"/>
      <c r="NYH146" s="597"/>
      <c r="NYI146" s="597"/>
      <c r="NYJ146" s="153"/>
      <c r="NYK146" s="597"/>
      <c r="NYL146" s="597"/>
      <c r="NYM146" s="597"/>
      <c r="NYN146" s="153"/>
      <c r="NYO146" s="597"/>
      <c r="NYP146" s="597"/>
      <c r="NYQ146" s="597"/>
      <c r="NYR146" s="153"/>
      <c r="NYS146" s="597"/>
      <c r="NYT146" s="597"/>
      <c r="NYU146" s="597"/>
      <c r="NYV146" s="153"/>
      <c r="NYW146" s="597"/>
      <c r="NYX146" s="597"/>
      <c r="NYY146" s="597"/>
      <c r="NYZ146" s="153"/>
      <c r="NZA146" s="597"/>
      <c r="NZB146" s="597"/>
      <c r="NZC146" s="597"/>
      <c r="NZD146" s="153"/>
      <c r="NZE146" s="597"/>
      <c r="NZF146" s="597"/>
      <c r="NZG146" s="597"/>
      <c r="NZH146" s="153"/>
      <c r="NZI146" s="597"/>
      <c r="NZJ146" s="597"/>
      <c r="NZK146" s="597"/>
      <c r="NZL146" s="153"/>
      <c r="NZM146" s="597"/>
      <c r="NZN146" s="597"/>
      <c r="NZO146" s="597"/>
      <c r="NZP146" s="153"/>
      <c r="NZQ146" s="597"/>
      <c r="NZR146" s="597"/>
      <c r="NZS146" s="597"/>
      <c r="NZT146" s="153"/>
      <c r="NZU146" s="597"/>
      <c r="NZV146" s="597"/>
      <c r="NZW146" s="597"/>
      <c r="NZX146" s="153"/>
      <c r="NZY146" s="597"/>
      <c r="NZZ146" s="597"/>
      <c r="OAA146" s="597"/>
      <c r="OAB146" s="153"/>
      <c r="OAC146" s="597"/>
      <c r="OAD146" s="597"/>
      <c r="OAE146" s="597"/>
      <c r="OAF146" s="153"/>
      <c r="OAG146" s="597"/>
      <c r="OAH146" s="597"/>
      <c r="OAI146" s="597"/>
      <c r="OAJ146" s="153"/>
      <c r="OAK146" s="597"/>
      <c r="OAL146" s="597"/>
      <c r="OAM146" s="597"/>
      <c r="OAN146" s="153"/>
      <c r="OAO146" s="597"/>
      <c r="OAP146" s="597"/>
      <c r="OAQ146" s="597"/>
      <c r="OAR146" s="153"/>
      <c r="OAS146" s="597"/>
      <c r="OAT146" s="597"/>
      <c r="OAU146" s="597"/>
      <c r="OAV146" s="153"/>
      <c r="OAW146" s="597"/>
      <c r="OAX146" s="597"/>
      <c r="OAY146" s="597"/>
      <c r="OAZ146" s="153"/>
      <c r="OBA146" s="597"/>
      <c r="OBB146" s="597"/>
      <c r="OBC146" s="597"/>
      <c r="OBD146" s="153"/>
      <c r="OBE146" s="597"/>
      <c r="OBF146" s="597"/>
      <c r="OBG146" s="597"/>
      <c r="OBH146" s="153"/>
      <c r="OBI146" s="597"/>
      <c r="OBJ146" s="597"/>
      <c r="OBK146" s="597"/>
      <c r="OBL146" s="153"/>
      <c r="OBM146" s="597"/>
      <c r="OBN146" s="597"/>
      <c r="OBO146" s="597"/>
      <c r="OBP146" s="153"/>
      <c r="OBQ146" s="597"/>
      <c r="OBR146" s="597"/>
      <c r="OBS146" s="597"/>
      <c r="OBT146" s="153"/>
      <c r="OBU146" s="597"/>
      <c r="OBV146" s="597"/>
      <c r="OBW146" s="597"/>
      <c r="OBX146" s="153"/>
      <c r="OBY146" s="597"/>
      <c r="OBZ146" s="597"/>
      <c r="OCA146" s="597"/>
      <c r="OCB146" s="153"/>
      <c r="OCC146" s="597"/>
      <c r="OCD146" s="597"/>
      <c r="OCE146" s="597"/>
      <c r="OCF146" s="153"/>
      <c r="OCG146" s="597"/>
      <c r="OCH146" s="597"/>
      <c r="OCI146" s="597"/>
      <c r="OCJ146" s="153"/>
      <c r="OCK146" s="597"/>
      <c r="OCL146" s="597"/>
      <c r="OCM146" s="597"/>
      <c r="OCN146" s="153"/>
      <c r="OCO146" s="597"/>
      <c r="OCP146" s="597"/>
      <c r="OCQ146" s="597"/>
      <c r="OCR146" s="153"/>
      <c r="OCS146" s="597"/>
      <c r="OCT146" s="597"/>
      <c r="OCU146" s="597"/>
      <c r="OCV146" s="153"/>
      <c r="OCW146" s="597"/>
      <c r="OCX146" s="597"/>
      <c r="OCY146" s="597"/>
      <c r="OCZ146" s="153"/>
      <c r="ODA146" s="597"/>
      <c r="ODB146" s="597"/>
      <c r="ODC146" s="597"/>
      <c r="ODD146" s="153"/>
      <c r="ODE146" s="597"/>
      <c r="ODF146" s="597"/>
      <c r="ODG146" s="597"/>
      <c r="ODH146" s="153"/>
      <c r="ODI146" s="597"/>
      <c r="ODJ146" s="597"/>
      <c r="ODK146" s="597"/>
      <c r="ODL146" s="153"/>
      <c r="ODM146" s="597"/>
      <c r="ODN146" s="597"/>
      <c r="ODO146" s="597"/>
      <c r="ODP146" s="153"/>
      <c r="ODQ146" s="597"/>
      <c r="ODR146" s="597"/>
      <c r="ODS146" s="597"/>
      <c r="ODT146" s="153"/>
      <c r="ODU146" s="597"/>
      <c r="ODV146" s="597"/>
      <c r="ODW146" s="597"/>
      <c r="ODX146" s="153"/>
      <c r="ODY146" s="597"/>
      <c r="ODZ146" s="597"/>
      <c r="OEA146" s="597"/>
      <c r="OEB146" s="153"/>
      <c r="OEC146" s="597"/>
      <c r="OED146" s="597"/>
      <c r="OEE146" s="597"/>
      <c r="OEF146" s="153"/>
      <c r="OEG146" s="597"/>
      <c r="OEH146" s="597"/>
      <c r="OEI146" s="597"/>
      <c r="OEJ146" s="153"/>
      <c r="OEK146" s="597"/>
      <c r="OEL146" s="597"/>
      <c r="OEM146" s="597"/>
      <c r="OEN146" s="153"/>
      <c r="OEO146" s="597"/>
      <c r="OEP146" s="597"/>
      <c r="OEQ146" s="597"/>
      <c r="OER146" s="153"/>
      <c r="OES146" s="597"/>
      <c r="OET146" s="597"/>
      <c r="OEU146" s="597"/>
      <c r="OEV146" s="153"/>
      <c r="OEW146" s="597"/>
      <c r="OEX146" s="597"/>
      <c r="OEY146" s="597"/>
      <c r="OEZ146" s="153"/>
      <c r="OFA146" s="597"/>
      <c r="OFB146" s="597"/>
      <c r="OFC146" s="597"/>
      <c r="OFD146" s="153"/>
      <c r="OFE146" s="597"/>
      <c r="OFF146" s="597"/>
      <c r="OFG146" s="597"/>
      <c r="OFH146" s="153"/>
      <c r="OFI146" s="597"/>
      <c r="OFJ146" s="597"/>
      <c r="OFK146" s="597"/>
      <c r="OFL146" s="153"/>
      <c r="OFM146" s="597"/>
      <c r="OFN146" s="597"/>
      <c r="OFO146" s="597"/>
      <c r="OFP146" s="153"/>
      <c r="OFQ146" s="597"/>
      <c r="OFR146" s="597"/>
      <c r="OFS146" s="597"/>
      <c r="OFT146" s="153"/>
      <c r="OFU146" s="597"/>
      <c r="OFV146" s="597"/>
      <c r="OFW146" s="597"/>
      <c r="OFX146" s="153"/>
      <c r="OFY146" s="597"/>
      <c r="OFZ146" s="597"/>
      <c r="OGA146" s="597"/>
      <c r="OGB146" s="153"/>
      <c r="OGC146" s="597"/>
      <c r="OGD146" s="597"/>
      <c r="OGE146" s="597"/>
      <c r="OGF146" s="153"/>
      <c r="OGG146" s="597"/>
      <c r="OGH146" s="597"/>
      <c r="OGI146" s="597"/>
      <c r="OGJ146" s="153"/>
      <c r="OGK146" s="597"/>
      <c r="OGL146" s="597"/>
      <c r="OGM146" s="597"/>
      <c r="OGN146" s="153"/>
      <c r="OGO146" s="597"/>
      <c r="OGP146" s="597"/>
      <c r="OGQ146" s="597"/>
      <c r="OGR146" s="153"/>
      <c r="OGS146" s="597"/>
      <c r="OGT146" s="597"/>
      <c r="OGU146" s="597"/>
      <c r="OGV146" s="153"/>
      <c r="OGW146" s="597"/>
      <c r="OGX146" s="597"/>
      <c r="OGY146" s="597"/>
      <c r="OGZ146" s="153"/>
      <c r="OHA146" s="597"/>
      <c r="OHB146" s="597"/>
      <c r="OHC146" s="597"/>
      <c r="OHD146" s="153"/>
      <c r="OHE146" s="597"/>
      <c r="OHF146" s="597"/>
      <c r="OHG146" s="597"/>
      <c r="OHH146" s="153"/>
      <c r="OHI146" s="597"/>
      <c r="OHJ146" s="597"/>
      <c r="OHK146" s="597"/>
      <c r="OHL146" s="153"/>
      <c r="OHM146" s="597"/>
      <c r="OHN146" s="597"/>
      <c r="OHO146" s="597"/>
      <c r="OHP146" s="153"/>
      <c r="OHQ146" s="597"/>
      <c r="OHR146" s="597"/>
      <c r="OHS146" s="597"/>
      <c r="OHT146" s="153"/>
      <c r="OHU146" s="597"/>
      <c r="OHV146" s="597"/>
      <c r="OHW146" s="597"/>
      <c r="OHX146" s="153"/>
      <c r="OHY146" s="597"/>
      <c r="OHZ146" s="597"/>
      <c r="OIA146" s="597"/>
      <c r="OIB146" s="153"/>
      <c r="OIC146" s="597"/>
      <c r="OID146" s="597"/>
      <c r="OIE146" s="597"/>
      <c r="OIF146" s="153"/>
      <c r="OIG146" s="597"/>
      <c r="OIH146" s="597"/>
      <c r="OII146" s="597"/>
      <c r="OIJ146" s="153"/>
      <c r="OIK146" s="597"/>
      <c r="OIL146" s="597"/>
      <c r="OIM146" s="597"/>
      <c r="OIN146" s="153"/>
      <c r="OIO146" s="597"/>
      <c r="OIP146" s="597"/>
      <c r="OIQ146" s="597"/>
      <c r="OIR146" s="153"/>
      <c r="OIS146" s="597"/>
      <c r="OIT146" s="597"/>
      <c r="OIU146" s="597"/>
      <c r="OIV146" s="153"/>
      <c r="OIW146" s="597"/>
      <c r="OIX146" s="597"/>
      <c r="OIY146" s="597"/>
      <c r="OIZ146" s="153"/>
      <c r="OJA146" s="597"/>
      <c r="OJB146" s="597"/>
      <c r="OJC146" s="597"/>
      <c r="OJD146" s="153"/>
      <c r="OJE146" s="597"/>
      <c r="OJF146" s="597"/>
      <c r="OJG146" s="597"/>
      <c r="OJH146" s="153"/>
      <c r="OJI146" s="597"/>
      <c r="OJJ146" s="597"/>
      <c r="OJK146" s="597"/>
      <c r="OJL146" s="153"/>
      <c r="OJM146" s="597"/>
      <c r="OJN146" s="597"/>
      <c r="OJO146" s="597"/>
      <c r="OJP146" s="153"/>
      <c r="OJQ146" s="597"/>
      <c r="OJR146" s="597"/>
      <c r="OJS146" s="597"/>
      <c r="OJT146" s="153"/>
      <c r="OJU146" s="597"/>
      <c r="OJV146" s="597"/>
      <c r="OJW146" s="597"/>
      <c r="OJX146" s="153"/>
      <c r="OJY146" s="597"/>
      <c r="OJZ146" s="597"/>
      <c r="OKA146" s="597"/>
      <c r="OKB146" s="153"/>
      <c r="OKC146" s="597"/>
      <c r="OKD146" s="597"/>
      <c r="OKE146" s="597"/>
      <c r="OKF146" s="153"/>
      <c r="OKG146" s="597"/>
      <c r="OKH146" s="597"/>
      <c r="OKI146" s="597"/>
      <c r="OKJ146" s="153"/>
      <c r="OKK146" s="597"/>
      <c r="OKL146" s="597"/>
      <c r="OKM146" s="597"/>
      <c r="OKN146" s="153"/>
      <c r="OKO146" s="597"/>
      <c r="OKP146" s="597"/>
      <c r="OKQ146" s="597"/>
      <c r="OKR146" s="153"/>
      <c r="OKS146" s="597"/>
      <c r="OKT146" s="597"/>
      <c r="OKU146" s="597"/>
      <c r="OKV146" s="153"/>
      <c r="OKW146" s="597"/>
      <c r="OKX146" s="597"/>
      <c r="OKY146" s="597"/>
      <c r="OKZ146" s="153"/>
      <c r="OLA146" s="597"/>
      <c r="OLB146" s="597"/>
      <c r="OLC146" s="597"/>
      <c r="OLD146" s="153"/>
      <c r="OLE146" s="597"/>
      <c r="OLF146" s="597"/>
      <c r="OLG146" s="597"/>
      <c r="OLH146" s="153"/>
      <c r="OLI146" s="597"/>
      <c r="OLJ146" s="597"/>
      <c r="OLK146" s="597"/>
      <c r="OLL146" s="153"/>
      <c r="OLM146" s="597"/>
      <c r="OLN146" s="597"/>
      <c r="OLO146" s="597"/>
      <c r="OLP146" s="153"/>
      <c r="OLQ146" s="597"/>
      <c r="OLR146" s="597"/>
      <c r="OLS146" s="597"/>
      <c r="OLT146" s="153"/>
      <c r="OLU146" s="597"/>
      <c r="OLV146" s="597"/>
      <c r="OLW146" s="597"/>
      <c r="OLX146" s="153"/>
      <c r="OLY146" s="597"/>
      <c r="OLZ146" s="597"/>
      <c r="OMA146" s="597"/>
      <c r="OMB146" s="153"/>
      <c r="OMC146" s="597"/>
      <c r="OMD146" s="597"/>
      <c r="OME146" s="597"/>
      <c r="OMF146" s="153"/>
      <c r="OMG146" s="597"/>
      <c r="OMH146" s="597"/>
      <c r="OMI146" s="597"/>
      <c r="OMJ146" s="153"/>
      <c r="OMK146" s="597"/>
      <c r="OML146" s="597"/>
      <c r="OMM146" s="597"/>
      <c r="OMN146" s="153"/>
      <c r="OMO146" s="597"/>
      <c r="OMP146" s="597"/>
      <c r="OMQ146" s="597"/>
      <c r="OMR146" s="153"/>
      <c r="OMS146" s="597"/>
      <c r="OMT146" s="597"/>
      <c r="OMU146" s="597"/>
      <c r="OMV146" s="153"/>
      <c r="OMW146" s="597"/>
      <c r="OMX146" s="597"/>
      <c r="OMY146" s="597"/>
      <c r="OMZ146" s="153"/>
      <c r="ONA146" s="597"/>
      <c r="ONB146" s="597"/>
      <c r="ONC146" s="597"/>
      <c r="OND146" s="153"/>
      <c r="ONE146" s="597"/>
      <c r="ONF146" s="597"/>
      <c r="ONG146" s="597"/>
      <c r="ONH146" s="153"/>
      <c r="ONI146" s="597"/>
      <c r="ONJ146" s="597"/>
      <c r="ONK146" s="597"/>
      <c r="ONL146" s="153"/>
      <c r="ONM146" s="597"/>
      <c r="ONN146" s="597"/>
      <c r="ONO146" s="597"/>
      <c r="ONP146" s="153"/>
      <c r="ONQ146" s="597"/>
      <c r="ONR146" s="597"/>
      <c r="ONS146" s="597"/>
      <c r="ONT146" s="153"/>
      <c r="ONU146" s="597"/>
      <c r="ONV146" s="597"/>
      <c r="ONW146" s="597"/>
      <c r="ONX146" s="153"/>
      <c r="ONY146" s="597"/>
      <c r="ONZ146" s="597"/>
      <c r="OOA146" s="597"/>
      <c r="OOB146" s="153"/>
      <c r="OOC146" s="597"/>
      <c r="OOD146" s="597"/>
      <c r="OOE146" s="597"/>
      <c r="OOF146" s="153"/>
      <c r="OOG146" s="597"/>
      <c r="OOH146" s="597"/>
      <c r="OOI146" s="597"/>
      <c r="OOJ146" s="153"/>
      <c r="OOK146" s="597"/>
      <c r="OOL146" s="597"/>
      <c r="OOM146" s="597"/>
      <c r="OON146" s="153"/>
      <c r="OOO146" s="597"/>
      <c r="OOP146" s="597"/>
      <c r="OOQ146" s="597"/>
      <c r="OOR146" s="153"/>
      <c r="OOS146" s="597"/>
      <c r="OOT146" s="597"/>
      <c r="OOU146" s="597"/>
      <c r="OOV146" s="153"/>
      <c r="OOW146" s="597"/>
      <c r="OOX146" s="597"/>
      <c r="OOY146" s="597"/>
      <c r="OOZ146" s="153"/>
      <c r="OPA146" s="597"/>
      <c r="OPB146" s="597"/>
      <c r="OPC146" s="597"/>
      <c r="OPD146" s="153"/>
      <c r="OPE146" s="597"/>
      <c r="OPF146" s="597"/>
      <c r="OPG146" s="597"/>
      <c r="OPH146" s="153"/>
      <c r="OPI146" s="597"/>
      <c r="OPJ146" s="597"/>
      <c r="OPK146" s="597"/>
      <c r="OPL146" s="153"/>
      <c r="OPM146" s="597"/>
      <c r="OPN146" s="597"/>
      <c r="OPO146" s="597"/>
      <c r="OPP146" s="153"/>
      <c r="OPQ146" s="597"/>
      <c r="OPR146" s="597"/>
      <c r="OPS146" s="597"/>
      <c r="OPT146" s="153"/>
      <c r="OPU146" s="597"/>
      <c r="OPV146" s="597"/>
      <c r="OPW146" s="597"/>
      <c r="OPX146" s="153"/>
      <c r="OPY146" s="597"/>
      <c r="OPZ146" s="597"/>
      <c r="OQA146" s="597"/>
      <c r="OQB146" s="153"/>
      <c r="OQC146" s="597"/>
      <c r="OQD146" s="597"/>
      <c r="OQE146" s="597"/>
      <c r="OQF146" s="153"/>
      <c r="OQG146" s="597"/>
      <c r="OQH146" s="597"/>
      <c r="OQI146" s="597"/>
      <c r="OQJ146" s="153"/>
      <c r="OQK146" s="597"/>
      <c r="OQL146" s="597"/>
      <c r="OQM146" s="597"/>
      <c r="OQN146" s="153"/>
      <c r="OQO146" s="597"/>
      <c r="OQP146" s="597"/>
      <c r="OQQ146" s="597"/>
      <c r="OQR146" s="153"/>
      <c r="OQS146" s="597"/>
      <c r="OQT146" s="597"/>
      <c r="OQU146" s="597"/>
      <c r="OQV146" s="153"/>
      <c r="OQW146" s="597"/>
      <c r="OQX146" s="597"/>
      <c r="OQY146" s="597"/>
      <c r="OQZ146" s="153"/>
      <c r="ORA146" s="597"/>
      <c r="ORB146" s="597"/>
      <c r="ORC146" s="597"/>
      <c r="ORD146" s="153"/>
      <c r="ORE146" s="597"/>
      <c r="ORF146" s="597"/>
      <c r="ORG146" s="597"/>
      <c r="ORH146" s="153"/>
      <c r="ORI146" s="597"/>
      <c r="ORJ146" s="597"/>
      <c r="ORK146" s="597"/>
      <c r="ORL146" s="153"/>
      <c r="ORM146" s="597"/>
      <c r="ORN146" s="597"/>
      <c r="ORO146" s="597"/>
      <c r="ORP146" s="153"/>
      <c r="ORQ146" s="597"/>
      <c r="ORR146" s="597"/>
      <c r="ORS146" s="597"/>
      <c r="ORT146" s="153"/>
      <c r="ORU146" s="597"/>
      <c r="ORV146" s="597"/>
      <c r="ORW146" s="597"/>
      <c r="ORX146" s="153"/>
      <c r="ORY146" s="597"/>
      <c r="ORZ146" s="597"/>
      <c r="OSA146" s="597"/>
      <c r="OSB146" s="153"/>
      <c r="OSC146" s="597"/>
      <c r="OSD146" s="597"/>
      <c r="OSE146" s="597"/>
      <c r="OSF146" s="153"/>
      <c r="OSG146" s="597"/>
      <c r="OSH146" s="597"/>
      <c r="OSI146" s="597"/>
      <c r="OSJ146" s="153"/>
      <c r="OSK146" s="597"/>
      <c r="OSL146" s="597"/>
      <c r="OSM146" s="597"/>
      <c r="OSN146" s="153"/>
      <c r="OSO146" s="597"/>
      <c r="OSP146" s="597"/>
      <c r="OSQ146" s="597"/>
      <c r="OSR146" s="153"/>
      <c r="OSS146" s="597"/>
      <c r="OST146" s="597"/>
      <c r="OSU146" s="597"/>
      <c r="OSV146" s="153"/>
      <c r="OSW146" s="597"/>
      <c r="OSX146" s="597"/>
      <c r="OSY146" s="597"/>
      <c r="OSZ146" s="153"/>
      <c r="OTA146" s="597"/>
      <c r="OTB146" s="597"/>
      <c r="OTC146" s="597"/>
      <c r="OTD146" s="153"/>
      <c r="OTE146" s="597"/>
      <c r="OTF146" s="597"/>
      <c r="OTG146" s="597"/>
      <c r="OTH146" s="153"/>
      <c r="OTI146" s="597"/>
      <c r="OTJ146" s="597"/>
      <c r="OTK146" s="597"/>
      <c r="OTL146" s="153"/>
      <c r="OTM146" s="597"/>
      <c r="OTN146" s="597"/>
      <c r="OTO146" s="597"/>
      <c r="OTP146" s="153"/>
      <c r="OTQ146" s="597"/>
      <c r="OTR146" s="597"/>
      <c r="OTS146" s="597"/>
      <c r="OTT146" s="153"/>
      <c r="OTU146" s="597"/>
      <c r="OTV146" s="597"/>
      <c r="OTW146" s="597"/>
      <c r="OTX146" s="153"/>
      <c r="OTY146" s="597"/>
      <c r="OTZ146" s="597"/>
      <c r="OUA146" s="597"/>
      <c r="OUB146" s="153"/>
      <c r="OUC146" s="597"/>
      <c r="OUD146" s="597"/>
      <c r="OUE146" s="597"/>
      <c r="OUF146" s="153"/>
      <c r="OUG146" s="597"/>
      <c r="OUH146" s="597"/>
      <c r="OUI146" s="597"/>
      <c r="OUJ146" s="153"/>
      <c r="OUK146" s="597"/>
      <c r="OUL146" s="597"/>
      <c r="OUM146" s="597"/>
      <c r="OUN146" s="153"/>
      <c r="OUO146" s="597"/>
      <c r="OUP146" s="597"/>
      <c r="OUQ146" s="597"/>
      <c r="OUR146" s="153"/>
      <c r="OUS146" s="597"/>
      <c r="OUT146" s="597"/>
      <c r="OUU146" s="597"/>
      <c r="OUV146" s="153"/>
      <c r="OUW146" s="597"/>
      <c r="OUX146" s="597"/>
      <c r="OUY146" s="597"/>
      <c r="OUZ146" s="153"/>
      <c r="OVA146" s="597"/>
      <c r="OVB146" s="597"/>
      <c r="OVC146" s="597"/>
      <c r="OVD146" s="153"/>
      <c r="OVE146" s="597"/>
      <c r="OVF146" s="597"/>
      <c r="OVG146" s="597"/>
      <c r="OVH146" s="153"/>
      <c r="OVI146" s="597"/>
      <c r="OVJ146" s="597"/>
      <c r="OVK146" s="597"/>
      <c r="OVL146" s="153"/>
      <c r="OVM146" s="597"/>
      <c r="OVN146" s="597"/>
      <c r="OVO146" s="597"/>
      <c r="OVP146" s="153"/>
      <c r="OVQ146" s="597"/>
      <c r="OVR146" s="597"/>
      <c r="OVS146" s="597"/>
      <c r="OVT146" s="153"/>
      <c r="OVU146" s="597"/>
      <c r="OVV146" s="597"/>
      <c r="OVW146" s="597"/>
      <c r="OVX146" s="153"/>
      <c r="OVY146" s="597"/>
      <c r="OVZ146" s="597"/>
      <c r="OWA146" s="597"/>
      <c r="OWB146" s="153"/>
      <c r="OWC146" s="597"/>
      <c r="OWD146" s="597"/>
      <c r="OWE146" s="597"/>
      <c r="OWF146" s="153"/>
      <c r="OWG146" s="597"/>
      <c r="OWH146" s="597"/>
      <c r="OWI146" s="597"/>
      <c r="OWJ146" s="153"/>
      <c r="OWK146" s="597"/>
      <c r="OWL146" s="597"/>
      <c r="OWM146" s="597"/>
      <c r="OWN146" s="153"/>
      <c r="OWO146" s="597"/>
      <c r="OWP146" s="597"/>
      <c r="OWQ146" s="597"/>
      <c r="OWR146" s="153"/>
      <c r="OWS146" s="597"/>
      <c r="OWT146" s="597"/>
      <c r="OWU146" s="597"/>
      <c r="OWV146" s="153"/>
      <c r="OWW146" s="597"/>
      <c r="OWX146" s="597"/>
      <c r="OWY146" s="597"/>
      <c r="OWZ146" s="153"/>
      <c r="OXA146" s="597"/>
      <c r="OXB146" s="597"/>
      <c r="OXC146" s="597"/>
      <c r="OXD146" s="153"/>
      <c r="OXE146" s="597"/>
      <c r="OXF146" s="597"/>
      <c r="OXG146" s="597"/>
      <c r="OXH146" s="153"/>
      <c r="OXI146" s="597"/>
      <c r="OXJ146" s="597"/>
      <c r="OXK146" s="597"/>
      <c r="OXL146" s="153"/>
      <c r="OXM146" s="597"/>
      <c r="OXN146" s="597"/>
      <c r="OXO146" s="597"/>
      <c r="OXP146" s="153"/>
      <c r="OXQ146" s="597"/>
      <c r="OXR146" s="597"/>
      <c r="OXS146" s="597"/>
      <c r="OXT146" s="153"/>
      <c r="OXU146" s="597"/>
      <c r="OXV146" s="597"/>
      <c r="OXW146" s="597"/>
      <c r="OXX146" s="153"/>
      <c r="OXY146" s="597"/>
      <c r="OXZ146" s="597"/>
      <c r="OYA146" s="597"/>
      <c r="OYB146" s="153"/>
      <c r="OYC146" s="597"/>
      <c r="OYD146" s="597"/>
      <c r="OYE146" s="597"/>
      <c r="OYF146" s="153"/>
      <c r="OYG146" s="597"/>
      <c r="OYH146" s="597"/>
      <c r="OYI146" s="597"/>
      <c r="OYJ146" s="153"/>
      <c r="OYK146" s="597"/>
      <c r="OYL146" s="597"/>
      <c r="OYM146" s="597"/>
      <c r="OYN146" s="153"/>
      <c r="OYO146" s="597"/>
      <c r="OYP146" s="597"/>
      <c r="OYQ146" s="597"/>
      <c r="OYR146" s="153"/>
      <c r="OYS146" s="597"/>
      <c r="OYT146" s="597"/>
      <c r="OYU146" s="597"/>
      <c r="OYV146" s="153"/>
      <c r="OYW146" s="597"/>
      <c r="OYX146" s="597"/>
      <c r="OYY146" s="597"/>
      <c r="OYZ146" s="153"/>
      <c r="OZA146" s="597"/>
      <c r="OZB146" s="597"/>
      <c r="OZC146" s="597"/>
      <c r="OZD146" s="153"/>
      <c r="OZE146" s="597"/>
      <c r="OZF146" s="597"/>
      <c r="OZG146" s="597"/>
      <c r="OZH146" s="153"/>
      <c r="OZI146" s="597"/>
      <c r="OZJ146" s="597"/>
      <c r="OZK146" s="597"/>
      <c r="OZL146" s="153"/>
      <c r="OZM146" s="597"/>
      <c r="OZN146" s="597"/>
      <c r="OZO146" s="597"/>
      <c r="OZP146" s="153"/>
      <c r="OZQ146" s="597"/>
      <c r="OZR146" s="597"/>
      <c r="OZS146" s="597"/>
      <c r="OZT146" s="153"/>
      <c r="OZU146" s="597"/>
      <c r="OZV146" s="597"/>
      <c r="OZW146" s="597"/>
      <c r="OZX146" s="153"/>
      <c r="OZY146" s="597"/>
      <c r="OZZ146" s="597"/>
      <c r="PAA146" s="597"/>
      <c r="PAB146" s="153"/>
      <c r="PAC146" s="597"/>
      <c r="PAD146" s="597"/>
      <c r="PAE146" s="597"/>
      <c r="PAF146" s="153"/>
      <c r="PAG146" s="597"/>
      <c r="PAH146" s="597"/>
      <c r="PAI146" s="597"/>
      <c r="PAJ146" s="153"/>
      <c r="PAK146" s="597"/>
      <c r="PAL146" s="597"/>
      <c r="PAM146" s="597"/>
      <c r="PAN146" s="153"/>
      <c r="PAO146" s="597"/>
      <c r="PAP146" s="597"/>
      <c r="PAQ146" s="597"/>
      <c r="PAR146" s="153"/>
      <c r="PAS146" s="597"/>
      <c r="PAT146" s="597"/>
      <c r="PAU146" s="597"/>
      <c r="PAV146" s="153"/>
      <c r="PAW146" s="597"/>
      <c r="PAX146" s="597"/>
      <c r="PAY146" s="597"/>
      <c r="PAZ146" s="153"/>
      <c r="PBA146" s="597"/>
      <c r="PBB146" s="597"/>
      <c r="PBC146" s="597"/>
      <c r="PBD146" s="153"/>
      <c r="PBE146" s="597"/>
      <c r="PBF146" s="597"/>
      <c r="PBG146" s="597"/>
      <c r="PBH146" s="153"/>
      <c r="PBI146" s="597"/>
      <c r="PBJ146" s="597"/>
      <c r="PBK146" s="597"/>
      <c r="PBL146" s="153"/>
      <c r="PBM146" s="597"/>
      <c r="PBN146" s="597"/>
      <c r="PBO146" s="597"/>
      <c r="PBP146" s="153"/>
      <c r="PBQ146" s="597"/>
      <c r="PBR146" s="597"/>
      <c r="PBS146" s="597"/>
      <c r="PBT146" s="153"/>
      <c r="PBU146" s="597"/>
      <c r="PBV146" s="597"/>
      <c r="PBW146" s="597"/>
      <c r="PBX146" s="153"/>
      <c r="PBY146" s="597"/>
      <c r="PBZ146" s="597"/>
      <c r="PCA146" s="597"/>
      <c r="PCB146" s="153"/>
      <c r="PCC146" s="597"/>
      <c r="PCD146" s="597"/>
      <c r="PCE146" s="597"/>
      <c r="PCF146" s="153"/>
      <c r="PCG146" s="597"/>
      <c r="PCH146" s="597"/>
      <c r="PCI146" s="597"/>
      <c r="PCJ146" s="153"/>
      <c r="PCK146" s="597"/>
      <c r="PCL146" s="597"/>
      <c r="PCM146" s="597"/>
      <c r="PCN146" s="153"/>
      <c r="PCO146" s="597"/>
      <c r="PCP146" s="597"/>
      <c r="PCQ146" s="597"/>
      <c r="PCR146" s="153"/>
      <c r="PCS146" s="597"/>
      <c r="PCT146" s="597"/>
      <c r="PCU146" s="597"/>
      <c r="PCV146" s="153"/>
      <c r="PCW146" s="597"/>
      <c r="PCX146" s="597"/>
      <c r="PCY146" s="597"/>
      <c r="PCZ146" s="153"/>
      <c r="PDA146" s="597"/>
      <c r="PDB146" s="597"/>
      <c r="PDC146" s="597"/>
      <c r="PDD146" s="153"/>
      <c r="PDE146" s="597"/>
      <c r="PDF146" s="597"/>
      <c r="PDG146" s="597"/>
      <c r="PDH146" s="153"/>
      <c r="PDI146" s="597"/>
      <c r="PDJ146" s="597"/>
      <c r="PDK146" s="597"/>
      <c r="PDL146" s="153"/>
      <c r="PDM146" s="597"/>
      <c r="PDN146" s="597"/>
      <c r="PDO146" s="597"/>
      <c r="PDP146" s="153"/>
      <c r="PDQ146" s="597"/>
      <c r="PDR146" s="597"/>
      <c r="PDS146" s="597"/>
      <c r="PDT146" s="153"/>
      <c r="PDU146" s="597"/>
      <c r="PDV146" s="597"/>
      <c r="PDW146" s="597"/>
      <c r="PDX146" s="153"/>
      <c r="PDY146" s="597"/>
      <c r="PDZ146" s="597"/>
      <c r="PEA146" s="597"/>
      <c r="PEB146" s="153"/>
      <c r="PEC146" s="597"/>
      <c r="PED146" s="597"/>
      <c r="PEE146" s="597"/>
      <c r="PEF146" s="153"/>
      <c r="PEG146" s="597"/>
      <c r="PEH146" s="597"/>
      <c r="PEI146" s="597"/>
      <c r="PEJ146" s="153"/>
      <c r="PEK146" s="597"/>
      <c r="PEL146" s="597"/>
      <c r="PEM146" s="597"/>
      <c r="PEN146" s="153"/>
      <c r="PEO146" s="597"/>
      <c r="PEP146" s="597"/>
      <c r="PEQ146" s="597"/>
      <c r="PER146" s="153"/>
      <c r="PES146" s="597"/>
      <c r="PET146" s="597"/>
      <c r="PEU146" s="597"/>
      <c r="PEV146" s="153"/>
      <c r="PEW146" s="597"/>
      <c r="PEX146" s="597"/>
      <c r="PEY146" s="597"/>
      <c r="PEZ146" s="153"/>
      <c r="PFA146" s="597"/>
      <c r="PFB146" s="597"/>
      <c r="PFC146" s="597"/>
      <c r="PFD146" s="153"/>
      <c r="PFE146" s="597"/>
      <c r="PFF146" s="597"/>
      <c r="PFG146" s="597"/>
      <c r="PFH146" s="153"/>
      <c r="PFI146" s="597"/>
      <c r="PFJ146" s="597"/>
      <c r="PFK146" s="597"/>
      <c r="PFL146" s="153"/>
      <c r="PFM146" s="597"/>
      <c r="PFN146" s="597"/>
      <c r="PFO146" s="597"/>
      <c r="PFP146" s="153"/>
      <c r="PFQ146" s="597"/>
      <c r="PFR146" s="597"/>
      <c r="PFS146" s="597"/>
      <c r="PFT146" s="153"/>
      <c r="PFU146" s="597"/>
      <c r="PFV146" s="597"/>
      <c r="PFW146" s="597"/>
      <c r="PFX146" s="153"/>
      <c r="PFY146" s="597"/>
      <c r="PFZ146" s="597"/>
      <c r="PGA146" s="597"/>
      <c r="PGB146" s="153"/>
      <c r="PGC146" s="597"/>
      <c r="PGD146" s="597"/>
      <c r="PGE146" s="597"/>
      <c r="PGF146" s="153"/>
      <c r="PGG146" s="597"/>
      <c r="PGH146" s="597"/>
      <c r="PGI146" s="597"/>
      <c r="PGJ146" s="153"/>
      <c r="PGK146" s="597"/>
      <c r="PGL146" s="597"/>
      <c r="PGM146" s="597"/>
      <c r="PGN146" s="153"/>
      <c r="PGO146" s="597"/>
      <c r="PGP146" s="597"/>
      <c r="PGQ146" s="597"/>
      <c r="PGR146" s="153"/>
      <c r="PGS146" s="597"/>
      <c r="PGT146" s="597"/>
      <c r="PGU146" s="597"/>
      <c r="PGV146" s="153"/>
      <c r="PGW146" s="597"/>
      <c r="PGX146" s="597"/>
      <c r="PGY146" s="597"/>
      <c r="PGZ146" s="153"/>
      <c r="PHA146" s="597"/>
      <c r="PHB146" s="597"/>
      <c r="PHC146" s="597"/>
      <c r="PHD146" s="153"/>
      <c r="PHE146" s="597"/>
      <c r="PHF146" s="597"/>
      <c r="PHG146" s="597"/>
      <c r="PHH146" s="153"/>
      <c r="PHI146" s="597"/>
      <c r="PHJ146" s="597"/>
      <c r="PHK146" s="597"/>
      <c r="PHL146" s="153"/>
      <c r="PHM146" s="597"/>
      <c r="PHN146" s="597"/>
      <c r="PHO146" s="597"/>
      <c r="PHP146" s="153"/>
      <c r="PHQ146" s="597"/>
      <c r="PHR146" s="597"/>
      <c r="PHS146" s="597"/>
      <c r="PHT146" s="153"/>
      <c r="PHU146" s="597"/>
      <c r="PHV146" s="597"/>
      <c r="PHW146" s="597"/>
      <c r="PHX146" s="153"/>
      <c r="PHY146" s="597"/>
      <c r="PHZ146" s="597"/>
      <c r="PIA146" s="597"/>
      <c r="PIB146" s="153"/>
      <c r="PIC146" s="597"/>
      <c r="PID146" s="597"/>
      <c r="PIE146" s="597"/>
      <c r="PIF146" s="153"/>
      <c r="PIG146" s="597"/>
      <c r="PIH146" s="597"/>
      <c r="PII146" s="597"/>
      <c r="PIJ146" s="153"/>
      <c r="PIK146" s="597"/>
      <c r="PIL146" s="597"/>
      <c r="PIM146" s="597"/>
      <c r="PIN146" s="153"/>
      <c r="PIO146" s="597"/>
      <c r="PIP146" s="597"/>
      <c r="PIQ146" s="597"/>
      <c r="PIR146" s="153"/>
      <c r="PIS146" s="597"/>
      <c r="PIT146" s="597"/>
      <c r="PIU146" s="597"/>
      <c r="PIV146" s="153"/>
      <c r="PIW146" s="597"/>
      <c r="PIX146" s="597"/>
      <c r="PIY146" s="597"/>
      <c r="PIZ146" s="153"/>
      <c r="PJA146" s="597"/>
      <c r="PJB146" s="597"/>
      <c r="PJC146" s="597"/>
      <c r="PJD146" s="153"/>
      <c r="PJE146" s="597"/>
      <c r="PJF146" s="597"/>
      <c r="PJG146" s="597"/>
      <c r="PJH146" s="153"/>
      <c r="PJI146" s="597"/>
      <c r="PJJ146" s="597"/>
      <c r="PJK146" s="597"/>
      <c r="PJL146" s="153"/>
      <c r="PJM146" s="597"/>
      <c r="PJN146" s="597"/>
      <c r="PJO146" s="597"/>
      <c r="PJP146" s="153"/>
      <c r="PJQ146" s="597"/>
      <c r="PJR146" s="597"/>
      <c r="PJS146" s="597"/>
      <c r="PJT146" s="153"/>
      <c r="PJU146" s="597"/>
      <c r="PJV146" s="597"/>
      <c r="PJW146" s="597"/>
      <c r="PJX146" s="153"/>
      <c r="PJY146" s="597"/>
      <c r="PJZ146" s="597"/>
      <c r="PKA146" s="597"/>
      <c r="PKB146" s="153"/>
      <c r="PKC146" s="597"/>
      <c r="PKD146" s="597"/>
      <c r="PKE146" s="597"/>
      <c r="PKF146" s="153"/>
      <c r="PKG146" s="597"/>
      <c r="PKH146" s="597"/>
      <c r="PKI146" s="597"/>
      <c r="PKJ146" s="153"/>
      <c r="PKK146" s="597"/>
      <c r="PKL146" s="597"/>
      <c r="PKM146" s="597"/>
      <c r="PKN146" s="153"/>
      <c r="PKO146" s="597"/>
      <c r="PKP146" s="597"/>
      <c r="PKQ146" s="597"/>
      <c r="PKR146" s="153"/>
      <c r="PKS146" s="597"/>
      <c r="PKT146" s="597"/>
      <c r="PKU146" s="597"/>
      <c r="PKV146" s="153"/>
      <c r="PKW146" s="597"/>
      <c r="PKX146" s="597"/>
      <c r="PKY146" s="597"/>
      <c r="PKZ146" s="153"/>
      <c r="PLA146" s="597"/>
      <c r="PLB146" s="597"/>
      <c r="PLC146" s="597"/>
      <c r="PLD146" s="153"/>
      <c r="PLE146" s="597"/>
      <c r="PLF146" s="597"/>
      <c r="PLG146" s="597"/>
      <c r="PLH146" s="153"/>
      <c r="PLI146" s="597"/>
      <c r="PLJ146" s="597"/>
      <c r="PLK146" s="597"/>
      <c r="PLL146" s="153"/>
      <c r="PLM146" s="597"/>
      <c r="PLN146" s="597"/>
      <c r="PLO146" s="597"/>
      <c r="PLP146" s="153"/>
      <c r="PLQ146" s="597"/>
      <c r="PLR146" s="597"/>
      <c r="PLS146" s="597"/>
      <c r="PLT146" s="153"/>
      <c r="PLU146" s="597"/>
      <c r="PLV146" s="597"/>
      <c r="PLW146" s="597"/>
      <c r="PLX146" s="153"/>
      <c r="PLY146" s="597"/>
      <c r="PLZ146" s="597"/>
      <c r="PMA146" s="597"/>
      <c r="PMB146" s="153"/>
      <c r="PMC146" s="597"/>
      <c r="PMD146" s="597"/>
      <c r="PME146" s="597"/>
      <c r="PMF146" s="153"/>
      <c r="PMG146" s="597"/>
      <c r="PMH146" s="597"/>
      <c r="PMI146" s="597"/>
      <c r="PMJ146" s="153"/>
      <c r="PMK146" s="597"/>
      <c r="PML146" s="597"/>
      <c r="PMM146" s="597"/>
      <c r="PMN146" s="153"/>
      <c r="PMO146" s="597"/>
      <c r="PMP146" s="597"/>
      <c r="PMQ146" s="597"/>
      <c r="PMR146" s="153"/>
      <c r="PMS146" s="597"/>
      <c r="PMT146" s="597"/>
      <c r="PMU146" s="597"/>
      <c r="PMV146" s="153"/>
      <c r="PMW146" s="597"/>
      <c r="PMX146" s="597"/>
      <c r="PMY146" s="597"/>
      <c r="PMZ146" s="153"/>
      <c r="PNA146" s="597"/>
      <c r="PNB146" s="597"/>
      <c r="PNC146" s="597"/>
      <c r="PND146" s="153"/>
      <c r="PNE146" s="597"/>
      <c r="PNF146" s="597"/>
      <c r="PNG146" s="597"/>
      <c r="PNH146" s="153"/>
      <c r="PNI146" s="597"/>
      <c r="PNJ146" s="597"/>
      <c r="PNK146" s="597"/>
      <c r="PNL146" s="153"/>
      <c r="PNM146" s="597"/>
      <c r="PNN146" s="597"/>
      <c r="PNO146" s="597"/>
      <c r="PNP146" s="153"/>
      <c r="PNQ146" s="597"/>
      <c r="PNR146" s="597"/>
      <c r="PNS146" s="597"/>
      <c r="PNT146" s="153"/>
      <c r="PNU146" s="597"/>
      <c r="PNV146" s="597"/>
      <c r="PNW146" s="597"/>
      <c r="PNX146" s="153"/>
      <c r="PNY146" s="597"/>
      <c r="PNZ146" s="597"/>
      <c r="POA146" s="597"/>
      <c r="POB146" s="153"/>
      <c r="POC146" s="597"/>
      <c r="POD146" s="597"/>
      <c r="POE146" s="597"/>
      <c r="POF146" s="153"/>
      <c r="POG146" s="597"/>
      <c r="POH146" s="597"/>
      <c r="POI146" s="597"/>
      <c r="POJ146" s="153"/>
      <c r="POK146" s="597"/>
      <c r="POL146" s="597"/>
      <c r="POM146" s="597"/>
      <c r="PON146" s="153"/>
      <c r="POO146" s="597"/>
      <c r="POP146" s="597"/>
      <c r="POQ146" s="597"/>
      <c r="POR146" s="153"/>
      <c r="POS146" s="597"/>
      <c r="POT146" s="597"/>
      <c r="POU146" s="597"/>
      <c r="POV146" s="153"/>
      <c r="POW146" s="597"/>
      <c r="POX146" s="597"/>
      <c r="POY146" s="597"/>
      <c r="POZ146" s="153"/>
      <c r="PPA146" s="597"/>
      <c r="PPB146" s="597"/>
      <c r="PPC146" s="597"/>
      <c r="PPD146" s="153"/>
      <c r="PPE146" s="597"/>
      <c r="PPF146" s="597"/>
      <c r="PPG146" s="597"/>
      <c r="PPH146" s="153"/>
      <c r="PPI146" s="597"/>
      <c r="PPJ146" s="597"/>
      <c r="PPK146" s="597"/>
      <c r="PPL146" s="153"/>
      <c r="PPM146" s="597"/>
      <c r="PPN146" s="597"/>
      <c r="PPO146" s="597"/>
      <c r="PPP146" s="153"/>
      <c r="PPQ146" s="597"/>
      <c r="PPR146" s="597"/>
      <c r="PPS146" s="597"/>
      <c r="PPT146" s="153"/>
      <c r="PPU146" s="597"/>
      <c r="PPV146" s="597"/>
      <c r="PPW146" s="597"/>
      <c r="PPX146" s="153"/>
      <c r="PPY146" s="597"/>
      <c r="PPZ146" s="597"/>
      <c r="PQA146" s="597"/>
      <c r="PQB146" s="153"/>
      <c r="PQC146" s="597"/>
      <c r="PQD146" s="597"/>
      <c r="PQE146" s="597"/>
      <c r="PQF146" s="153"/>
      <c r="PQG146" s="597"/>
      <c r="PQH146" s="597"/>
      <c r="PQI146" s="597"/>
      <c r="PQJ146" s="153"/>
      <c r="PQK146" s="597"/>
      <c r="PQL146" s="597"/>
      <c r="PQM146" s="597"/>
      <c r="PQN146" s="153"/>
      <c r="PQO146" s="597"/>
      <c r="PQP146" s="597"/>
      <c r="PQQ146" s="597"/>
      <c r="PQR146" s="153"/>
      <c r="PQS146" s="597"/>
      <c r="PQT146" s="597"/>
      <c r="PQU146" s="597"/>
      <c r="PQV146" s="153"/>
      <c r="PQW146" s="597"/>
      <c r="PQX146" s="597"/>
      <c r="PQY146" s="597"/>
      <c r="PQZ146" s="153"/>
      <c r="PRA146" s="597"/>
      <c r="PRB146" s="597"/>
      <c r="PRC146" s="597"/>
      <c r="PRD146" s="153"/>
      <c r="PRE146" s="597"/>
      <c r="PRF146" s="597"/>
      <c r="PRG146" s="597"/>
      <c r="PRH146" s="153"/>
      <c r="PRI146" s="597"/>
      <c r="PRJ146" s="597"/>
      <c r="PRK146" s="597"/>
      <c r="PRL146" s="153"/>
      <c r="PRM146" s="597"/>
      <c r="PRN146" s="597"/>
      <c r="PRO146" s="597"/>
      <c r="PRP146" s="153"/>
      <c r="PRQ146" s="597"/>
      <c r="PRR146" s="597"/>
      <c r="PRS146" s="597"/>
      <c r="PRT146" s="153"/>
      <c r="PRU146" s="597"/>
      <c r="PRV146" s="597"/>
      <c r="PRW146" s="597"/>
      <c r="PRX146" s="153"/>
      <c r="PRY146" s="597"/>
      <c r="PRZ146" s="597"/>
      <c r="PSA146" s="597"/>
      <c r="PSB146" s="153"/>
      <c r="PSC146" s="597"/>
      <c r="PSD146" s="597"/>
      <c r="PSE146" s="597"/>
      <c r="PSF146" s="153"/>
      <c r="PSG146" s="597"/>
      <c r="PSH146" s="597"/>
      <c r="PSI146" s="597"/>
      <c r="PSJ146" s="153"/>
      <c r="PSK146" s="597"/>
      <c r="PSL146" s="597"/>
      <c r="PSM146" s="597"/>
      <c r="PSN146" s="153"/>
      <c r="PSO146" s="597"/>
      <c r="PSP146" s="597"/>
      <c r="PSQ146" s="597"/>
      <c r="PSR146" s="153"/>
      <c r="PSS146" s="597"/>
      <c r="PST146" s="597"/>
      <c r="PSU146" s="597"/>
      <c r="PSV146" s="153"/>
      <c r="PSW146" s="597"/>
      <c r="PSX146" s="597"/>
      <c r="PSY146" s="597"/>
      <c r="PSZ146" s="153"/>
      <c r="PTA146" s="597"/>
      <c r="PTB146" s="597"/>
      <c r="PTC146" s="597"/>
      <c r="PTD146" s="153"/>
      <c r="PTE146" s="597"/>
      <c r="PTF146" s="597"/>
      <c r="PTG146" s="597"/>
      <c r="PTH146" s="153"/>
      <c r="PTI146" s="597"/>
      <c r="PTJ146" s="597"/>
      <c r="PTK146" s="597"/>
      <c r="PTL146" s="153"/>
      <c r="PTM146" s="597"/>
      <c r="PTN146" s="597"/>
      <c r="PTO146" s="597"/>
      <c r="PTP146" s="153"/>
      <c r="PTQ146" s="597"/>
      <c r="PTR146" s="597"/>
      <c r="PTS146" s="597"/>
      <c r="PTT146" s="153"/>
      <c r="PTU146" s="597"/>
      <c r="PTV146" s="597"/>
      <c r="PTW146" s="597"/>
      <c r="PTX146" s="153"/>
      <c r="PTY146" s="597"/>
      <c r="PTZ146" s="597"/>
      <c r="PUA146" s="597"/>
      <c r="PUB146" s="153"/>
      <c r="PUC146" s="597"/>
      <c r="PUD146" s="597"/>
      <c r="PUE146" s="597"/>
      <c r="PUF146" s="153"/>
      <c r="PUG146" s="597"/>
      <c r="PUH146" s="597"/>
      <c r="PUI146" s="597"/>
      <c r="PUJ146" s="153"/>
      <c r="PUK146" s="597"/>
      <c r="PUL146" s="597"/>
      <c r="PUM146" s="597"/>
      <c r="PUN146" s="153"/>
      <c r="PUO146" s="597"/>
      <c r="PUP146" s="597"/>
      <c r="PUQ146" s="597"/>
      <c r="PUR146" s="153"/>
      <c r="PUS146" s="597"/>
      <c r="PUT146" s="597"/>
      <c r="PUU146" s="597"/>
      <c r="PUV146" s="153"/>
      <c r="PUW146" s="597"/>
      <c r="PUX146" s="597"/>
      <c r="PUY146" s="597"/>
      <c r="PUZ146" s="153"/>
      <c r="PVA146" s="597"/>
      <c r="PVB146" s="597"/>
      <c r="PVC146" s="597"/>
      <c r="PVD146" s="153"/>
      <c r="PVE146" s="597"/>
      <c r="PVF146" s="597"/>
      <c r="PVG146" s="597"/>
      <c r="PVH146" s="153"/>
      <c r="PVI146" s="597"/>
      <c r="PVJ146" s="597"/>
      <c r="PVK146" s="597"/>
      <c r="PVL146" s="153"/>
      <c r="PVM146" s="597"/>
      <c r="PVN146" s="597"/>
      <c r="PVO146" s="597"/>
      <c r="PVP146" s="153"/>
      <c r="PVQ146" s="597"/>
      <c r="PVR146" s="597"/>
      <c r="PVS146" s="597"/>
      <c r="PVT146" s="153"/>
      <c r="PVU146" s="597"/>
      <c r="PVV146" s="597"/>
      <c r="PVW146" s="597"/>
      <c r="PVX146" s="153"/>
      <c r="PVY146" s="597"/>
      <c r="PVZ146" s="597"/>
      <c r="PWA146" s="597"/>
      <c r="PWB146" s="153"/>
      <c r="PWC146" s="597"/>
      <c r="PWD146" s="597"/>
      <c r="PWE146" s="597"/>
      <c r="PWF146" s="153"/>
      <c r="PWG146" s="597"/>
      <c r="PWH146" s="597"/>
      <c r="PWI146" s="597"/>
      <c r="PWJ146" s="153"/>
      <c r="PWK146" s="597"/>
      <c r="PWL146" s="597"/>
      <c r="PWM146" s="597"/>
      <c r="PWN146" s="153"/>
      <c r="PWO146" s="597"/>
      <c r="PWP146" s="597"/>
      <c r="PWQ146" s="597"/>
      <c r="PWR146" s="153"/>
      <c r="PWS146" s="597"/>
      <c r="PWT146" s="597"/>
      <c r="PWU146" s="597"/>
      <c r="PWV146" s="153"/>
      <c r="PWW146" s="597"/>
      <c r="PWX146" s="597"/>
      <c r="PWY146" s="597"/>
      <c r="PWZ146" s="153"/>
      <c r="PXA146" s="597"/>
      <c r="PXB146" s="597"/>
      <c r="PXC146" s="597"/>
      <c r="PXD146" s="153"/>
      <c r="PXE146" s="597"/>
      <c r="PXF146" s="597"/>
      <c r="PXG146" s="597"/>
      <c r="PXH146" s="153"/>
      <c r="PXI146" s="597"/>
      <c r="PXJ146" s="597"/>
      <c r="PXK146" s="597"/>
      <c r="PXL146" s="153"/>
      <c r="PXM146" s="597"/>
      <c r="PXN146" s="597"/>
      <c r="PXO146" s="597"/>
      <c r="PXP146" s="153"/>
      <c r="PXQ146" s="597"/>
      <c r="PXR146" s="597"/>
      <c r="PXS146" s="597"/>
      <c r="PXT146" s="153"/>
      <c r="PXU146" s="597"/>
      <c r="PXV146" s="597"/>
      <c r="PXW146" s="597"/>
      <c r="PXX146" s="153"/>
      <c r="PXY146" s="597"/>
      <c r="PXZ146" s="597"/>
      <c r="PYA146" s="597"/>
      <c r="PYB146" s="153"/>
      <c r="PYC146" s="597"/>
      <c r="PYD146" s="597"/>
      <c r="PYE146" s="597"/>
      <c r="PYF146" s="153"/>
      <c r="PYG146" s="597"/>
      <c r="PYH146" s="597"/>
      <c r="PYI146" s="597"/>
      <c r="PYJ146" s="153"/>
      <c r="PYK146" s="597"/>
      <c r="PYL146" s="597"/>
      <c r="PYM146" s="597"/>
      <c r="PYN146" s="153"/>
      <c r="PYO146" s="597"/>
      <c r="PYP146" s="597"/>
      <c r="PYQ146" s="597"/>
      <c r="PYR146" s="153"/>
      <c r="PYS146" s="597"/>
      <c r="PYT146" s="597"/>
      <c r="PYU146" s="597"/>
      <c r="PYV146" s="153"/>
      <c r="PYW146" s="597"/>
      <c r="PYX146" s="597"/>
      <c r="PYY146" s="597"/>
      <c r="PYZ146" s="153"/>
      <c r="PZA146" s="597"/>
      <c r="PZB146" s="597"/>
      <c r="PZC146" s="597"/>
      <c r="PZD146" s="153"/>
      <c r="PZE146" s="597"/>
      <c r="PZF146" s="597"/>
      <c r="PZG146" s="597"/>
      <c r="PZH146" s="153"/>
      <c r="PZI146" s="597"/>
      <c r="PZJ146" s="597"/>
      <c r="PZK146" s="597"/>
      <c r="PZL146" s="153"/>
      <c r="PZM146" s="597"/>
      <c r="PZN146" s="597"/>
      <c r="PZO146" s="597"/>
      <c r="PZP146" s="153"/>
      <c r="PZQ146" s="597"/>
      <c r="PZR146" s="597"/>
      <c r="PZS146" s="597"/>
      <c r="PZT146" s="153"/>
      <c r="PZU146" s="597"/>
      <c r="PZV146" s="597"/>
      <c r="PZW146" s="597"/>
      <c r="PZX146" s="153"/>
      <c r="PZY146" s="597"/>
      <c r="PZZ146" s="597"/>
      <c r="QAA146" s="597"/>
      <c r="QAB146" s="153"/>
      <c r="QAC146" s="597"/>
      <c r="QAD146" s="597"/>
      <c r="QAE146" s="597"/>
      <c r="QAF146" s="153"/>
      <c r="QAG146" s="597"/>
      <c r="QAH146" s="597"/>
      <c r="QAI146" s="597"/>
      <c r="QAJ146" s="153"/>
      <c r="QAK146" s="597"/>
      <c r="QAL146" s="597"/>
      <c r="QAM146" s="597"/>
      <c r="QAN146" s="153"/>
      <c r="QAO146" s="597"/>
      <c r="QAP146" s="597"/>
      <c r="QAQ146" s="597"/>
      <c r="QAR146" s="153"/>
      <c r="QAS146" s="597"/>
      <c r="QAT146" s="597"/>
      <c r="QAU146" s="597"/>
      <c r="QAV146" s="153"/>
      <c r="QAW146" s="597"/>
      <c r="QAX146" s="597"/>
      <c r="QAY146" s="597"/>
      <c r="QAZ146" s="153"/>
      <c r="QBA146" s="597"/>
      <c r="QBB146" s="597"/>
      <c r="QBC146" s="597"/>
      <c r="QBD146" s="153"/>
      <c r="QBE146" s="597"/>
      <c r="QBF146" s="597"/>
      <c r="QBG146" s="597"/>
      <c r="QBH146" s="153"/>
      <c r="QBI146" s="597"/>
      <c r="QBJ146" s="597"/>
      <c r="QBK146" s="597"/>
      <c r="QBL146" s="153"/>
      <c r="QBM146" s="597"/>
      <c r="QBN146" s="597"/>
      <c r="QBO146" s="597"/>
      <c r="QBP146" s="153"/>
      <c r="QBQ146" s="597"/>
      <c r="QBR146" s="597"/>
      <c r="QBS146" s="597"/>
      <c r="QBT146" s="153"/>
      <c r="QBU146" s="597"/>
      <c r="QBV146" s="597"/>
      <c r="QBW146" s="597"/>
      <c r="QBX146" s="153"/>
      <c r="QBY146" s="597"/>
      <c r="QBZ146" s="597"/>
      <c r="QCA146" s="597"/>
      <c r="QCB146" s="153"/>
      <c r="QCC146" s="597"/>
      <c r="QCD146" s="597"/>
      <c r="QCE146" s="597"/>
      <c r="QCF146" s="153"/>
      <c r="QCG146" s="597"/>
      <c r="QCH146" s="597"/>
      <c r="QCI146" s="597"/>
      <c r="QCJ146" s="153"/>
      <c r="QCK146" s="597"/>
      <c r="QCL146" s="597"/>
      <c r="QCM146" s="597"/>
      <c r="QCN146" s="153"/>
      <c r="QCO146" s="597"/>
      <c r="QCP146" s="597"/>
      <c r="QCQ146" s="597"/>
      <c r="QCR146" s="153"/>
      <c r="QCS146" s="597"/>
      <c r="QCT146" s="597"/>
      <c r="QCU146" s="597"/>
      <c r="QCV146" s="153"/>
      <c r="QCW146" s="597"/>
      <c r="QCX146" s="597"/>
      <c r="QCY146" s="597"/>
      <c r="QCZ146" s="153"/>
      <c r="QDA146" s="597"/>
      <c r="QDB146" s="597"/>
      <c r="QDC146" s="597"/>
      <c r="QDD146" s="153"/>
      <c r="QDE146" s="597"/>
      <c r="QDF146" s="597"/>
      <c r="QDG146" s="597"/>
      <c r="QDH146" s="153"/>
      <c r="QDI146" s="597"/>
      <c r="QDJ146" s="597"/>
      <c r="QDK146" s="597"/>
      <c r="QDL146" s="153"/>
      <c r="QDM146" s="597"/>
      <c r="QDN146" s="597"/>
      <c r="QDO146" s="597"/>
      <c r="QDP146" s="153"/>
      <c r="QDQ146" s="597"/>
      <c r="QDR146" s="597"/>
      <c r="QDS146" s="597"/>
      <c r="QDT146" s="153"/>
      <c r="QDU146" s="597"/>
      <c r="QDV146" s="597"/>
      <c r="QDW146" s="597"/>
      <c r="QDX146" s="153"/>
      <c r="QDY146" s="597"/>
      <c r="QDZ146" s="597"/>
      <c r="QEA146" s="597"/>
      <c r="QEB146" s="153"/>
      <c r="QEC146" s="597"/>
      <c r="QED146" s="597"/>
      <c r="QEE146" s="597"/>
      <c r="QEF146" s="153"/>
      <c r="QEG146" s="597"/>
      <c r="QEH146" s="597"/>
      <c r="QEI146" s="597"/>
      <c r="QEJ146" s="153"/>
      <c r="QEK146" s="597"/>
      <c r="QEL146" s="597"/>
      <c r="QEM146" s="597"/>
      <c r="QEN146" s="153"/>
      <c r="QEO146" s="597"/>
      <c r="QEP146" s="597"/>
      <c r="QEQ146" s="597"/>
      <c r="QER146" s="153"/>
      <c r="QES146" s="597"/>
      <c r="QET146" s="597"/>
      <c r="QEU146" s="597"/>
      <c r="QEV146" s="153"/>
      <c r="QEW146" s="597"/>
      <c r="QEX146" s="597"/>
      <c r="QEY146" s="597"/>
      <c r="QEZ146" s="153"/>
      <c r="QFA146" s="597"/>
      <c r="QFB146" s="597"/>
      <c r="QFC146" s="597"/>
      <c r="QFD146" s="153"/>
      <c r="QFE146" s="597"/>
      <c r="QFF146" s="597"/>
      <c r="QFG146" s="597"/>
      <c r="QFH146" s="153"/>
      <c r="QFI146" s="597"/>
      <c r="QFJ146" s="597"/>
      <c r="QFK146" s="597"/>
      <c r="QFL146" s="153"/>
      <c r="QFM146" s="597"/>
      <c r="QFN146" s="597"/>
      <c r="QFO146" s="597"/>
      <c r="QFP146" s="153"/>
      <c r="QFQ146" s="597"/>
      <c r="QFR146" s="597"/>
      <c r="QFS146" s="597"/>
      <c r="QFT146" s="153"/>
      <c r="QFU146" s="597"/>
      <c r="QFV146" s="597"/>
      <c r="QFW146" s="597"/>
      <c r="QFX146" s="153"/>
      <c r="QFY146" s="597"/>
      <c r="QFZ146" s="597"/>
      <c r="QGA146" s="597"/>
      <c r="QGB146" s="153"/>
      <c r="QGC146" s="597"/>
      <c r="QGD146" s="597"/>
      <c r="QGE146" s="597"/>
      <c r="QGF146" s="153"/>
      <c r="QGG146" s="597"/>
      <c r="QGH146" s="597"/>
      <c r="QGI146" s="597"/>
      <c r="QGJ146" s="153"/>
      <c r="QGK146" s="597"/>
      <c r="QGL146" s="597"/>
      <c r="QGM146" s="597"/>
      <c r="QGN146" s="153"/>
      <c r="QGO146" s="597"/>
      <c r="QGP146" s="597"/>
      <c r="QGQ146" s="597"/>
      <c r="QGR146" s="153"/>
      <c r="QGS146" s="597"/>
      <c r="QGT146" s="597"/>
      <c r="QGU146" s="597"/>
      <c r="QGV146" s="153"/>
      <c r="QGW146" s="597"/>
      <c r="QGX146" s="597"/>
      <c r="QGY146" s="597"/>
      <c r="QGZ146" s="153"/>
      <c r="QHA146" s="597"/>
      <c r="QHB146" s="597"/>
      <c r="QHC146" s="597"/>
      <c r="QHD146" s="153"/>
      <c r="QHE146" s="597"/>
      <c r="QHF146" s="597"/>
      <c r="QHG146" s="597"/>
      <c r="QHH146" s="153"/>
      <c r="QHI146" s="597"/>
      <c r="QHJ146" s="597"/>
      <c r="QHK146" s="597"/>
      <c r="QHL146" s="153"/>
      <c r="QHM146" s="597"/>
      <c r="QHN146" s="597"/>
      <c r="QHO146" s="597"/>
      <c r="QHP146" s="153"/>
      <c r="QHQ146" s="597"/>
      <c r="QHR146" s="597"/>
      <c r="QHS146" s="597"/>
      <c r="QHT146" s="153"/>
      <c r="QHU146" s="597"/>
      <c r="QHV146" s="597"/>
      <c r="QHW146" s="597"/>
      <c r="QHX146" s="153"/>
      <c r="QHY146" s="597"/>
      <c r="QHZ146" s="597"/>
      <c r="QIA146" s="597"/>
      <c r="QIB146" s="153"/>
      <c r="QIC146" s="597"/>
      <c r="QID146" s="597"/>
      <c r="QIE146" s="597"/>
      <c r="QIF146" s="153"/>
      <c r="QIG146" s="597"/>
      <c r="QIH146" s="597"/>
      <c r="QII146" s="597"/>
      <c r="QIJ146" s="153"/>
      <c r="QIK146" s="597"/>
      <c r="QIL146" s="597"/>
      <c r="QIM146" s="597"/>
      <c r="QIN146" s="153"/>
      <c r="QIO146" s="597"/>
      <c r="QIP146" s="597"/>
      <c r="QIQ146" s="597"/>
      <c r="QIR146" s="153"/>
      <c r="QIS146" s="597"/>
      <c r="QIT146" s="597"/>
      <c r="QIU146" s="597"/>
      <c r="QIV146" s="153"/>
      <c r="QIW146" s="597"/>
      <c r="QIX146" s="597"/>
      <c r="QIY146" s="597"/>
      <c r="QIZ146" s="153"/>
      <c r="QJA146" s="597"/>
      <c r="QJB146" s="597"/>
      <c r="QJC146" s="597"/>
      <c r="QJD146" s="153"/>
      <c r="QJE146" s="597"/>
      <c r="QJF146" s="597"/>
      <c r="QJG146" s="597"/>
      <c r="QJH146" s="153"/>
      <c r="QJI146" s="597"/>
      <c r="QJJ146" s="597"/>
      <c r="QJK146" s="597"/>
      <c r="QJL146" s="153"/>
      <c r="QJM146" s="597"/>
      <c r="QJN146" s="597"/>
      <c r="QJO146" s="597"/>
      <c r="QJP146" s="153"/>
      <c r="QJQ146" s="597"/>
      <c r="QJR146" s="597"/>
      <c r="QJS146" s="597"/>
      <c r="QJT146" s="153"/>
      <c r="QJU146" s="597"/>
      <c r="QJV146" s="597"/>
      <c r="QJW146" s="597"/>
      <c r="QJX146" s="153"/>
      <c r="QJY146" s="597"/>
      <c r="QJZ146" s="597"/>
      <c r="QKA146" s="597"/>
      <c r="QKB146" s="153"/>
      <c r="QKC146" s="597"/>
      <c r="QKD146" s="597"/>
      <c r="QKE146" s="597"/>
      <c r="QKF146" s="153"/>
      <c r="QKG146" s="597"/>
      <c r="QKH146" s="597"/>
      <c r="QKI146" s="597"/>
      <c r="QKJ146" s="153"/>
      <c r="QKK146" s="597"/>
      <c r="QKL146" s="597"/>
      <c r="QKM146" s="597"/>
      <c r="QKN146" s="153"/>
      <c r="QKO146" s="597"/>
      <c r="QKP146" s="597"/>
      <c r="QKQ146" s="597"/>
      <c r="QKR146" s="153"/>
      <c r="QKS146" s="597"/>
      <c r="QKT146" s="597"/>
      <c r="QKU146" s="597"/>
      <c r="QKV146" s="153"/>
      <c r="QKW146" s="597"/>
      <c r="QKX146" s="597"/>
      <c r="QKY146" s="597"/>
      <c r="QKZ146" s="153"/>
      <c r="QLA146" s="597"/>
      <c r="QLB146" s="597"/>
      <c r="QLC146" s="597"/>
      <c r="QLD146" s="153"/>
      <c r="QLE146" s="597"/>
      <c r="QLF146" s="597"/>
      <c r="QLG146" s="597"/>
      <c r="QLH146" s="153"/>
      <c r="QLI146" s="597"/>
      <c r="QLJ146" s="597"/>
      <c r="QLK146" s="597"/>
      <c r="QLL146" s="153"/>
      <c r="QLM146" s="597"/>
      <c r="QLN146" s="597"/>
      <c r="QLO146" s="597"/>
      <c r="QLP146" s="153"/>
      <c r="QLQ146" s="597"/>
      <c r="QLR146" s="597"/>
      <c r="QLS146" s="597"/>
      <c r="QLT146" s="153"/>
      <c r="QLU146" s="597"/>
      <c r="QLV146" s="597"/>
      <c r="QLW146" s="597"/>
      <c r="QLX146" s="153"/>
      <c r="QLY146" s="597"/>
      <c r="QLZ146" s="597"/>
      <c r="QMA146" s="597"/>
      <c r="QMB146" s="153"/>
      <c r="QMC146" s="597"/>
      <c r="QMD146" s="597"/>
      <c r="QME146" s="597"/>
      <c r="QMF146" s="153"/>
      <c r="QMG146" s="597"/>
      <c r="QMH146" s="597"/>
      <c r="QMI146" s="597"/>
      <c r="QMJ146" s="153"/>
      <c r="QMK146" s="597"/>
      <c r="QML146" s="597"/>
      <c r="QMM146" s="597"/>
      <c r="QMN146" s="153"/>
      <c r="QMO146" s="597"/>
      <c r="QMP146" s="597"/>
      <c r="QMQ146" s="597"/>
      <c r="QMR146" s="153"/>
      <c r="QMS146" s="597"/>
      <c r="QMT146" s="597"/>
      <c r="QMU146" s="597"/>
      <c r="QMV146" s="153"/>
      <c r="QMW146" s="597"/>
      <c r="QMX146" s="597"/>
      <c r="QMY146" s="597"/>
      <c r="QMZ146" s="153"/>
      <c r="QNA146" s="597"/>
      <c r="QNB146" s="597"/>
      <c r="QNC146" s="597"/>
      <c r="QND146" s="153"/>
      <c r="QNE146" s="597"/>
      <c r="QNF146" s="597"/>
      <c r="QNG146" s="597"/>
      <c r="QNH146" s="153"/>
      <c r="QNI146" s="597"/>
      <c r="QNJ146" s="597"/>
      <c r="QNK146" s="597"/>
      <c r="QNL146" s="153"/>
      <c r="QNM146" s="597"/>
      <c r="QNN146" s="597"/>
      <c r="QNO146" s="597"/>
      <c r="QNP146" s="153"/>
      <c r="QNQ146" s="597"/>
      <c r="QNR146" s="597"/>
      <c r="QNS146" s="597"/>
      <c r="QNT146" s="153"/>
      <c r="QNU146" s="597"/>
      <c r="QNV146" s="597"/>
      <c r="QNW146" s="597"/>
      <c r="QNX146" s="153"/>
      <c r="QNY146" s="597"/>
      <c r="QNZ146" s="597"/>
      <c r="QOA146" s="597"/>
      <c r="QOB146" s="153"/>
      <c r="QOC146" s="597"/>
      <c r="QOD146" s="597"/>
      <c r="QOE146" s="597"/>
      <c r="QOF146" s="153"/>
      <c r="QOG146" s="597"/>
      <c r="QOH146" s="597"/>
      <c r="QOI146" s="597"/>
      <c r="QOJ146" s="153"/>
      <c r="QOK146" s="597"/>
      <c r="QOL146" s="597"/>
      <c r="QOM146" s="597"/>
      <c r="QON146" s="153"/>
      <c r="QOO146" s="597"/>
      <c r="QOP146" s="597"/>
      <c r="QOQ146" s="597"/>
      <c r="QOR146" s="153"/>
      <c r="QOS146" s="597"/>
      <c r="QOT146" s="597"/>
      <c r="QOU146" s="597"/>
      <c r="QOV146" s="153"/>
      <c r="QOW146" s="597"/>
      <c r="QOX146" s="597"/>
      <c r="QOY146" s="597"/>
      <c r="QOZ146" s="153"/>
      <c r="QPA146" s="597"/>
      <c r="QPB146" s="597"/>
      <c r="QPC146" s="597"/>
      <c r="QPD146" s="153"/>
      <c r="QPE146" s="597"/>
      <c r="QPF146" s="597"/>
      <c r="QPG146" s="597"/>
      <c r="QPH146" s="153"/>
      <c r="QPI146" s="597"/>
      <c r="QPJ146" s="597"/>
      <c r="QPK146" s="597"/>
      <c r="QPL146" s="153"/>
      <c r="QPM146" s="597"/>
      <c r="QPN146" s="597"/>
      <c r="QPO146" s="597"/>
      <c r="QPP146" s="153"/>
      <c r="QPQ146" s="597"/>
      <c r="QPR146" s="597"/>
      <c r="QPS146" s="597"/>
      <c r="QPT146" s="153"/>
      <c r="QPU146" s="597"/>
      <c r="QPV146" s="597"/>
      <c r="QPW146" s="597"/>
      <c r="QPX146" s="153"/>
      <c r="QPY146" s="597"/>
      <c r="QPZ146" s="597"/>
      <c r="QQA146" s="597"/>
      <c r="QQB146" s="153"/>
      <c r="QQC146" s="597"/>
      <c r="QQD146" s="597"/>
      <c r="QQE146" s="597"/>
      <c r="QQF146" s="153"/>
      <c r="QQG146" s="597"/>
      <c r="QQH146" s="597"/>
      <c r="QQI146" s="597"/>
      <c r="QQJ146" s="153"/>
      <c r="QQK146" s="597"/>
      <c r="QQL146" s="597"/>
      <c r="QQM146" s="597"/>
      <c r="QQN146" s="153"/>
      <c r="QQO146" s="597"/>
      <c r="QQP146" s="597"/>
      <c r="QQQ146" s="597"/>
      <c r="QQR146" s="153"/>
      <c r="QQS146" s="597"/>
      <c r="QQT146" s="597"/>
      <c r="QQU146" s="597"/>
      <c r="QQV146" s="153"/>
      <c r="QQW146" s="597"/>
      <c r="QQX146" s="597"/>
      <c r="QQY146" s="597"/>
      <c r="QQZ146" s="153"/>
      <c r="QRA146" s="597"/>
      <c r="QRB146" s="597"/>
      <c r="QRC146" s="597"/>
      <c r="QRD146" s="153"/>
      <c r="QRE146" s="597"/>
      <c r="QRF146" s="597"/>
      <c r="QRG146" s="597"/>
      <c r="QRH146" s="153"/>
      <c r="QRI146" s="597"/>
      <c r="QRJ146" s="597"/>
      <c r="QRK146" s="597"/>
      <c r="QRL146" s="153"/>
      <c r="QRM146" s="597"/>
      <c r="QRN146" s="597"/>
      <c r="QRO146" s="597"/>
      <c r="QRP146" s="153"/>
      <c r="QRQ146" s="597"/>
      <c r="QRR146" s="597"/>
      <c r="QRS146" s="597"/>
      <c r="QRT146" s="153"/>
      <c r="QRU146" s="597"/>
      <c r="QRV146" s="597"/>
      <c r="QRW146" s="597"/>
      <c r="QRX146" s="153"/>
      <c r="QRY146" s="597"/>
      <c r="QRZ146" s="597"/>
      <c r="QSA146" s="597"/>
      <c r="QSB146" s="153"/>
      <c r="QSC146" s="597"/>
      <c r="QSD146" s="597"/>
      <c r="QSE146" s="597"/>
      <c r="QSF146" s="153"/>
      <c r="QSG146" s="597"/>
      <c r="QSH146" s="597"/>
      <c r="QSI146" s="597"/>
      <c r="QSJ146" s="153"/>
      <c r="QSK146" s="597"/>
      <c r="QSL146" s="597"/>
      <c r="QSM146" s="597"/>
      <c r="QSN146" s="153"/>
      <c r="QSO146" s="597"/>
      <c r="QSP146" s="597"/>
      <c r="QSQ146" s="597"/>
      <c r="QSR146" s="153"/>
      <c r="QSS146" s="597"/>
      <c r="QST146" s="597"/>
      <c r="QSU146" s="597"/>
      <c r="QSV146" s="153"/>
      <c r="QSW146" s="597"/>
      <c r="QSX146" s="597"/>
      <c r="QSY146" s="597"/>
      <c r="QSZ146" s="153"/>
      <c r="QTA146" s="597"/>
      <c r="QTB146" s="597"/>
      <c r="QTC146" s="597"/>
      <c r="QTD146" s="153"/>
      <c r="QTE146" s="597"/>
      <c r="QTF146" s="597"/>
      <c r="QTG146" s="597"/>
      <c r="QTH146" s="153"/>
      <c r="QTI146" s="597"/>
      <c r="QTJ146" s="597"/>
      <c r="QTK146" s="597"/>
      <c r="QTL146" s="153"/>
      <c r="QTM146" s="597"/>
      <c r="QTN146" s="597"/>
      <c r="QTO146" s="597"/>
      <c r="QTP146" s="153"/>
      <c r="QTQ146" s="597"/>
      <c r="QTR146" s="597"/>
      <c r="QTS146" s="597"/>
      <c r="QTT146" s="153"/>
      <c r="QTU146" s="597"/>
      <c r="QTV146" s="597"/>
      <c r="QTW146" s="597"/>
      <c r="QTX146" s="153"/>
      <c r="QTY146" s="597"/>
      <c r="QTZ146" s="597"/>
      <c r="QUA146" s="597"/>
      <c r="QUB146" s="153"/>
      <c r="QUC146" s="597"/>
      <c r="QUD146" s="597"/>
      <c r="QUE146" s="597"/>
      <c r="QUF146" s="153"/>
      <c r="QUG146" s="597"/>
      <c r="QUH146" s="597"/>
      <c r="QUI146" s="597"/>
      <c r="QUJ146" s="153"/>
      <c r="QUK146" s="597"/>
      <c r="QUL146" s="597"/>
      <c r="QUM146" s="597"/>
      <c r="QUN146" s="153"/>
      <c r="QUO146" s="597"/>
      <c r="QUP146" s="597"/>
      <c r="QUQ146" s="597"/>
      <c r="QUR146" s="153"/>
      <c r="QUS146" s="597"/>
      <c r="QUT146" s="597"/>
      <c r="QUU146" s="597"/>
      <c r="QUV146" s="153"/>
      <c r="QUW146" s="597"/>
      <c r="QUX146" s="597"/>
      <c r="QUY146" s="597"/>
      <c r="QUZ146" s="153"/>
      <c r="QVA146" s="597"/>
      <c r="QVB146" s="597"/>
      <c r="QVC146" s="597"/>
      <c r="QVD146" s="153"/>
      <c r="QVE146" s="597"/>
      <c r="QVF146" s="597"/>
      <c r="QVG146" s="597"/>
      <c r="QVH146" s="153"/>
      <c r="QVI146" s="597"/>
      <c r="QVJ146" s="597"/>
      <c r="QVK146" s="597"/>
      <c r="QVL146" s="153"/>
      <c r="QVM146" s="597"/>
      <c r="QVN146" s="597"/>
      <c r="QVO146" s="597"/>
      <c r="QVP146" s="153"/>
      <c r="QVQ146" s="597"/>
      <c r="QVR146" s="597"/>
      <c r="QVS146" s="597"/>
      <c r="QVT146" s="153"/>
      <c r="QVU146" s="597"/>
      <c r="QVV146" s="597"/>
      <c r="QVW146" s="597"/>
      <c r="QVX146" s="153"/>
      <c r="QVY146" s="597"/>
      <c r="QVZ146" s="597"/>
      <c r="QWA146" s="597"/>
      <c r="QWB146" s="153"/>
      <c r="QWC146" s="597"/>
      <c r="QWD146" s="597"/>
      <c r="QWE146" s="597"/>
      <c r="QWF146" s="153"/>
      <c r="QWG146" s="597"/>
      <c r="QWH146" s="597"/>
      <c r="QWI146" s="597"/>
      <c r="QWJ146" s="153"/>
      <c r="QWK146" s="597"/>
      <c r="QWL146" s="597"/>
      <c r="QWM146" s="597"/>
      <c r="QWN146" s="153"/>
      <c r="QWO146" s="597"/>
      <c r="QWP146" s="597"/>
      <c r="QWQ146" s="597"/>
      <c r="QWR146" s="153"/>
      <c r="QWS146" s="597"/>
      <c r="QWT146" s="597"/>
      <c r="QWU146" s="597"/>
      <c r="QWV146" s="153"/>
      <c r="QWW146" s="597"/>
      <c r="QWX146" s="597"/>
      <c r="QWY146" s="597"/>
      <c r="QWZ146" s="153"/>
      <c r="QXA146" s="597"/>
      <c r="QXB146" s="597"/>
      <c r="QXC146" s="597"/>
      <c r="QXD146" s="153"/>
      <c r="QXE146" s="597"/>
      <c r="QXF146" s="597"/>
      <c r="QXG146" s="597"/>
      <c r="QXH146" s="153"/>
      <c r="QXI146" s="597"/>
      <c r="QXJ146" s="597"/>
      <c r="QXK146" s="597"/>
      <c r="QXL146" s="153"/>
      <c r="QXM146" s="597"/>
      <c r="QXN146" s="597"/>
      <c r="QXO146" s="597"/>
      <c r="QXP146" s="153"/>
      <c r="QXQ146" s="597"/>
      <c r="QXR146" s="597"/>
      <c r="QXS146" s="597"/>
      <c r="QXT146" s="153"/>
      <c r="QXU146" s="597"/>
      <c r="QXV146" s="597"/>
      <c r="QXW146" s="597"/>
      <c r="QXX146" s="153"/>
      <c r="QXY146" s="597"/>
      <c r="QXZ146" s="597"/>
      <c r="QYA146" s="597"/>
      <c r="QYB146" s="153"/>
      <c r="QYC146" s="597"/>
      <c r="QYD146" s="597"/>
      <c r="QYE146" s="597"/>
      <c r="QYF146" s="153"/>
      <c r="QYG146" s="597"/>
      <c r="QYH146" s="597"/>
      <c r="QYI146" s="597"/>
      <c r="QYJ146" s="153"/>
      <c r="QYK146" s="597"/>
      <c r="QYL146" s="597"/>
      <c r="QYM146" s="597"/>
      <c r="QYN146" s="153"/>
      <c r="QYO146" s="597"/>
      <c r="QYP146" s="597"/>
      <c r="QYQ146" s="597"/>
      <c r="QYR146" s="153"/>
      <c r="QYS146" s="597"/>
      <c r="QYT146" s="597"/>
      <c r="QYU146" s="597"/>
      <c r="QYV146" s="153"/>
      <c r="QYW146" s="597"/>
      <c r="QYX146" s="597"/>
      <c r="QYY146" s="597"/>
      <c r="QYZ146" s="153"/>
      <c r="QZA146" s="597"/>
      <c r="QZB146" s="597"/>
      <c r="QZC146" s="597"/>
      <c r="QZD146" s="153"/>
      <c r="QZE146" s="597"/>
      <c r="QZF146" s="597"/>
      <c r="QZG146" s="597"/>
      <c r="QZH146" s="153"/>
      <c r="QZI146" s="597"/>
      <c r="QZJ146" s="597"/>
      <c r="QZK146" s="597"/>
      <c r="QZL146" s="153"/>
      <c r="QZM146" s="597"/>
      <c r="QZN146" s="597"/>
      <c r="QZO146" s="597"/>
      <c r="QZP146" s="153"/>
      <c r="QZQ146" s="597"/>
      <c r="QZR146" s="597"/>
      <c r="QZS146" s="597"/>
      <c r="QZT146" s="153"/>
      <c r="QZU146" s="597"/>
      <c r="QZV146" s="597"/>
      <c r="QZW146" s="597"/>
      <c r="QZX146" s="153"/>
      <c r="QZY146" s="597"/>
      <c r="QZZ146" s="597"/>
      <c r="RAA146" s="597"/>
      <c r="RAB146" s="153"/>
      <c r="RAC146" s="597"/>
      <c r="RAD146" s="597"/>
      <c r="RAE146" s="597"/>
      <c r="RAF146" s="153"/>
      <c r="RAG146" s="597"/>
      <c r="RAH146" s="597"/>
      <c r="RAI146" s="597"/>
      <c r="RAJ146" s="153"/>
      <c r="RAK146" s="597"/>
      <c r="RAL146" s="597"/>
      <c r="RAM146" s="597"/>
      <c r="RAN146" s="153"/>
      <c r="RAO146" s="597"/>
      <c r="RAP146" s="597"/>
      <c r="RAQ146" s="597"/>
      <c r="RAR146" s="153"/>
      <c r="RAS146" s="597"/>
      <c r="RAT146" s="597"/>
      <c r="RAU146" s="597"/>
      <c r="RAV146" s="153"/>
      <c r="RAW146" s="597"/>
      <c r="RAX146" s="597"/>
      <c r="RAY146" s="597"/>
      <c r="RAZ146" s="153"/>
      <c r="RBA146" s="597"/>
      <c r="RBB146" s="597"/>
      <c r="RBC146" s="597"/>
      <c r="RBD146" s="153"/>
      <c r="RBE146" s="597"/>
      <c r="RBF146" s="597"/>
      <c r="RBG146" s="597"/>
      <c r="RBH146" s="153"/>
      <c r="RBI146" s="597"/>
      <c r="RBJ146" s="597"/>
      <c r="RBK146" s="597"/>
      <c r="RBL146" s="153"/>
      <c r="RBM146" s="597"/>
      <c r="RBN146" s="597"/>
      <c r="RBO146" s="597"/>
      <c r="RBP146" s="153"/>
      <c r="RBQ146" s="597"/>
      <c r="RBR146" s="597"/>
      <c r="RBS146" s="597"/>
      <c r="RBT146" s="153"/>
      <c r="RBU146" s="597"/>
      <c r="RBV146" s="597"/>
      <c r="RBW146" s="597"/>
      <c r="RBX146" s="153"/>
      <c r="RBY146" s="597"/>
      <c r="RBZ146" s="597"/>
      <c r="RCA146" s="597"/>
      <c r="RCB146" s="153"/>
      <c r="RCC146" s="597"/>
      <c r="RCD146" s="597"/>
      <c r="RCE146" s="597"/>
      <c r="RCF146" s="153"/>
      <c r="RCG146" s="597"/>
      <c r="RCH146" s="597"/>
      <c r="RCI146" s="597"/>
      <c r="RCJ146" s="153"/>
      <c r="RCK146" s="597"/>
      <c r="RCL146" s="597"/>
      <c r="RCM146" s="597"/>
      <c r="RCN146" s="153"/>
      <c r="RCO146" s="597"/>
      <c r="RCP146" s="597"/>
      <c r="RCQ146" s="597"/>
      <c r="RCR146" s="153"/>
      <c r="RCS146" s="597"/>
      <c r="RCT146" s="597"/>
      <c r="RCU146" s="597"/>
      <c r="RCV146" s="153"/>
      <c r="RCW146" s="597"/>
      <c r="RCX146" s="597"/>
      <c r="RCY146" s="597"/>
      <c r="RCZ146" s="153"/>
      <c r="RDA146" s="597"/>
      <c r="RDB146" s="597"/>
      <c r="RDC146" s="597"/>
      <c r="RDD146" s="153"/>
      <c r="RDE146" s="597"/>
      <c r="RDF146" s="597"/>
      <c r="RDG146" s="597"/>
      <c r="RDH146" s="153"/>
      <c r="RDI146" s="597"/>
      <c r="RDJ146" s="597"/>
      <c r="RDK146" s="597"/>
      <c r="RDL146" s="153"/>
      <c r="RDM146" s="597"/>
      <c r="RDN146" s="597"/>
      <c r="RDO146" s="597"/>
      <c r="RDP146" s="153"/>
      <c r="RDQ146" s="597"/>
      <c r="RDR146" s="597"/>
      <c r="RDS146" s="597"/>
      <c r="RDT146" s="153"/>
      <c r="RDU146" s="597"/>
      <c r="RDV146" s="597"/>
      <c r="RDW146" s="597"/>
      <c r="RDX146" s="153"/>
      <c r="RDY146" s="597"/>
      <c r="RDZ146" s="597"/>
      <c r="REA146" s="597"/>
      <c r="REB146" s="153"/>
      <c r="REC146" s="597"/>
      <c r="RED146" s="597"/>
      <c r="REE146" s="597"/>
      <c r="REF146" s="153"/>
      <c r="REG146" s="597"/>
      <c r="REH146" s="597"/>
      <c r="REI146" s="597"/>
      <c r="REJ146" s="153"/>
      <c r="REK146" s="597"/>
      <c r="REL146" s="597"/>
      <c r="REM146" s="597"/>
      <c r="REN146" s="153"/>
      <c r="REO146" s="597"/>
      <c r="REP146" s="597"/>
      <c r="REQ146" s="597"/>
      <c r="RER146" s="153"/>
      <c r="RES146" s="597"/>
      <c r="RET146" s="597"/>
      <c r="REU146" s="597"/>
      <c r="REV146" s="153"/>
      <c r="REW146" s="597"/>
      <c r="REX146" s="597"/>
      <c r="REY146" s="597"/>
      <c r="REZ146" s="153"/>
      <c r="RFA146" s="597"/>
      <c r="RFB146" s="597"/>
      <c r="RFC146" s="597"/>
      <c r="RFD146" s="153"/>
      <c r="RFE146" s="597"/>
      <c r="RFF146" s="597"/>
      <c r="RFG146" s="597"/>
      <c r="RFH146" s="153"/>
      <c r="RFI146" s="597"/>
      <c r="RFJ146" s="597"/>
      <c r="RFK146" s="597"/>
      <c r="RFL146" s="153"/>
      <c r="RFM146" s="597"/>
      <c r="RFN146" s="597"/>
      <c r="RFO146" s="597"/>
      <c r="RFP146" s="153"/>
      <c r="RFQ146" s="597"/>
      <c r="RFR146" s="597"/>
      <c r="RFS146" s="597"/>
      <c r="RFT146" s="153"/>
      <c r="RFU146" s="597"/>
      <c r="RFV146" s="597"/>
      <c r="RFW146" s="597"/>
      <c r="RFX146" s="153"/>
      <c r="RFY146" s="597"/>
      <c r="RFZ146" s="597"/>
      <c r="RGA146" s="597"/>
      <c r="RGB146" s="153"/>
      <c r="RGC146" s="597"/>
      <c r="RGD146" s="597"/>
      <c r="RGE146" s="597"/>
      <c r="RGF146" s="153"/>
      <c r="RGG146" s="597"/>
      <c r="RGH146" s="597"/>
      <c r="RGI146" s="597"/>
      <c r="RGJ146" s="153"/>
      <c r="RGK146" s="597"/>
      <c r="RGL146" s="597"/>
      <c r="RGM146" s="597"/>
      <c r="RGN146" s="153"/>
      <c r="RGO146" s="597"/>
      <c r="RGP146" s="597"/>
      <c r="RGQ146" s="597"/>
      <c r="RGR146" s="153"/>
      <c r="RGS146" s="597"/>
      <c r="RGT146" s="597"/>
      <c r="RGU146" s="597"/>
      <c r="RGV146" s="153"/>
      <c r="RGW146" s="597"/>
      <c r="RGX146" s="597"/>
      <c r="RGY146" s="597"/>
      <c r="RGZ146" s="153"/>
      <c r="RHA146" s="597"/>
      <c r="RHB146" s="597"/>
      <c r="RHC146" s="597"/>
      <c r="RHD146" s="153"/>
      <c r="RHE146" s="597"/>
      <c r="RHF146" s="597"/>
      <c r="RHG146" s="597"/>
      <c r="RHH146" s="153"/>
      <c r="RHI146" s="597"/>
      <c r="RHJ146" s="597"/>
      <c r="RHK146" s="597"/>
      <c r="RHL146" s="153"/>
      <c r="RHM146" s="597"/>
      <c r="RHN146" s="597"/>
      <c r="RHO146" s="597"/>
      <c r="RHP146" s="153"/>
      <c r="RHQ146" s="597"/>
      <c r="RHR146" s="597"/>
      <c r="RHS146" s="597"/>
      <c r="RHT146" s="153"/>
      <c r="RHU146" s="597"/>
      <c r="RHV146" s="597"/>
      <c r="RHW146" s="597"/>
      <c r="RHX146" s="153"/>
      <c r="RHY146" s="597"/>
      <c r="RHZ146" s="597"/>
      <c r="RIA146" s="597"/>
      <c r="RIB146" s="153"/>
      <c r="RIC146" s="597"/>
      <c r="RID146" s="597"/>
      <c r="RIE146" s="597"/>
      <c r="RIF146" s="153"/>
      <c r="RIG146" s="597"/>
      <c r="RIH146" s="597"/>
      <c r="RII146" s="597"/>
      <c r="RIJ146" s="153"/>
      <c r="RIK146" s="597"/>
      <c r="RIL146" s="597"/>
      <c r="RIM146" s="597"/>
      <c r="RIN146" s="153"/>
      <c r="RIO146" s="597"/>
      <c r="RIP146" s="597"/>
      <c r="RIQ146" s="597"/>
      <c r="RIR146" s="153"/>
      <c r="RIS146" s="597"/>
      <c r="RIT146" s="597"/>
      <c r="RIU146" s="597"/>
      <c r="RIV146" s="153"/>
      <c r="RIW146" s="597"/>
      <c r="RIX146" s="597"/>
      <c r="RIY146" s="597"/>
      <c r="RIZ146" s="153"/>
      <c r="RJA146" s="597"/>
      <c r="RJB146" s="597"/>
      <c r="RJC146" s="597"/>
      <c r="RJD146" s="153"/>
      <c r="RJE146" s="597"/>
      <c r="RJF146" s="597"/>
      <c r="RJG146" s="597"/>
      <c r="RJH146" s="153"/>
      <c r="RJI146" s="597"/>
      <c r="RJJ146" s="597"/>
      <c r="RJK146" s="597"/>
      <c r="RJL146" s="153"/>
      <c r="RJM146" s="597"/>
      <c r="RJN146" s="597"/>
      <c r="RJO146" s="597"/>
      <c r="RJP146" s="153"/>
      <c r="RJQ146" s="597"/>
      <c r="RJR146" s="597"/>
      <c r="RJS146" s="597"/>
      <c r="RJT146" s="153"/>
      <c r="RJU146" s="597"/>
      <c r="RJV146" s="597"/>
      <c r="RJW146" s="597"/>
      <c r="RJX146" s="153"/>
      <c r="RJY146" s="597"/>
      <c r="RJZ146" s="597"/>
      <c r="RKA146" s="597"/>
      <c r="RKB146" s="153"/>
      <c r="RKC146" s="597"/>
      <c r="RKD146" s="597"/>
      <c r="RKE146" s="597"/>
      <c r="RKF146" s="153"/>
      <c r="RKG146" s="597"/>
      <c r="RKH146" s="597"/>
      <c r="RKI146" s="597"/>
      <c r="RKJ146" s="153"/>
      <c r="RKK146" s="597"/>
      <c r="RKL146" s="597"/>
      <c r="RKM146" s="597"/>
      <c r="RKN146" s="153"/>
      <c r="RKO146" s="597"/>
      <c r="RKP146" s="597"/>
      <c r="RKQ146" s="597"/>
      <c r="RKR146" s="153"/>
      <c r="RKS146" s="597"/>
      <c r="RKT146" s="597"/>
      <c r="RKU146" s="597"/>
      <c r="RKV146" s="153"/>
      <c r="RKW146" s="597"/>
      <c r="RKX146" s="597"/>
      <c r="RKY146" s="597"/>
      <c r="RKZ146" s="153"/>
      <c r="RLA146" s="597"/>
      <c r="RLB146" s="597"/>
      <c r="RLC146" s="597"/>
      <c r="RLD146" s="153"/>
      <c r="RLE146" s="597"/>
      <c r="RLF146" s="597"/>
      <c r="RLG146" s="597"/>
      <c r="RLH146" s="153"/>
      <c r="RLI146" s="597"/>
      <c r="RLJ146" s="597"/>
      <c r="RLK146" s="597"/>
      <c r="RLL146" s="153"/>
      <c r="RLM146" s="597"/>
      <c r="RLN146" s="597"/>
      <c r="RLO146" s="597"/>
      <c r="RLP146" s="153"/>
      <c r="RLQ146" s="597"/>
      <c r="RLR146" s="597"/>
      <c r="RLS146" s="597"/>
      <c r="RLT146" s="153"/>
      <c r="RLU146" s="597"/>
      <c r="RLV146" s="597"/>
      <c r="RLW146" s="597"/>
      <c r="RLX146" s="153"/>
      <c r="RLY146" s="597"/>
      <c r="RLZ146" s="597"/>
      <c r="RMA146" s="597"/>
      <c r="RMB146" s="153"/>
      <c r="RMC146" s="597"/>
      <c r="RMD146" s="597"/>
      <c r="RME146" s="597"/>
      <c r="RMF146" s="153"/>
      <c r="RMG146" s="597"/>
      <c r="RMH146" s="597"/>
      <c r="RMI146" s="597"/>
      <c r="RMJ146" s="153"/>
      <c r="RMK146" s="597"/>
      <c r="RML146" s="597"/>
      <c r="RMM146" s="597"/>
      <c r="RMN146" s="153"/>
      <c r="RMO146" s="597"/>
      <c r="RMP146" s="597"/>
      <c r="RMQ146" s="597"/>
      <c r="RMR146" s="153"/>
      <c r="RMS146" s="597"/>
      <c r="RMT146" s="597"/>
      <c r="RMU146" s="597"/>
      <c r="RMV146" s="153"/>
      <c r="RMW146" s="597"/>
      <c r="RMX146" s="597"/>
      <c r="RMY146" s="597"/>
      <c r="RMZ146" s="153"/>
      <c r="RNA146" s="597"/>
      <c r="RNB146" s="597"/>
      <c r="RNC146" s="597"/>
      <c r="RND146" s="153"/>
      <c r="RNE146" s="597"/>
      <c r="RNF146" s="597"/>
      <c r="RNG146" s="597"/>
      <c r="RNH146" s="153"/>
      <c r="RNI146" s="597"/>
      <c r="RNJ146" s="597"/>
      <c r="RNK146" s="597"/>
      <c r="RNL146" s="153"/>
      <c r="RNM146" s="597"/>
      <c r="RNN146" s="597"/>
      <c r="RNO146" s="597"/>
      <c r="RNP146" s="153"/>
      <c r="RNQ146" s="597"/>
      <c r="RNR146" s="597"/>
      <c r="RNS146" s="597"/>
      <c r="RNT146" s="153"/>
      <c r="RNU146" s="597"/>
      <c r="RNV146" s="597"/>
      <c r="RNW146" s="597"/>
      <c r="RNX146" s="153"/>
      <c r="RNY146" s="597"/>
      <c r="RNZ146" s="597"/>
      <c r="ROA146" s="597"/>
      <c r="ROB146" s="153"/>
      <c r="ROC146" s="597"/>
      <c r="ROD146" s="597"/>
      <c r="ROE146" s="597"/>
      <c r="ROF146" s="153"/>
      <c r="ROG146" s="597"/>
      <c r="ROH146" s="597"/>
      <c r="ROI146" s="597"/>
      <c r="ROJ146" s="153"/>
      <c r="ROK146" s="597"/>
      <c r="ROL146" s="597"/>
      <c r="ROM146" s="597"/>
      <c r="RON146" s="153"/>
      <c r="ROO146" s="597"/>
      <c r="ROP146" s="597"/>
      <c r="ROQ146" s="597"/>
      <c r="ROR146" s="153"/>
      <c r="ROS146" s="597"/>
      <c r="ROT146" s="597"/>
      <c r="ROU146" s="597"/>
      <c r="ROV146" s="153"/>
      <c r="ROW146" s="597"/>
      <c r="ROX146" s="597"/>
      <c r="ROY146" s="597"/>
      <c r="ROZ146" s="153"/>
      <c r="RPA146" s="597"/>
      <c r="RPB146" s="597"/>
      <c r="RPC146" s="597"/>
      <c r="RPD146" s="153"/>
      <c r="RPE146" s="597"/>
      <c r="RPF146" s="597"/>
      <c r="RPG146" s="597"/>
      <c r="RPH146" s="153"/>
      <c r="RPI146" s="597"/>
      <c r="RPJ146" s="597"/>
      <c r="RPK146" s="597"/>
      <c r="RPL146" s="153"/>
      <c r="RPM146" s="597"/>
      <c r="RPN146" s="597"/>
      <c r="RPO146" s="597"/>
      <c r="RPP146" s="153"/>
      <c r="RPQ146" s="597"/>
      <c r="RPR146" s="597"/>
      <c r="RPS146" s="597"/>
      <c r="RPT146" s="153"/>
      <c r="RPU146" s="597"/>
      <c r="RPV146" s="597"/>
      <c r="RPW146" s="597"/>
      <c r="RPX146" s="153"/>
      <c r="RPY146" s="597"/>
      <c r="RPZ146" s="597"/>
      <c r="RQA146" s="597"/>
      <c r="RQB146" s="153"/>
      <c r="RQC146" s="597"/>
      <c r="RQD146" s="597"/>
      <c r="RQE146" s="597"/>
      <c r="RQF146" s="153"/>
      <c r="RQG146" s="597"/>
      <c r="RQH146" s="597"/>
      <c r="RQI146" s="597"/>
      <c r="RQJ146" s="153"/>
      <c r="RQK146" s="597"/>
      <c r="RQL146" s="597"/>
      <c r="RQM146" s="597"/>
      <c r="RQN146" s="153"/>
      <c r="RQO146" s="597"/>
      <c r="RQP146" s="597"/>
      <c r="RQQ146" s="597"/>
      <c r="RQR146" s="153"/>
      <c r="RQS146" s="597"/>
      <c r="RQT146" s="597"/>
      <c r="RQU146" s="597"/>
      <c r="RQV146" s="153"/>
      <c r="RQW146" s="597"/>
      <c r="RQX146" s="597"/>
      <c r="RQY146" s="597"/>
      <c r="RQZ146" s="153"/>
      <c r="RRA146" s="597"/>
      <c r="RRB146" s="597"/>
      <c r="RRC146" s="597"/>
      <c r="RRD146" s="153"/>
      <c r="RRE146" s="597"/>
      <c r="RRF146" s="597"/>
      <c r="RRG146" s="597"/>
      <c r="RRH146" s="153"/>
      <c r="RRI146" s="597"/>
      <c r="RRJ146" s="597"/>
      <c r="RRK146" s="597"/>
      <c r="RRL146" s="153"/>
      <c r="RRM146" s="597"/>
      <c r="RRN146" s="597"/>
      <c r="RRO146" s="597"/>
      <c r="RRP146" s="153"/>
      <c r="RRQ146" s="597"/>
      <c r="RRR146" s="597"/>
      <c r="RRS146" s="597"/>
      <c r="RRT146" s="153"/>
      <c r="RRU146" s="597"/>
      <c r="RRV146" s="597"/>
      <c r="RRW146" s="597"/>
      <c r="RRX146" s="153"/>
      <c r="RRY146" s="597"/>
      <c r="RRZ146" s="597"/>
      <c r="RSA146" s="597"/>
      <c r="RSB146" s="153"/>
      <c r="RSC146" s="597"/>
      <c r="RSD146" s="597"/>
      <c r="RSE146" s="597"/>
      <c r="RSF146" s="153"/>
      <c r="RSG146" s="597"/>
      <c r="RSH146" s="597"/>
      <c r="RSI146" s="597"/>
      <c r="RSJ146" s="153"/>
      <c r="RSK146" s="597"/>
      <c r="RSL146" s="597"/>
      <c r="RSM146" s="597"/>
      <c r="RSN146" s="153"/>
      <c r="RSO146" s="597"/>
      <c r="RSP146" s="597"/>
      <c r="RSQ146" s="597"/>
      <c r="RSR146" s="153"/>
      <c r="RSS146" s="597"/>
      <c r="RST146" s="597"/>
      <c r="RSU146" s="597"/>
      <c r="RSV146" s="153"/>
      <c r="RSW146" s="597"/>
      <c r="RSX146" s="597"/>
      <c r="RSY146" s="597"/>
      <c r="RSZ146" s="153"/>
      <c r="RTA146" s="597"/>
      <c r="RTB146" s="597"/>
      <c r="RTC146" s="597"/>
      <c r="RTD146" s="153"/>
      <c r="RTE146" s="597"/>
      <c r="RTF146" s="597"/>
      <c r="RTG146" s="597"/>
      <c r="RTH146" s="153"/>
      <c r="RTI146" s="597"/>
      <c r="RTJ146" s="597"/>
      <c r="RTK146" s="597"/>
      <c r="RTL146" s="153"/>
      <c r="RTM146" s="597"/>
      <c r="RTN146" s="597"/>
      <c r="RTO146" s="597"/>
      <c r="RTP146" s="153"/>
      <c r="RTQ146" s="597"/>
      <c r="RTR146" s="597"/>
      <c r="RTS146" s="597"/>
      <c r="RTT146" s="153"/>
      <c r="RTU146" s="597"/>
      <c r="RTV146" s="597"/>
      <c r="RTW146" s="597"/>
      <c r="RTX146" s="153"/>
      <c r="RTY146" s="597"/>
      <c r="RTZ146" s="597"/>
      <c r="RUA146" s="597"/>
      <c r="RUB146" s="153"/>
      <c r="RUC146" s="597"/>
      <c r="RUD146" s="597"/>
      <c r="RUE146" s="597"/>
      <c r="RUF146" s="153"/>
      <c r="RUG146" s="597"/>
      <c r="RUH146" s="597"/>
      <c r="RUI146" s="597"/>
      <c r="RUJ146" s="153"/>
      <c r="RUK146" s="597"/>
      <c r="RUL146" s="597"/>
      <c r="RUM146" s="597"/>
      <c r="RUN146" s="153"/>
      <c r="RUO146" s="597"/>
      <c r="RUP146" s="597"/>
      <c r="RUQ146" s="597"/>
      <c r="RUR146" s="153"/>
      <c r="RUS146" s="597"/>
      <c r="RUT146" s="597"/>
      <c r="RUU146" s="597"/>
      <c r="RUV146" s="153"/>
      <c r="RUW146" s="597"/>
      <c r="RUX146" s="597"/>
      <c r="RUY146" s="597"/>
      <c r="RUZ146" s="153"/>
      <c r="RVA146" s="597"/>
      <c r="RVB146" s="597"/>
      <c r="RVC146" s="597"/>
      <c r="RVD146" s="153"/>
      <c r="RVE146" s="597"/>
      <c r="RVF146" s="597"/>
      <c r="RVG146" s="597"/>
      <c r="RVH146" s="153"/>
      <c r="RVI146" s="597"/>
      <c r="RVJ146" s="597"/>
      <c r="RVK146" s="597"/>
      <c r="RVL146" s="153"/>
      <c r="RVM146" s="597"/>
      <c r="RVN146" s="597"/>
      <c r="RVO146" s="597"/>
      <c r="RVP146" s="153"/>
      <c r="RVQ146" s="597"/>
      <c r="RVR146" s="597"/>
      <c r="RVS146" s="597"/>
      <c r="RVT146" s="153"/>
      <c r="RVU146" s="597"/>
      <c r="RVV146" s="597"/>
      <c r="RVW146" s="597"/>
      <c r="RVX146" s="153"/>
      <c r="RVY146" s="597"/>
      <c r="RVZ146" s="597"/>
      <c r="RWA146" s="597"/>
      <c r="RWB146" s="153"/>
      <c r="RWC146" s="597"/>
      <c r="RWD146" s="597"/>
      <c r="RWE146" s="597"/>
      <c r="RWF146" s="153"/>
      <c r="RWG146" s="597"/>
      <c r="RWH146" s="597"/>
      <c r="RWI146" s="597"/>
      <c r="RWJ146" s="153"/>
      <c r="RWK146" s="597"/>
      <c r="RWL146" s="597"/>
      <c r="RWM146" s="597"/>
      <c r="RWN146" s="153"/>
      <c r="RWO146" s="597"/>
      <c r="RWP146" s="597"/>
      <c r="RWQ146" s="597"/>
      <c r="RWR146" s="153"/>
      <c r="RWS146" s="597"/>
      <c r="RWT146" s="597"/>
      <c r="RWU146" s="597"/>
      <c r="RWV146" s="153"/>
      <c r="RWW146" s="597"/>
      <c r="RWX146" s="597"/>
      <c r="RWY146" s="597"/>
      <c r="RWZ146" s="153"/>
      <c r="RXA146" s="597"/>
      <c r="RXB146" s="597"/>
      <c r="RXC146" s="597"/>
      <c r="RXD146" s="153"/>
      <c r="RXE146" s="597"/>
      <c r="RXF146" s="597"/>
      <c r="RXG146" s="597"/>
      <c r="RXH146" s="153"/>
      <c r="RXI146" s="597"/>
      <c r="RXJ146" s="597"/>
      <c r="RXK146" s="597"/>
      <c r="RXL146" s="153"/>
      <c r="RXM146" s="597"/>
      <c r="RXN146" s="597"/>
      <c r="RXO146" s="597"/>
      <c r="RXP146" s="153"/>
      <c r="RXQ146" s="597"/>
      <c r="RXR146" s="597"/>
      <c r="RXS146" s="597"/>
      <c r="RXT146" s="153"/>
      <c r="RXU146" s="597"/>
      <c r="RXV146" s="597"/>
      <c r="RXW146" s="597"/>
      <c r="RXX146" s="153"/>
      <c r="RXY146" s="597"/>
      <c r="RXZ146" s="597"/>
      <c r="RYA146" s="597"/>
      <c r="RYB146" s="153"/>
      <c r="RYC146" s="597"/>
      <c r="RYD146" s="597"/>
      <c r="RYE146" s="597"/>
      <c r="RYF146" s="153"/>
      <c r="RYG146" s="597"/>
      <c r="RYH146" s="597"/>
      <c r="RYI146" s="597"/>
      <c r="RYJ146" s="153"/>
      <c r="RYK146" s="597"/>
      <c r="RYL146" s="597"/>
      <c r="RYM146" s="597"/>
      <c r="RYN146" s="153"/>
      <c r="RYO146" s="597"/>
      <c r="RYP146" s="597"/>
      <c r="RYQ146" s="597"/>
      <c r="RYR146" s="153"/>
      <c r="RYS146" s="597"/>
      <c r="RYT146" s="597"/>
      <c r="RYU146" s="597"/>
      <c r="RYV146" s="153"/>
      <c r="RYW146" s="597"/>
      <c r="RYX146" s="597"/>
      <c r="RYY146" s="597"/>
      <c r="RYZ146" s="153"/>
      <c r="RZA146" s="597"/>
      <c r="RZB146" s="597"/>
      <c r="RZC146" s="597"/>
      <c r="RZD146" s="153"/>
      <c r="RZE146" s="597"/>
      <c r="RZF146" s="597"/>
      <c r="RZG146" s="597"/>
      <c r="RZH146" s="153"/>
      <c r="RZI146" s="597"/>
      <c r="RZJ146" s="597"/>
      <c r="RZK146" s="597"/>
      <c r="RZL146" s="153"/>
      <c r="RZM146" s="597"/>
      <c r="RZN146" s="597"/>
      <c r="RZO146" s="597"/>
      <c r="RZP146" s="153"/>
      <c r="RZQ146" s="597"/>
      <c r="RZR146" s="597"/>
      <c r="RZS146" s="597"/>
      <c r="RZT146" s="153"/>
      <c r="RZU146" s="597"/>
      <c r="RZV146" s="597"/>
      <c r="RZW146" s="597"/>
      <c r="RZX146" s="153"/>
      <c r="RZY146" s="597"/>
      <c r="RZZ146" s="597"/>
      <c r="SAA146" s="597"/>
      <c r="SAB146" s="153"/>
      <c r="SAC146" s="597"/>
      <c r="SAD146" s="597"/>
      <c r="SAE146" s="597"/>
      <c r="SAF146" s="153"/>
      <c r="SAG146" s="597"/>
      <c r="SAH146" s="597"/>
      <c r="SAI146" s="597"/>
      <c r="SAJ146" s="153"/>
      <c r="SAK146" s="597"/>
      <c r="SAL146" s="597"/>
      <c r="SAM146" s="597"/>
      <c r="SAN146" s="153"/>
      <c r="SAO146" s="597"/>
      <c r="SAP146" s="597"/>
      <c r="SAQ146" s="597"/>
      <c r="SAR146" s="153"/>
      <c r="SAS146" s="597"/>
      <c r="SAT146" s="597"/>
      <c r="SAU146" s="597"/>
      <c r="SAV146" s="153"/>
      <c r="SAW146" s="597"/>
      <c r="SAX146" s="597"/>
      <c r="SAY146" s="597"/>
      <c r="SAZ146" s="153"/>
      <c r="SBA146" s="597"/>
      <c r="SBB146" s="597"/>
      <c r="SBC146" s="597"/>
      <c r="SBD146" s="153"/>
      <c r="SBE146" s="597"/>
      <c r="SBF146" s="597"/>
      <c r="SBG146" s="597"/>
      <c r="SBH146" s="153"/>
      <c r="SBI146" s="597"/>
      <c r="SBJ146" s="597"/>
      <c r="SBK146" s="597"/>
      <c r="SBL146" s="153"/>
      <c r="SBM146" s="597"/>
      <c r="SBN146" s="597"/>
      <c r="SBO146" s="597"/>
      <c r="SBP146" s="153"/>
      <c r="SBQ146" s="597"/>
      <c r="SBR146" s="597"/>
      <c r="SBS146" s="597"/>
      <c r="SBT146" s="153"/>
      <c r="SBU146" s="597"/>
      <c r="SBV146" s="597"/>
      <c r="SBW146" s="597"/>
      <c r="SBX146" s="153"/>
      <c r="SBY146" s="597"/>
      <c r="SBZ146" s="597"/>
      <c r="SCA146" s="597"/>
      <c r="SCB146" s="153"/>
      <c r="SCC146" s="597"/>
      <c r="SCD146" s="597"/>
      <c r="SCE146" s="597"/>
      <c r="SCF146" s="153"/>
      <c r="SCG146" s="597"/>
      <c r="SCH146" s="597"/>
      <c r="SCI146" s="597"/>
      <c r="SCJ146" s="153"/>
      <c r="SCK146" s="597"/>
      <c r="SCL146" s="597"/>
      <c r="SCM146" s="597"/>
      <c r="SCN146" s="153"/>
      <c r="SCO146" s="597"/>
      <c r="SCP146" s="597"/>
      <c r="SCQ146" s="597"/>
      <c r="SCR146" s="153"/>
      <c r="SCS146" s="597"/>
      <c r="SCT146" s="597"/>
      <c r="SCU146" s="597"/>
      <c r="SCV146" s="153"/>
      <c r="SCW146" s="597"/>
      <c r="SCX146" s="597"/>
      <c r="SCY146" s="597"/>
      <c r="SCZ146" s="153"/>
      <c r="SDA146" s="597"/>
      <c r="SDB146" s="597"/>
      <c r="SDC146" s="597"/>
      <c r="SDD146" s="153"/>
      <c r="SDE146" s="597"/>
      <c r="SDF146" s="597"/>
      <c r="SDG146" s="597"/>
      <c r="SDH146" s="153"/>
      <c r="SDI146" s="597"/>
      <c r="SDJ146" s="597"/>
      <c r="SDK146" s="597"/>
      <c r="SDL146" s="153"/>
      <c r="SDM146" s="597"/>
      <c r="SDN146" s="597"/>
      <c r="SDO146" s="597"/>
      <c r="SDP146" s="153"/>
      <c r="SDQ146" s="597"/>
      <c r="SDR146" s="597"/>
      <c r="SDS146" s="597"/>
      <c r="SDT146" s="153"/>
      <c r="SDU146" s="597"/>
      <c r="SDV146" s="597"/>
      <c r="SDW146" s="597"/>
      <c r="SDX146" s="153"/>
      <c r="SDY146" s="597"/>
      <c r="SDZ146" s="597"/>
      <c r="SEA146" s="597"/>
      <c r="SEB146" s="153"/>
      <c r="SEC146" s="597"/>
      <c r="SED146" s="597"/>
      <c r="SEE146" s="597"/>
      <c r="SEF146" s="153"/>
      <c r="SEG146" s="597"/>
      <c r="SEH146" s="597"/>
      <c r="SEI146" s="597"/>
      <c r="SEJ146" s="153"/>
      <c r="SEK146" s="597"/>
      <c r="SEL146" s="597"/>
      <c r="SEM146" s="597"/>
      <c r="SEN146" s="153"/>
      <c r="SEO146" s="597"/>
      <c r="SEP146" s="597"/>
      <c r="SEQ146" s="597"/>
      <c r="SER146" s="153"/>
      <c r="SES146" s="597"/>
      <c r="SET146" s="597"/>
      <c r="SEU146" s="597"/>
      <c r="SEV146" s="153"/>
      <c r="SEW146" s="597"/>
      <c r="SEX146" s="597"/>
      <c r="SEY146" s="597"/>
      <c r="SEZ146" s="153"/>
      <c r="SFA146" s="597"/>
      <c r="SFB146" s="597"/>
      <c r="SFC146" s="597"/>
      <c r="SFD146" s="153"/>
      <c r="SFE146" s="597"/>
      <c r="SFF146" s="597"/>
      <c r="SFG146" s="597"/>
      <c r="SFH146" s="153"/>
      <c r="SFI146" s="597"/>
      <c r="SFJ146" s="597"/>
      <c r="SFK146" s="597"/>
      <c r="SFL146" s="153"/>
      <c r="SFM146" s="597"/>
      <c r="SFN146" s="597"/>
      <c r="SFO146" s="597"/>
      <c r="SFP146" s="153"/>
      <c r="SFQ146" s="597"/>
      <c r="SFR146" s="597"/>
      <c r="SFS146" s="597"/>
      <c r="SFT146" s="153"/>
      <c r="SFU146" s="597"/>
      <c r="SFV146" s="597"/>
      <c r="SFW146" s="597"/>
      <c r="SFX146" s="153"/>
      <c r="SFY146" s="597"/>
      <c r="SFZ146" s="597"/>
      <c r="SGA146" s="597"/>
      <c r="SGB146" s="153"/>
      <c r="SGC146" s="597"/>
      <c r="SGD146" s="597"/>
      <c r="SGE146" s="597"/>
      <c r="SGF146" s="153"/>
      <c r="SGG146" s="597"/>
      <c r="SGH146" s="597"/>
      <c r="SGI146" s="597"/>
      <c r="SGJ146" s="153"/>
      <c r="SGK146" s="597"/>
      <c r="SGL146" s="597"/>
      <c r="SGM146" s="597"/>
      <c r="SGN146" s="153"/>
      <c r="SGO146" s="597"/>
      <c r="SGP146" s="597"/>
      <c r="SGQ146" s="597"/>
      <c r="SGR146" s="153"/>
      <c r="SGS146" s="597"/>
      <c r="SGT146" s="597"/>
      <c r="SGU146" s="597"/>
      <c r="SGV146" s="153"/>
      <c r="SGW146" s="597"/>
      <c r="SGX146" s="597"/>
      <c r="SGY146" s="597"/>
      <c r="SGZ146" s="153"/>
      <c r="SHA146" s="597"/>
      <c r="SHB146" s="597"/>
      <c r="SHC146" s="597"/>
      <c r="SHD146" s="153"/>
      <c r="SHE146" s="597"/>
      <c r="SHF146" s="597"/>
      <c r="SHG146" s="597"/>
      <c r="SHH146" s="153"/>
      <c r="SHI146" s="597"/>
      <c r="SHJ146" s="597"/>
      <c r="SHK146" s="597"/>
      <c r="SHL146" s="153"/>
      <c r="SHM146" s="597"/>
      <c r="SHN146" s="597"/>
      <c r="SHO146" s="597"/>
      <c r="SHP146" s="153"/>
      <c r="SHQ146" s="597"/>
      <c r="SHR146" s="597"/>
      <c r="SHS146" s="597"/>
      <c r="SHT146" s="153"/>
      <c r="SHU146" s="597"/>
      <c r="SHV146" s="597"/>
      <c r="SHW146" s="597"/>
      <c r="SHX146" s="153"/>
      <c r="SHY146" s="597"/>
      <c r="SHZ146" s="597"/>
      <c r="SIA146" s="597"/>
      <c r="SIB146" s="153"/>
      <c r="SIC146" s="597"/>
      <c r="SID146" s="597"/>
      <c r="SIE146" s="597"/>
      <c r="SIF146" s="153"/>
      <c r="SIG146" s="597"/>
      <c r="SIH146" s="597"/>
      <c r="SII146" s="597"/>
      <c r="SIJ146" s="153"/>
      <c r="SIK146" s="597"/>
      <c r="SIL146" s="597"/>
      <c r="SIM146" s="597"/>
      <c r="SIN146" s="153"/>
      <c r="SIO146" s="597"/>
      <c r="SIP146" s="597"/>
      <c r="SIQ146" s="597"/>
      <c r="SIR146" s="153"/>
      <c r="SIS146" s="597"/>
      <c r="SIT146" s="597"/>
      <c r="SIU146" s="597"/>
      <c r="SIV146" s="153"/>
      <c r="SIW146" s="597"/>
      <c r="SIX146" s="597"/>
      <c r="SIY146" s="597"/>
      <c r="SIZ146" s="153"/>
      <c r="SJA146" s="597"/>
      <c r="SJB146" s="597"/>
      <c r="SJC146" s="597"/>
      <c r="SJD146" s="153"/>
      <c r="SJE146" s="597"/>
      <c r="SJF146" s="597"/>
      <c r="SJG146" s="597"/>
      <c r="SJH146" s="153"/>
      <c r="SJI146" s="597"/>
      <c r="SJJ146" s="597"/>
      <c r="SJK146" s="597"/>
      <c r="SJL146" s="153"/>
      <c r="SJM146" s="597"/>
      <c r="SJN146" s="597"/>
      <c r="SJO146" s="597"/>
      <c r="SJP146" s="153"/>
      <c r="SJQ146" s="597"/>
      <c r="SJR146" s="597"/>
      <c r="SJS146" s="597"/>
      <c r="SJT146" s="153"/>
      <c r="SJU146" s="597"/>
      <c r="SJV146" s="597"/>
      <c r="SJW146" s="597"/>
      <c r="SJX146" s="153"/>
      <c r="SJY146" s="597"/>
      <c r="SJZ146" s="597"/>
      <c r="SKA146" s="597"/>
      <c r="SKB146" s="153"/>
      <c r="SKC146" s="597"/>
      <c r="SKD146" s="597"/>
      <c r="SKE146" s="597"/>
      <c r="SKF146" s="153"/>
      <c r="SKG146" s="597"/>
      <c r="SKH146" s="597"/>
      <c r="SKI146" s="597"/>
      <c r="SKJ146" s="153"/>
      <c r="SKK146" s="597"/>
      <c r="SKL146" s="597"/>
      <c r="SKM146" s="597"/>
      <c r="SKN146" s="153"/>
      <c r="SKO146" s="597"/>
      <c r="SKP146" s="597"/>
      <c r="SKQ146" s="597"/>
      <c r="SKR146" s="153"/>
      <c r="SKS146" s="597"/>
      <c r="SKT146" s="597"/>
      <c r="SKU146" s="597"/>
      <c r="SKV146" s="153"/>
      <c r="SKW146" s="597"/>
      <c r="SKX146" s="597"/>
      <c r="SKY146" s="597"/>
      <c r="SKZ146" s="153"/>
      <c r="SLA146" s="597"/>
      <c r="SLB146" s="597"/>
      <c r="SLC146" s="597"/>
      <c r="SLD146" s="153"/>
      <c r="SLE146" s="597"/>
      <c r="SLF146" s="597"/>
      <c r="SLG146" s="597"/>
      <c r="SLH146" s="153"/>
      <c r="SLI146" s="597"/>
      <c r="SLJ146" s="597"/>
      <c r="SLK146" s="597"/>
      <c r="SLL146" s="153"/>
      <c r="SLM146" s="597"/>
      <c r="SLN146" s="597"/>
      <c r="SLO146" s="597"/>
      <c r="SLP146" s="153"/>
      <c r="SLQ146" s="597"/>
      <c r="SLR146" s="597"/>
      <c r="SLS146" s="597"/>
      <c r="SLT146" s="153"/>
      <c r="SLU146" s="597"/>
      <c r="SLV146" s="597"/>
      <c r="SLW146" s="597"/>
      <c r="SLX146" s="153"/>
      <c r="SLY146" s="597"/>
      <c r="SLZ146" s="597"/>
      <c r="SMA146" s="597"/>
      <c r="SMB146" s="153"/>
      <c r="SMC146" s="597"/>
      <c r="SMD146" s="597"/>
      <c r="SME146" s="597"/>
      <c r="SMF146" s="153"/>
      <c r="SMG146" s="597"/>
      <c r="SMH146" s="597"/>
      <c r="SMI146" s="597"/>
      <c r="SMJ146" s="153"/>
      <c r="SMK146" s="597"/>
      <c r="SML146" s="597"/>
      <c r="SMM146" s="597"/>
      <c r="SMN146" s="153"/>
      <c r="SMO146" s="597"/>
      <c r="SMP146" s="597"/>
      <c r="SMQ146" s="597"/>
      <c r="SMR146" s="153"/>
      <c r="SMS146" s="597"/>
      <c r="SMT146" s="597"/>
      <c r="SMU146" s="597"/>
      <c r="SMV146" s="153"/>
      <c r="SMW146" s="597"/>
      <c r="SMX146" s="597"/>
      <c r="SMY146" s="597"/>
      <c r="SMZ146" s="153"/>
      <c r="SNA146" s="597"/>
      <c r="SNB146" s="597"/>
      <c r="SNC146" s="597"/>
      <c r="SND146" s="153"/>
      <c r="SNE146" s="597"/>
      <c r="SNF146" s="597"/>
      <c r="SNG146" s="597"/>
      <c r="SNH146" s="153"/>
      <c r="SNI146" s="597"/>
      <c r="SNJ146" s="597"/>
      <c r="SNK146" s="597"/>
      <c r="SNL146" s="153"/>
      <c r="SNM146" s="597"/>
      <c r="SNN146" s="597"/>
      <c r="SNO146" s="597"/>
      <c r="SNP146" s="153"/>
      <c r="SNQ146" s="597"/>
      <c r="SNR146" s="597"/>
      <c r="SNS146" s="597"/>
      <c r="SNT146" s="153"/>
      <c r="SNU146" s="597"/>
      <c r="SNV146" s="597"/>
      <c r="SNW146" s="597"/>
      <c r="SNX146" s="153"/>
      <c r="SNY146" s="597"/>
      <c r="SNZ146" s="597"/>
      <c r="SOA146" s="597"/>
      <c r="SOB146" s="153"/>
      <c r="SOC146" s="597"/>
      <c r="SOD146" s="597"/>
      <c r="SOE146" s="597"/>
      <c r="SOF146" s="153"/>
      <c r="SOG146" s="597"/>
      <c r="SOH146" s="597"/>
      <c r="SOI146" s="597"/>
      <c r="SOJ146" s="153"/>
      <c r="SOK146" s="597"/>
      <c r="SOL146" s="597"/>
      <c r="SOM146" s="597"/>
      <c r="SON146" s="153"/>
      <c r="SOO146" s="597"/>
      <c r="SOP146" s="597"/>
      <c r="SOQ146" s="597"/>
      <c r="SOR146" s="153"/>
      <c r="SOS146" s="597"/>
      <c r="SOT146" s="597"/>
      <c r="SOU146" s="597"/>
      <c r="SOV146" s="153"/>
      <c r="SOW146" s="597"/>
      <c r="SOX146" s="597"/>
      <c r="SOY146" s="597"/>
      <c r="SOZ146" s="153"/>
      <c r="SPA146" s="597"/>
      <c r="SPB146" s="597"/>
      <c r="SPC146" s="597"/>
      <c r="SPD146" s="153"/>
      <c r="SPE146" s="597"/>
      <c r="SPF146" s="597"/>
      <c r="SPG146" s="597"/>
      <c r="SPH146" s="153"/>
      <c r="SPI146" s="597"/>
      <c r="SPJ146" s="597"/>
      <c r="SPK146" s="597"/>
      <c r="SPL146" s="153"/>
      <c r="SPM146" s="597"/>
      <c r="SPN146" s="597"/>
      <c r="SPO146" s="597"/>
      <c r="SPP146" s="153"/>
      <c r="SPQ146" s="597"/>
      <c r="SPR146" s="597"/>
      <c r="SPS146" s="597"/>
      <c r="SPT146" s="153"/>
      <c r="SPU146" s="597"/>
      <c r="SPV146" s="597"/>
      <c r="SPW146" s="597"/>
      <c r="SPX146" s="153"/>
      <c r="SPY146" s="597"/>
      <c r="SPZ146" s="597"/>
      <c r="SQA146" s="597"/>
      <c r="SQB146" s="153"/>
      <c r="SQC146" s="597"/>
      <c r="SQD146" s="597"/>
      <c r="SQE146" s="597"/>
      <c r="SQF146" s="153"/>
      <c r="SQG146" s="597"/>
      <c r="SQH146" s="597"/>
      <c r="SQI146" s="597"/>
      <c r="SQJ146" s="153"/>
      <c r="SQK146" s="597"/>
      <c r="SQL146" s="597"/>
      <c r="SQM146" s="597"/>
      <c r="SQN146" s="153"/>
      <c r="SQO146" s="597"/>
      <c r="SQP146" s="597"/>
      <c r="SQQ146" s="597"/>
      <c r="SQR146" s="153"/>
      <c r="SQS146" s="597"/>
      <c r="SQT146" s="597"/>
      <c r="SQU146" s="597"/>
      <c r="SQV146" s="153"/>
      <c r="SQW146" s="597"/>
      <c r="SQX146" s="597"/>
      <c r="SQY146" s="597"/>
      <c r="SQZ146" s="153"/>
      <c r="SRA146" s="597"/>
      <c r="SRB146" s="597"/>
      <c r="SRC146" s="597"/>
      <c r="SRD146" s="153"/>
      <c r="SRE146" s="597"/>
      <c r="SRF146" s="597"/>
      <c r="SRG146" s="597"/>
      <c r="SRH146" s="153"/>
      <c r="SRI146" s="597"/>
      <c r="SRJ146" s="597"/>
      <c r="SRK146" s="597"/>
      <c r="SRL146" s="153"/>
      <c r="SRM146" s="597"/>
      <c r="SRN146" s="597"/>
      <c r="SRO146" s="597"/>
      <c r="SRP146" s="153"/>
      <c r="SRQ146" s="597"/>
      <c r="SRR146" s="597"/>
      <c r="SRS146" s="597"/>
      <c r="SRT146" s="153"/>
      <c r="SRU146" s="597"/>
      <c r="SRV146" s="597"/>
      <c r="SRW146" s="597"/>
      <c r="SRX146" s="153"/>
      <c r="SRY146" s="597"/>
      <c r="SRZ146" s="597"/>
      <c r="SSA146" s="597"/>
      <c r="SSB146" s="153"/>
      <c r="SSC146" s="597"/>
      <c r="SSD146" s="597"/>
      <c r="SSE146" s="597"/>
      <c r="SSF146" s="153"/>
      <c r="SSG146" s="597"/>
      <c r="SSH146" s="597"/>
      <c r="SSI146" s="597"/>
      <c r="SSJ146" s="153"/>
      <c r="SSK146" s="597"/>
      <c r="SSL146" s="597"/>
      <c r="SSM146" s="597"/>
      <c r="SSN146" s="153"/>
      <c r="SSO146" s="597"/>
      <c r="SSP146" s="597"/>
      <c r="SSQ146" s="597"/>
      <c r="SSR146" s="153"/>
      <c r="SSS146" s="597"/>
      <c r="SST146" s="597"/>
      <c r="SSU146" s="597"/>
      <c r="SSV146" s="153"/>
      <c r="SSW146" s="597"/>
      <c r="SSX146" s="597"/>
      <c r="SSY146" s="597"/>
      <c r="SSZ146" s="153"/>
      <c r="STA146" s="597"/>
      <c r="STB146" s="597"/>
      <c r="STC146" s="597"/>
      <c r="STD146" s="153"/>
      <c r="STE146" s="597"/>
      <c r="STF146" s="597"/>
      <c r="STG146" s="597"/>
      <c r="STH146" s="153"/>
      <c r="STI146" s="597"/>
      <c r="STJ146" s="597"/>
      <c r="STK146" s="597"/>
      <c r="STL146" s="153"/>
      <c r="STM146" s="597"/>
      <c r="STN146" s="597"/>
      <c r="STO146" s="597"/>
      <c r="STP146" s="153"/>
      <c r="STQ146" s="597"/>
      <c r="STR146" s="597"/>
      <c r="STS146" s="597"/>
      <c r="STT146" s="153"/>
      <c r="STU146" s="597"/>
      <c r="STV146" s="597"/>
      <c r="STW146" s="597"/>
      <c r="STX146" s="153"/>
      <c r="STY146" s="597"/>
      <c r="STZ146" s="597"/>
      <c r="SUA146" s="597"/>
      <c r="SUB146" s="153"/>
      <c r="SUC146" s="597"/>
      <c r="SUD146" s="597"/>
      <c r="SUE146" s="597"/>
      <c r="SUF146" s="153"/>
      <c r="SUG146" s="597"/>
      <c r="SUH146" s="597"/>
      <c r="SUI146" s="597"/>
      <c r="SUJ146" s="153"/>
      <c r="SUK146" s="597"/>
      <c r="SUL146" s="597"/>
      <c r="SUM146" s="597"/>
      <c r="SUN146" s="153"/>
      <c r="SUO146" s="597"/>
      <c r="SUP146" s="597"/>
      <c r="SUQ146" s="597"/>
      <c r="SUR146" s="153"/>
      <c r="SUS146" s="597"/>
      <c r="SUT146" s="597"/>
      <c r="SUU146" s="597"/>
      <c r="SUV146" s="153"/>
      <c r="SUW146" s="597"/>
      <c r="SUX146" s="597"/>
      <c r="SUY146" s="597"/>
      <c r="SUZ146" s="153"/>
      <c r="SVA146" s="597"/>
      <c r="SVB146" s="597"/>
      <c r="SVC146" s="597"/>
      <c r="SVD146" s="153"/>
      <c r="SVE146" s="597"/>
      <c r="SVF146" s="597"/>
      <c r="SVG146" s="597"/>
      <c r="SVH146" s="153"/>
      <c r="SVI146" s="597"/>
      <c r="SVJ146" s="597"/>
      <c r="SVK146" s="597"/>
      <c r="SVL146" s="153"/>
      <c r="SVM146" s="597"/>
      <c r="SVN146" s="597"/>
      <c r="SVO146" s="597"/>
      <c r="SVP146" s="153"/>
      <c r="SVQ146" s="597"/>
      <c r="SVR146" s="597"/>
      <c r="SVS146" s="597"/>
      <c r="SVT146" s="153"/>
      <c r="SVU146" s="597"/>
      <c r="SVV146" s="597"/>
      <c r="SVW146" s="597"/>
      <c r="SVX146" s="153"/>
      <c r="SVY146" s="597"/>
      <c r="SVZ146" s="597"/>
      <c r="SWA146" s="597"/>
      <c r="SWB146" s="153"/>
      <c r="SWC146" s="597"/>
      <c r="SWD146" s="597"/>
      <c r="SWE146" s="597"/>
      <c r="SWF146" s="153"/>
      <c r="SWG146" s="597"/>
      <c r="SWH146" s="597"/>
      <c r="SWI146" s="597"/>
      <c r="SWJ146" s="153"/>
      <c r="SWK146" s="597"/>
      <c r="SWL146" s="597"/>
      <c r="SWM146" s="597"/>
      <c r="SWN146" s="153"/>
      <c r="SWO146" s="597"/>
      <c r="SWP146" s="597"/>
      <c r="SWQ146" s="597"/>
      <c r="SWR146" s="153"/>
      <c r="SWS146" s="597"/>
      <c r="SWT146" s="597"/>
      <c r="SWU146" s="597"/>
      <c r="SWV146" s="153"/>
      <c r="SWW146" s="597"/>
      <c r="SWX146" s="597"/>
      <c r="SWY146" s="597"/>
      <c r="SWZ146" s="153"/>
      <c r="SXA146" s="597"/>
      <c r="SXB146" s="597"/>
      <c r="SXC146" s="597"/>
      <c r="SXD146" s="153"/>
      <c r="SXE146" s="597"/>
      <c r="SXF146" s="597"/>
      <c r="SXG146" s="597"/>
      <c r="SXH146" s="153"/>
      <c r="SXI146" s="597"/>
      <c r="SXJ146" s="597"/>
      <c r="SXK146" s="597"/>
      <c r="SXL146" s="153"/>
      <c r="SXM146" s="597"/>
      <c r="SXN146" s="597"/>
      <c r="SXO146" s="597"/>
      <c r="SXP146" s="153"/>
      <c r="SXQ146" s="597"/>
      <c r="SXR146" s="597"/>
      <c r="SXS146" s="597"/>
      <c r="SXT146" s="153"/>
      <c r="SXU146" s="597"/>
      <c r="SXV146" s="597"/>
      <c r="SXW146" s="597"/>
      <c r="SXX146" s="153"/>
      <c r="SXY146" s="597"/>
      <c r="SXZ146" s="597"/>
      <c r="SYA146" s="597"/>
      <c r="SYB146" s="153"/>
      <c r="SYC146" s="597"/>
      <c r="SYD146" s="597"/>
      <c r="SYE146" s="597"/>
      <c r="SYF146" s="153"/>
      <c r="SYG146" s="597"/>
      <c r="SYH146" s="597"/>
      <c r="SYI146" s="597"/>
      <c r="SYJ146" s="153"/>
      <c r="SYK146" s="597"/>
      <c r="SYL146" s="597"/>
      <c r="SYM146" s="597"/>
      <c r="SYN146" s="153"/>
      <c r="SYO146" s="597"/>
      <c r="SYP146" s="597"/>
      <c r="SYQ146" s="597"/>
      <c r="SYR146" s="153"/>
      <c r="SYS146" s="597"/>
      <c r="SYT146" s="597"/>
      <c r="SYU146" s="597"/>
      <c r="SYV146" s="153"/>
      <c r="SYW146" s="597"/>
      <c r="SYX146" s="597"/>
      <c r="SYY146" s="597"/>
      <c r="SYZ146" s="153"/>
      <c r="SZA146" s="597"/>
      <c r="SZB146" s="597"/>
      <c r="SZC146" s="597"/>
      <c r="SZD146" s="153"/>
      <c r="SZE146" s="597"/>
      <c r="SZF146" s="597"/>
      <c r="SZG146" s="597"/>
      <c r="SZH146" s="153"/>
      <c r="SZI146" s="597"/>
      <c r="SZJ146" s="597"/>
      <c r="SZK146" s="597"/>
      <c r="SZL146" s="153"/>
      <c r="SZM146" s="597"/>
      <c r="SZN146" s="597"/>
      <c r="SZO146" s="597"/>
      <c r="SZP146" s="153"/>
      <c r="SZQ146" s="597"/>
      <c r="SZR146" s="597"/>
      <c r="SZS146" s="597"/>
      <c r="SZT146" s="153"/>
      <c r="SZU146" s="597"/>
      <c r="SZV146" s="597"/>
      <c r="SZW146" s="597"/>
      <c r="SZX146" s="153"/>
      <c r="SZY146" s="597"/>
      <c r="SZZ146" s="597"/>
      <c r="TAA146" s="597"/>
      <c r="TAB146" s="153"/>
      <c r="TAC146" s="597"/>
      <c r="TAD146" s="597"/>
      <c r="TAE146" s="597"/>
      <c r="TAF146" s="153"/>
      <c r="TAG146" s="597"/>
      <c r="TAH146" s="597"/>
      <c r="TAI146" s="597"/>
      <c r="TAJ146" s="153"/>
      <c r="TAK146" s="597"/>
      <c r="TAL146" s="597"/>
      <c r="TAM146" s="597"/>
      <c r="TAN146" s="153"/>
      <c r="TAO146" s="597"/>
      <c r="TAP146" s="597"/>
      <c r="TAQ146" s="597"/>
      <c r="TAR146" s="153"/>
      <c r="TAS146" s="597"/>
      <c r="TAT146" s="597"/>
      <c r="TAU146" s="597"/>
      <c r="TAV146" s="153"/>
      <c r="TAW146" s="597"/>
      <c r="TAX146" s="597"/>
      <c r="TAY146" s="597"/>
      <c r="TAZ146" s="153"/>
      <c r="TBA146" s="597"/>
      <c r="TBB146" s="597"/>
      <c r="TBC146" s="597"/>
      <c r="TBD146" s="153"/>
      <c r="TBE146" s="597"/>
      <c r="TBF146" s="597"/>
      <c r="TBG146" s="597"/>
      <c r="TBH146" s="153"/>
      <c r="TBI146" s="597"/>
      <c r="TBJ146" s="597"/>
      <c r="TBK146" s="597"/>
      <c r="TBL146" s="153"/>
      <c r="TBM146" s="597"/>
      <c r="TBN146" s="597"/>
      <c r="TBO146" s="597"/>
      <c r="TBP146" s="153"/>
      <c r="TBQ146" s="597"/>
      <c r="TBR146" s="597"/>
      <c r="TBS146" s="597"/>
      <c r="TBT146" s="153"/>
      <c r="TBU146" s="597"/>
      <c r="TBV146" s="597"/>
      <c r="TBW146" s="597"/>
      <c r="TBX146" s="153"/>
      <c r="TBY146" s="597"/>
      <c r="TBZ146" s="597"/>
      <c r="TCA146" s="597"/>
      <c r="TCB146" s="153"/>
      <c r="TCC146" s="597"/>
      <c r="TCD146" s="597"/>
      <c r="TCE146" s="597"/>
      <c r="TCF146" s="153"/>
      <c r="TCG146" s="597"/>
      <c r="TCH146" s="597"/>
      <c r="TCI146" s="597"/>
      <c r="TCJ146" s="153"/>
      <c r="TCK146" s="597"/>
      <c r="TCL146" s="597"/>
      <c r="TCM146" s="597"/>
      <c r="TCN146" s="153"/>
      <c r="TCO146" s="597"/>
      <c r="TCP146" s="597"/>
      <c r="TCQ146" s="597"/>
      <c r="TCR146" s="153"/>
      <c r="TCS146" s="597"/>
      <c r="TCT146" s="597"/>
      <c r="TCU146" s="597"/>
      <c r="TCV146" s="153"/>
      <c r="TCW146" s="597"/>
      <c r="TCX146" s="597"/>
      <c r="TCY146" s="597"/>
      <c r="TCZ146" s="153"/>
      <c r="TDA146" s="597"/>
      <c r="TDB146" s="597"/>
      <c r="TDC146" s="597"/>
      <c r="TDD146" s="153"/>
      <c r="TDE146" s="597"/>
      <c r="TDF146" s="597"/>
      <c r="TDG146" s="597"/>
      <c r="TDH146" s="153"/>
      <c r="TDI146" s="597"/>
      <c r="TDJ146" s="597"/>
      <c r="TDK146" s="597"/>
      <c r="TDL146" s="153"/>
      <c r="TDM146" s="597"/>
      <c r="TDN146" s="597"/>
      <c r="TDO146" s="597"/>
      <c r="TDP146" s="153"/>
      <c r="TDQ146" s="597"/>
      <c r="TDR146" s="597"/>
      <c r="TDS146" s="597"/>
      <c r="TDT146" s="153"/>
      <c r="TDU146" s="597"/>
      <c r="TDV146" s="597"/>
      <c r="TDW146" s="597"/>
      <c r="TDX146" s="153"/>
      <c r="TDY146" s="597"/>
      <c r="TDZ146" s="597"/>
      <c r="TEA146" s="597"/>
      <c r="TEB146" s="153"/>
      <c r="TEC146" s="597"/>
      <c r="TED146" s="597"/>
      <c r="TEE146" s="597"/>
      <c r="TEF146" s="153"/>
      <c r="TEG146" s="597"/>
      <c r="TEH146" s="597"/>
      <c r="TEI146" s="597"/>
      <c r="TEJ146" s="153"/>
      <c r="TEK146" s="597"/>
      <c r="TEL146" s="597"/>
      <c r="TEM146" s="597"/>
      <c r="TEN146" s="153"/>
      <c r="TEO146" s="597"/>
      <c r="TEP146" s="597"/>
      <c r="TEQ146" s="597"/>
      <c r="TER146" s="153"/>
      <c r="TES146" s="597"/>
      <c r="TET146" s="597"/>
      <c r="TEU146" s="597"/>
      <c r="TEV146" s="153"/>
      <c r="TEW146" s="597"/>
      <c r="TEX146" s="597"/>
      <c r="TEY146" s="597"/>
      <c r="TEZ146" s="153"/>
      <c r="TFA146" s="597"/>
      <c r="TFB146" s="597"/>
      <c r="TFC146" s="597"/>
      <c r="TFD146" s="153"/>
      <c r="TFE146" s="597"/>
      <c r="TFF146" s="597"/>
      <c r="TFG146" s="597"/>
      <c r="TFH146" s="153"/>
      <c r="TFI146" s="597"/>
      <c r="TFJ146" s="597"/>
      <c r="TFK146" s="597"/>
      <c r="TFL146" s="153"/>
      <c r="TFM146" s="597"/>
      <c r="TFN146" s="597"/>
      <c r="TFO146" s="597"/>
      <c r="TFP146" s="153"/>
      <c r="TFQ146" s="597"/>
      <c r="TFR146" s="597"/>
      <c r="TFS146" s="597"/>
      <c r="TFT146" s="153"/>
      <c r="TFU146" s="597"/>
      <c r="TFV146" s="597"/>
      <c r="TFW146" s="597"/>
      <c r="TFX146" s="153"/>
      <c r="TFY146" s="597"/>
      <c r="TFZ146" s="597"/>
      <c r="TGA146" s="597"/>
      <c r="TGB146" s="153"/>
      <c r="TGC146" s="597"/>
      <c r="TGD146" s="597"/>
      <c r="TGE146" s="597"/>
      <c r="TGF146" s="153"/>
      <c r="TGG146" s="597"/>
      <c r="TGH146" s="597"/>
      <c r="TGI146" s="597"/>
      <c r="TGJ146" s="153"/>
      <c r="TGK146" s="597"/>
      <c r="TGL146" s="597"/>
      <c r="TGM146" s="597"/>
      <c r="TGN146" s="153"/>
      <c r="TGO146" s="597"/>
      <c r="TGP146" s="597"/>
      <c r="TGQ146" s="597"/>
      <c r="TGR146" s="153"/>
      <c r="TGS146" s="597"/>
      <c r="TGT146" s="597"/>
      <c r="TGU146" s="597"/>
      <c r="TGV146" s="153"/>
      <c r="TGW146" s="597"/>
      <c r="TGX146" s="597"/>
      <c r="TGY146" s="597"/>
      <c r="TGZ146" s="153"/>
      <c r="THA146" s="597"/>
      <c r="THB146" s="597"/>
      <c r="THC146" s="597"/>
      <c r="THD146" s="153"/>
      <c r="THE146" s="597"/>
      <c r="THF146" s="597"/>
      <c r="THG146" s="597"/>
      <c r="THH146" s="153"/>
      <c r="THI146" s="597"/>
      <c r="THJ146" s="597"/>
      <c r="THK146" s="597"/>
      <c r="THL146" s="153"/>
      <c r="THM146" s="597"/>
      <c r="THN146" s="597"/>
      <c r="THO146" s="597"/>
      <c r="THP146" s="153"/>
      <c r="THQ146" s="597"/>
      <c r="THR146" s="597"/>
      <c r="THS146" s="597"/>
      <c r="THT146" s="153"/>
      <c r="THU146" s="597"/>
      <c r="THV146" s="597"/>
      <c r="THW146" s="597"/>
      <c r="THX146" s="153"/>
      <c r="THY146" s="597"/>
      <c r="THZ146" s="597"/>
      <c r="TIA146" s="597"/>
      <c r="TIB146" s="153"/>
      <c r="TIC146" s="597"/>
      <c r="TID146" s="597"/>
      <c r="TIE146" s="597"/>
      <c r="TIF146" s="153"/>
      <c r="TIG146" s="597"/>
      <c r="TIH146" s="597"/>
      <c r="TII146" s="597"/>
      <c r="TIJ146" s="153"/>
      <c r="TIK146" s="597"/>
      <c r="TIL146" s="597"/>
      <c r="TIM146" s="597"/>
      <c r="TIN146" s="153"/>
      <c r="TIO146" s="597"/>
      <c r="TIP146" s="597"/>
      <c r="TIQ146" s="597"/>
      <c r="TIR146" s="153"/>
      <c r="TIS146" s="597"/>
      <c r="TIT146" s="597"/>
      <c r="TIU146" s="597"/>
      <c r="TIV146" s="153"/>
      <c r="TIW146" s="597"/>
      <c r="TIX146" s="597"/>
      <c r="TIY146" s="597"/>
      <c r="TIZ146" s="153"/>
      <c r="TJA146" s="597"/>
      <c r="TJB146" s="597"/>
      <c r="TJC146" s="597"/>
      <c r="TJD146" s="153"/>
      <c r="TJE146" s="597"/>
      <c r="TJF146" s="597"/>
      <c r="TJG146" s="597"/>
      <c r="TJH146" s="153"/>
      <c r="TJI146" s="597"/>
      <c r="TJJ146" s="597"/>
      <c r="TJK146" s="597"/>
      <c r="TJL146" s="153"/>
      <c r="TJM146" s="597"/>
      <c r="TJN146" s="597"/>
      <c r="TJO146" s="597"/>
      <c r="TJP146" s="153"/>
      <c r="TJQ146" s="597"/>
      <c r="TJR146" s="597"/>
      <c r="TJS146" s="597"/>
      <c r="TJT146" s="153"/>
      <c r="TJU146" s="597"/>
      <c r="TJV146" s="597"/>
      <c r="TJW146" s="597"/>
      <c r="TJX146" s="153"/>
      <c r="TJY146" s="597"/>
      <c r="TJZ146" s="597"/>
      <c r="TKA146" s="597"/>
      <c r="TKB146" s="153"/>
      <c r="TKC146" s="597"/>
      <c r="TKD146" s="597"/>
      <c r="TKE146" s="597"/>
      <c r="TKF146" s="153"/>
      <c r="TKG146" s="597"/>
      <c r="TKH146" s="597"/>
      <c r="TKI146" s="597"/>
      <c r="TKJ146" s="153"/>
      <c r="TKK146" s="597"/>
      <c r="TKL146" s="597"/>
      <c r="TKM146" s="597"/>
      <c r="TKN146" s="153"/>
      <c r="TKO146" s="597"/>
      <c r="TKP146" s="597"/>
      <c r="TKQ146" s="597"/>
      <c r="TKR146" s="153"/>
      <c r="TKS146" s="597"/>
      <c r="TKT146" s="597"/>
      <c r="TKU146" s="597"/>
      <c r="TKV146" s="153"/>
      <c r="TKW146" s="597"/>
      <c r="TKX146" s="597"/>
      <c r="TKY146" s="597"/>
      <c r="TKZ146" s="153"/>
      <c r="TLA146" s="597"/>
      <c r="TLB146" s="597"/>
      <c r="TLC146" s="597"/>
      <c r="TLD146" s="153"/>
      <c r="TLE146" s="597"/>
      <c r="TLF146" s="597"/>
      <c r="TLG146" s="597"/>
      <c r="TLH146" s="153"/>
      <c r="TLI146" s="597"/>
      <c r="TLJ146" s="597"/>
      <c r="TLK146" s="597"/>
      <c r="TLL146" s="153"/>
      <c r="TLM146" s="597"/>
      <c r="TLN146" s="597"/>
      <c r="TLO146" s="597"/>
      <c r="TLP146" s="153"/>
      <c r="TLQ146" s="597"/>
      <c r="TLR146" s="597"/>
      <c r="TLS146" s="597"/>
      <c r="TLT146" s="153"/>
      <c r="TLU146" s="597"/>
      <c r="TLV146" s="597"/>
      <c r="TLW146" s="597"/>
      <c r="TLX146" s="153"/>
      <c r="TLY146" s="597"/>
      <c r="TLZ146" s="597"/>
      <c r="TMA146" s="597"/>
      <c r="TMB146" s="153"/>
      <c r="TMC146" s="597"/>
      <c r="TMD146" s="597"/>
      <c r="TME146" s="597"/>
      <c r="TMF146" s="153"/>
      <c r="TMG146" s="597"/>
      <c r="TMH146" s="597"/>
      <c r="TMI146" s="597"/>
      <c r="TMJ146" s="153"/>
      <c r="TMK146" s="597"/>
      <c r="TML146" s="597"/>
      <c r="TMM146" s="597"/>
      <c r="TMN146" s="153"/>
      <c r="TMO146" s="597"/>
      <c r="TMP146" s="597"/>
      <c r="TMQ146" s="597"/>
      <c r="TMR146" s="153"/>
      <c r="TMS146" s="597"/>
      <c r="TMT146" s="597"/>
      <c r="TMU146" s="597"/>
      <c r="TMV146" s="153"/>
      <c r="TMW146" s="597"/>
      <c r="TMX146" s="597"/>
      <c r="TMY146" s="597"/>
      <c r="TMZ146" s="153"/>
      <c r="TNA146" s="597"/>
      <c r="TNB146" s="597"/>
      <c r="TNC146" s="597"/>
      <c r="TND146" s="153"/>
      <c r="TNE146" s="597"/>
      <c r="TNF146" s="597"/>
      <c r="TNG146" s="597"/>
      <c r="TNH146" s="153"/>
      <c r="TNI146" s="597"/>
      <c r="TNJ146" s="597"/>
      <c r="TNK146" s="597"/>
      <c r="TNL146" s="153"/>
      <c r="TNM146" s="597"/>
      <c r="TNN146" s="597"/>
      <c r="TNO146" s="597"/>
      <c r="TNP146" s="153"/>
      <c r="TNQ146" s="597"/>
      <c r="TNR146" s="597"/>
      <c r="TNS146" s="597"/>
      <c r="TNT146" s="153"/>
      <c r="TNU146" s="597"/>
      <c r="TNV146" s="597"/>
      <c r="TNW146" s="597"/>
      <c r="TNX146" s="153"/>
      <c r="TNY146" s="597"/>
      <c r="TNZ146" s="597"/>
      <c r="TOA146" s="597"/>
      <c r="TOB146" s="153"/>
      <c r="TOC146" s="597"/>
      <c r="TOD146" s="597"/>
      <c r="TOE146" s="597"/>
      <c r="TOF146" s="153"/>
      <c r="TOG146" s="597"/>
      <c r="TOH146" s="597"/>
      <c r="TOI146" s="597"/>
      <c r="TOJ146" s="153"/>
      <c r="TOK146" s="597"/>
      <c r="TOL146" s="597"/>
      <c r="TOM146" s="597"/>
      <c r="TON146" s="153"/>
      <c r="TOO146" s="597"/>
      <c r="TOP146" s="597"/>
      <c r="TOQ146" s="597"/>
      <c r="TOR146" s="153"/>
      <c r="TOS146" s="597"/>
      <c r="TOT146" s="597"/>
      <c r="TOU146" s="597"/>
      <c r="TOV146" s="153"/>
      <c r="TOW146" s="597"/>
      <c r="TOX146" s="597"/>
      <c r="TOY146" s="597"/>
      <c r="TOZ146" s="153"/>
      <c r="TPA146" s="597"/>
      <c r="TPB146" s="597"/>
      <c r="TPC146" s="597"/>
      <c r="TPD146" s="153"/>
      <c r="TPE146" s="597"/>
      <c r="TPF146" s="597"/>
      <c r="TPG146" s="597"/>
      <c r="TPH146" s="153"/>
      <c r="TPI146" s="597"/>
      <c r="TPJ146" s="597"/>
      <c r="TPK146" s="597"/>
      <c r="TPL146" s="153"/>
      <c r="TPM146" s="597"/>
      <c r="TPN146" s="597"/>
      <c r="TPO146" s="597"/>
      <c r="TPP146" s="153"/>
      <c r="TPQ146" s="597"/>
      <c r="TPR146" s="597"/>
      <c r="TPS146" s="597"/>
      <c r="TPT146" s="153"/>
      <c r="TPU146" s="597"/>
      <c r="TPV146" s="597"/>
      <c r="TPW146" s="597"/>
      <c r="TPX146" s="153"/>
      <c r="TPY146" s="597"/>
      <c r="TPZ146" s="597"/>
      <c r="TQA146" s="597"/>
      <c r="TQB146" s="153"/>
      <c r="TQC146" s="597"/>
      <c r="TQD146" s="597"/>
      <c r="TQE146" s="597"/>
      <c r="TQF146" s="153"/>
      <c r="TQG146" s="597"/>
      <c r="TQH146" s="597"/>
      <c r="TQI146" s="597"/>
      <c r="TQJ146" s="153"/>
      <c r="TQK146" s="597"/>
      <c r="TQL146" s="597"/>
      <c r="TQM146" s="597"/>
      <c r="TQN146" s="153"/>
      <c r="TQO146" s="597"/>
      <c r="TQP146" s="597"/>
      <c r="TQQ146" s="597"/>
      <c r="TQR146" s="153"/>
      <c r="TQS146" s="597"/>
      <c r="TQT146" s="597"/>
      <c r="TQU146" s="597"/>
      <c r="TQV146" s="153"/>
      <c r="TQW146" s="597"/>
      <c r="TQX146" s="597"/>
      <c r="TQY146" s="597"/>
      <c r="TQZ146" s="153"/>
      <c r="TRA146" s="597"/>
      <c r="TRB146" s="597"/>
      <c r="TRC146" s="597"/>
      <c r="TRD146" s="153"/>
      <c r="TRE146" s="597"/>
      <c r="TRF146" s="597"/>
      <c r="TRG146" s="597"/>
      <c r="TRH146" s="153"/>
      <c r="TRI146" s="597"/>
      <c r="TRJ146" s="597"/>
      <c r="TRK146" s="597"/>
      <c r="TRL146" s="153"/>
      <c r="TRM146" s="597"/>
      <c r="TRN146" s="597"/>
      <c r="TRO146" s="597"/>
      <c r="TRP146" s="153"/>
      <c r="TRQ146" s="597"/>
      <c r="TRR146" s="597"/>
      <c r="TRS146" s="597"/>
      <c r="TRT146" s="153"/>
      <c r="TRU146" s="597"/>
      <c r="TRV146" s="597"/>
      <c r="TRW146" s="597"/>
      <c r="TRX146" s="153"/>
      <c r="TRY146" s="597"/>
      <c r="TRZ146" s="597"/>
      <c r="TSA146" s="597"/>
      <c r="TSB146" s="153"/>
      <c r="TSC146" s="597"/>
      <c r="TSD146" s="597"/>
      <c r="TSE146" s="597"/>
      <c r="TSF146" s="153"/>
      <c r="TSG146" s="597"/>
      <c r="TSH146" s="597"/>
      <c r="TSI146" s="597"/>
      <c r="TSJ146" s="153"/>
      <c r="TSK146" s="597"/>
      <c r="TSL146" s="597"/>
      <c r="TSM146" s="597"/>
      <c r="TSN146" s="153"/>
      <c r="TSO146" s="597"/>
      <c r="TSP146" s="597"/>
      <c r="TSQ146" s="597"/>
      <c r="TSR146" s="153"/>
      <c r="TSS146" s="597"/>
      <c r="TST146" s="597"/>
      <c r="TSU146" s="597"/>
      <c r="TSV146" s="153"/>
      <c r="TSW146" s="597"/>
      <c r="TSX146" s="597"/>
      <c r="TSY146" s="597"/>
      <c r="TSZ146" s="153"/>
      <c r="TTA146" s="597"/>
      <c r="TTB146" s="597"/>
      <c r="TTC146" s="597"/>
      <c r="TTD146" s="153"/>
      <c r="TTE146" s="597"/>
      <c r="TTF146" s="597"/>
      <c r="TTG146" s="597"/>
      <c r="TTH146" s="153"/>
      <c r="TTI146" s="597"/>
      <c r="TTJ146" s="597"/>
      <c r="TTK146" s="597"/>
      <c r="TTL146" s="153"/>
      <c r="TTM146" s="597"/>
      <c r="TTN146" s="597"/>
      <c r="TTO146" s="597"/>
      <c r="TTP146" s="153"/>
      <c r="TTQ146" s="597"/>
      <c r="TTR146" s="597"/>
      <c r="TTS146" s="597"/>
      <c r="TTT146" s="153"/>
      <c r="TTU146" s="597"/>
      <c r="TTV146" s="597"/>
      <c r="TTW146" s="597"/>
      <c r="TTX146" s="153"/>
      <c r="TTY146" s="597"/>
      <c r="TTZ146" s="597"/>
      <c r="TUA146" s="597"/>
      <c r="TUB146" s="153"/>
      <c r="TUC146" s="597"/>
      <c r="TUD146" s="597"/>
      <c r="TUE146" s="597"/>
      <c r="TUF146" s="153"/>
      <c r="TUG146" s="597"/>
      <c r="TUH146" s="597"/>
      <c r="TUI146" s="597"/>
      <c r="TUJ146" s="153"/>
      <c r="TUK146" s="597"/>
      <c r="TUL146" s="597"/>
      <c r="TUM146" s="597"/>
      <c r="TUN146" s="153"/>
      <c r="TUO146" s="597"/>
      <c r="TUP146" s="597"/>
      <c r="TUQ146" s="597"/>
      <c r="TUR146" s="153"/>
      <c r="TUS146" s="597"/>
      <c r="TUT146" s="597"/>
      <c r="TUU146" s="597"/>
      <c r="TUV146" s="153"/>
      <c r="TUW146" s="597"/>
      <c r="TUX146" s="597"/>
      <c r="TUY146" s="597"/>
      <c r="TUZ146" s="153"/>
      <c r="TVA146" s="597"/>
      <c r="TVB146" s="597"/>
      <c r="TVC146" s="597"/>
      <c r="TVD146" s="153"/>
      <c r="TVE146" s="597"/>
      <c r="TVF146" s="597"/>
      <c r="TVG146" s="597"/>
      <c r="TVH146" s="153"/>
      <c r="TVI146" s="597"/>
      <c r="TVJ146" s="597"/>
      <c r="TVK146" s="597"/>
      <c r="TVL146" s="153"/>
      <c r="TVM146" s="597"/>
      <c r="TVN146" s="597"/>
      <c r="TVO146" s="597"/>
      <c r="TVP146" s="153"/>
      <c r="TVQ146" s="597"/>
      <c r="TVR146" s="597"/>
      <c r="TVS146" s="597"/>
      <c r="TVT146" s="153"/>
      <c r="TVU146" s="597"/>
      <c r="TVV146" s="597"/>
      <c r="TVW146" s="597"/>
      <c r="TVX146" s="153"/>
      <c r="TVY146" s="597"/>
      <c r="TVZ146" s="597"/>
      <c r="TWA146" s="597"/>
      <c r="TWB146" s="153"/>
      <c r="TWC146" s="597"/>
      <c r="TWD146" s="597"/>
      <c r="TWE146" s="597"/>
      <c r="TWF146" s="153"/>
      <c r="TWG146" s="597"/>
      <c r="TWH146" s="597"/>
      <c r="TWI146" s="597"/>
      <c r="TWJ146" s="153"/>
      <c r="TWK146" s="597"/>
      <c r="TWL146" s="597"/>
      <c r="TWM146" s="597"/>
      <c r="TWN146" s="153"/>
      <c r="TWO146" s="597"/>
      <c r="TWP146" s="597"/>
      <c r="TWQ146" s="597"/>
      <c r="TWR146" s="153"/>
      <c r="TWS146" s="597"/>
      <c r="TWT146" s="597"/>
      <c r="TWU146" s="597"/>
      <c r="TWV146" s="153"/>
      <c r="TWW146" s="597"/>
      <c r="TWX146" s="597"/>
      <c r="TWY146" s="597"/>
      <c r="TWZ146" s="153"/>
      <c r="TXA146" s="597"/>
      <c r="TXB146" s="597"/>
      <c r="TXC146" s="597"/>
      <c r="TXD146" s="153"/>
      <c r="TXE146" s="597"/>
      <c r="TXF146" s="597"/>
      <c r="TXG146" s="597"/>
      <c r="TXH146" s="153"/>
      <c r="TXI146" s="597"/>
      <c r="TXJ146" s="597"/>
      <c r="TXK146" s="597"/>
      <c r="TXL146" s="153"/>
      <c r="TXM146" s="597"/>
      <c r="TXN146" s="597"/>
      <c r="TXO146" s="597"/>
      <c r="TXP146" s="153"/>
      <c r="TXQ146" s="597"/>
      <c r="TXR146" s="597"/>
      <c r="TXS146" s="597"/>
      <c r="TXT146" s="153"/>
      <c r="TXU146" s="597"/>
      <c r="TXV146" s="597"/>
      <c r="TXW146" s="597"/>
      <c r="TXX146" s="153"/>
      <c r="TXY146" s="597"/>
      <c r="TXZ146" s="597"/>
      <c r="TYA146" s="597"/>
      <c r="TYB146" s="153"/>
      <c r="TYC146" s="597"/>
      <c r="TYD146" s="597"/>
      <c r="TYE146" s="597"/>
      <c r="TYF146" s="153"/>
      <c r="TYG146" s="597"/>
      <c r="TYH146" s="597"/>
      <c r="TYI146" s="597"/>
      <c r="TYJ146" s="153"/>
      <c r="TYK146" s="597"/>
      <c r="TYL146" s="597"/>
      <c r="TYM146" s="597"/>
      <c r="TYN146" s="153"/>
      <c r="TYO146" s="597"/>
      <c r="TYP146" s="597"/>
      <c r="TYQ146" s="597"/>
      <c r="TYR146" s="153"/>
      <c r="TYS146" s="597"/>
      <c r="TYT146" s="597"/>
      <c r="TYU146" s="597"/>
      <c r="TYV146" s="153"/>
      <c r="TYW146" s="597"/>
      <c r="TYX146" s="597"/>
      <c r="TYY146" s="597"/>
      <c r="TYZ146" s="153"/>
      <c r="TZA146" s="597"/>
      <c r="TZB146" s="597"/>
      <c r="TZC146" s="597"/>
      <c r="TZD146" s="153"/>
      <c r="TZE146" s="597"/>
      <c r="TZF146" s="597"/>
      <c r="TZG146" s="597"/>
      <c r="TZH146" s="153"/>
      <c r="TZI146" s="597"/>
      <c r="TZJ146" s="597"/>
      <c r="TZK146" s="597"/>
      <c r="TZL146" s="153"/>
      <c r="TZM146" s="597"/>
      <c r="TZN146" s="597"/>
      <c r="TZO146" s="597"/>
      <c r="TZP146" s="153"/>
      <c r="TZQ146" s="597"/>
      <c r="TZR146" s="597"/>
      <c r="TZS146" s="597"/>
      <c r="TZT146" s="153"/>
      <c r="TZU146" s="597"/>
      <c r="TZV146" s="597"/>
      <c r="TZW146" s="597"/>
      <c r="TZX146" s="153"/>
      <c r="TZY146" s="597"/>
      <c r="TZZ146" s="597"/>
      <c r="UAA146" s="597"/>
      <c r="UAB146" s="153"/>
      <c r="UAC146" s="597"/>
      <c r="UAD146" s="597"/>
      <c r="UAE146" s="597"/>
      <c r="UAF146" s="153"/>
      <c r="UAG146" s="597"/>
      <c r="UAH146" s="597"/>
      <c r="UAI146" s="597"/>
      <c r="UAJ146" s="153"/>
      <c r="UAK146" s="597"/>
      <c r="UAL146" s="597"/>
      <c r="UAM146" s="597"/>
      <c r="UAN146" s="153"/>
      <c r="UAO146" s="597"/>
      <c r="UAP146" s="597"/>
      <c r="UAQ146" s="597"/>
      <c r="UAR146" s="153"/>
      <c r="UAS146" s="597"/>
      <c r="UAT146" s="597"/>
      <c r="UAU146" s="597"/>
      <c r="UAV146" s="153"/>
      <c r="UAW146" s="597"/>
      <c r="UAX146" s="597"/>
      <c r="UAY146" s="597"/>
      <c r="UAZ146" s="153"/>
      <c r="UBA146" s="597"/>
      <c r="UBB146" s="597"/>
      <c r="UBC146" s="597"/>
      <c r="UBD146" s="153"/>
      <c r="UBE146" s="597"/>
      <c r="UBF146" s="597"/>
      <c r="UBG146" s="597"/>
      <c r="UBH146" s="153"/>
      <c r="UBI146" s="597"/>
      <c r="UBJ146" s="597"/>
      <c r="UBK146" s="597"/>
      <c r="UBL146" s="153"/>
      <c r="UBM146" s="597"/>
      <c r="UBN146" s="597"/>
      <c r="UBO146" s="597"/>
      <c r="UBP146" s="153"/>
      <c r="UBQ146" s="597"/>
      <c r="UBR146" s="597"/>
      <c r="UBS146" s="597"/>
      <c r="UBT146" s="153"/>
      <c r="UBU146" s="597"/>
      <c r="UBV146" s="597"/>
      <c r="UBW146" s="597"/>
      <c r="UBX146" s="153"/>
      <c r="UBY146" s="597"/>
      <c r="UBZ146" s="597"/>
      <c r="UCA146" s="597"/>
      <c r="UCB146" s="153"/>
      <c r="UCC146" s="597"/>
      <c r="UCD146" s="597"/>
      <c r="UCE146" s="597"/>
      <c r="UCF146" s="153"/>
      <c r="UCG146" s="597"/>
      <c r="UCH146" s="597"/>
      <c r="UCI146" s="597"/>
      <c r="UCJ146" s="153"/>
      <c r="UCK146" s="597"/>
      <c r="UCL146" s="597"/>
      <c r="UCM146" s="597"/>
      <c r="UCN146" s="153"/>
      <c r="UCO146" s="597"/>
      <c r="UCP146" s="597"/>
      <c r="UCQ146" s="597"/>
      <c r="UCR146" s="153"/>
      <c r="UCS146" s="597"/>
      <c r="UCT146" s="597"/>
      <c r="UCU146" s="597"/>
      <c r="UCV146" s="153"/>
      <c r="UCW146" s="597"/>
      <c r="UCX146" s="597"/>
      <c r="UCY146" s="597"/>
      <c r="UCZ146" s="153"/>
      <c r="UDA146" s="597"/>
      <c r="UDB146" s="597"/>
      <c r="UDC146" s="597"/>
      <c r="UDD146" s="153"/>
      <c r="UDE146" s="597"/>
      <c r="UDF146" s="597"/>
      <c r="UDG146" s="597"/>
      <c r="UDH146" s="153"/>
      <c r="UDI146" s="597"/>
      <c r="UDJ146" s="597"/>
      <c r="UDK146" s="597"/>
      <c r="UDL146" s="153"/>
      <c r="UDM146" s="597"/>
      <c r="UDN146" s="597"/>
      <c r="UDO146" s="597"/>
      <c r="UDP146" s="153"/>
      <c r="UDQ146" s="597"/>
      <c r="UDR146" s="597"/>
      <c r="UDS146" s="597"/>
      <c r="UDT146" s="153"/>
      <c r="UDU146" s="597"/>
      <c r="UDV146" s="597"/>
      <c r="UDW146" s="597"/>
      <c r="UDX146" s="153"/>
      <c r="UDY146" s="597"/>
      <c r="UDZ146" s="597"/>
      <c r="UEA146" s="597"/>
      <c r="UEB146" s="153"/>
      <c r="UEC146" s="597"/>
      <c r="UED146" s="597"/>
      <c r="UEE146" s="597"/>
      <c r="UEF146" s="153"/>
      <c r="UEG146" s="597"/>
      <c r="UEH146" s="597"/>
      <c r="UEI146" s="597"/>
      <c r="UEJ146" s="153"/>
      <c r="UEK146" s="597"/>
      <c r="UEL146" s="597"/>
      <c r="UEM146" s="597"/>
      <c r="UEN146" s="153"/>
      <c r="UEO146" s="597"/>
      <c r="UEP146" s="597"/>
      <c r="UEQ146" s="597"/>
      <c r="UER146" s="153"/>
      <c r="UES146" s="597"/>
      <c r="UET146" s="597"/>
      <c r="UEU146" s="597"/>
      <c r="UEV146" s="153"/>
      <c r="UEW146" s="597"/>
      <c r="UEX146" s="597"/>
      <c r="UEY146" s="597"/>
      <c r="UEZ146" s="153"/>
      <c r="UFA146" s="597"/>
      <c r="UFB146" s="597"/>
      <c r="UFC146" s="597"/>
      <c r="UFD146" s="153"/>
      <c r="UFE146" s="597"/>
      <c r="UFF146" s="597"/>
      <c r="UFG146" s="597"/>
      <c r="UFH146" s="153"/>
      <c r="UFI146" s="597"/>
      <c r="UFJ146" s="597"/>
      <c r="UFK146" s="597"/>
      <c r="UFL146" s="153"/>
      <c r="UFM146" s="597"/>
      <c r="UFN146" s="597"/>
      <c r="UFO146" s="597"/>
      <c r="UFP146" s="153"/>
      <c r="UFQ146" s="597"/>
      <c r="UFR146" s="597"/>
      <c r="UFS146" s="597"/>
      <c r="UFT146" s="153"/>
      <c r="UFU146" s="597"/>
      <c r="UFV146" s="597"/>
      <c r="UFW146" s="597"/>
      <c r="UFX146" s="153"/>
      <c r="UFY146" s="597"/>
      <c r="UFZ146" s="597"/>
      <c r="UGA146" s="597"/>
      <c r="UGB146" s="153"/>
      <c r="UGC146" s="597"/>
      <c r="UGD146" s="597"/>
      <c r="UGE146" s="597"/>
      <c r="UGF146" s="153"/>
      <c r="UGG146" s="597"/>
      <c r="UGH146" s="597"/>
      <c r="UGI146" s="597"/>
      <c r="UGJ146" s="153"/>
      <c r="UGK146" s="597"/>
      <c r="UGL146" s="597"/>
      <c r="UGM146" s="597"/>
      <c r="UGN146" s="153"/>
      <c r="UGO146" s="597"/>
      <c r="UGP146" s="597"/>
      <c r="UGQ146" s="597"/>
      <c r="UGR146" s="153"/>
      <c r="UGS146" s="597"/>
      <c r="UGT146" s="597"/>
      <c r="UGU146" s="597"/>
      <c r="UGV146" s="153"/>
      <c r="UGW146" s="597"/>
      <c r="UGX146" s="597"/>
      <c r="UGY146" s="597"/>
      <c r="UGZ146" s="153"/>
      <c r="UHA146" s="597"/>
      <c r="UHB146" s="597"/>
      <c r="UHC146" s="597"/>
      <c r="UHD146" s="153"/>
      <c r="UHE146" s="597"/>
      <c r="UHF146" s="597"/>
      <c r="UHG146" s="597"/>
      <c r="UHH146" s="153"/>
      <c r="UHI146" s="597"/>
      <c r="UHJ146" s="597"/>
      <c r="UHK146" s="597"/>
      <c r="UHL146" s="153"/>
      <c r="UHM146" s="597"/>
      <c r="UHN146" s="597"/>
      <c r="UHO146" s="597"/>
      <c r="UHP146" s="153"/>
      <c r="UHQ146" s="597"/>
      <c r="UHR146" s="597"/>
      <c r="UHS146" s="597"/>
      <c r="UHT146" s="153"/>
      <c r="UHU146" s="597"/>
      <c r="UHV146" s="597"/>
      <c r="UHW146" s="597"/>
      <c r="UHX146" s="153"/>
      <c r="UHY146" s="597"/>
      <c r="UHZ146" s="597"/>
      <c r="UIA146" s="597"/>
      <c r="UIB146" s="153"/>
      <c r="UIC146" s="597"/>
      <c r="UID146" s="597"/>
      <c r="UIE146" s="597"/>
      <c r="UIF146" s="153"/>
      <c r="UIG146" s="597"/>
      <c r="UIH146" s="597"/>
      <c r="UII146" s="597"/>
      <c r="UIJ146" s="153"/>
      <c r="UIK146" s="597"/>
      <c r="UIL146" s="597"/>
      <c r="UIM146" s="597"/>
      <c r="UIN146" s="153"/>
      <c r="UIO146" s="597"/>
      <c r="UIP146" s="597"/>
      <c r="UIQ146" s="597"/>
      <c r="UIR146" s="153"/>
      <c r="UIS146" s="597"/>
      <c r="UIT146" s="597"/>
      <c r="UIU146" s="597"/>
      <c r="UIV146" s="153"/>
      <c r="UIW146" s="597"/>
      <c r="UIX146" s="597"/>
      <c r="UIY146" s="597"/>
      <c r="UIZ146" s="153"/>
      <c r="UJA146" s="597"/>
      <c r="UJB146" s="597"/>
      <c r="UJC146" s="597"/>
      <c r="UJD146" s="153"/>
      <c r="UJE146" s="597"/>
      <c r="UJF146" s="597"/>
      <c r="UJG146" s="597"/>
      <c r="UJH146" s="153"/>
      <c r="UJI146" s="597"/>
      <c r="UJJ146" s="597"/>
      <c r="UJK146" s="597"/>
      <c r="UJL146" s="153"/>
      <c r="UJM146" s="597"/>
      <c r="UJN146" s="597"/>
      <c r="UJO146" s="597"/>
      <c r="UJP146" s="153"/>
      <c r="UJQ146" s="597"/>
      <c r="UJR146" s="597"/>
      <c r="UJS146" s="597"/>
      <c r="UJT146" s="153"/>
      <c r="UJU146" s="597"/>
      <c r="UJV146" s="597"/>
      <c r="UJW146" s="597"/>
      <c r="UJX146" s="153"/>
      <c r="UJY146" s="597"/>
      <c r="UJZ146" s="597"/>
      <c r="UKA146" s="597"/>
      <c r="UKB146" s="153"/>
      <c r="UKC146" s="597"/>
      <c r="UKD146" s="597"/>
      <c r="UKE146" s="597"/>
      <c r="UKF146" s="153"/>
      <c r="UKG146" s="597"/>
      <c r="UKH146" s="597"/>
      <c r="UKI146" s="597"/>
      <c r="UKJ146" s="153"/>
      <c r="UKK146" s="597"/>
      <c r="UKL146" s="597"/>
      <c r="UKM146" s="597"/>
      <c r="UKN146" s="153"/>
      <c r="UKO146" s="597"/>
      <c r="UKP146" s="597"/>
      <c r="UKQ146" s="597"/>
      <c r="UKR146" s="153"/>
      <c r="UKS146" s="597"/>
      <c r="UKT146" s="597"/>
      <c r="UKU146" s="597"/>
      <c r="UKV146" s="153"/>
      <c r="UKW146" s="597"/>
      <c r="UKX146" s="597"/>
      <c r="UKY146" s="597"/>
      <c r="UKZ146" s="153"/>
      <c r="ULA146" s="597"/>
      <c r="ULB146" s="597"/>
      <c r="ULC146" s="597"/>
      <c r="ULD146" s="153"/>
      <c r="ULE146" s="597"/>
      <c r="ULF146" s="597"/>
      <c r="ULG146" s="597"/>
      <c r="ULH146" s="153"/>
      <c r="ULI146" s="597"/>
      <c r="ULJ146" s="597"/>
      <c r="ULK146" s="597"/>
      <c r="ULL146" s="153"/>
      <c r="ULM146" s="597"/>
      <c r="ULN146" s="597"/>
      <c r="ULO146" s="597"/>
      <c r="ULP146" s="153"/>
      <c r="ULQ146" s="597"/>
      <c r="ULR146" s="597"/>
      <c r="ULS146" s="597"/>
      <c r="ULT146" s="153"/>
      <c r="ULU146" s="597"/>
      <c r="ULV146" s="597"/>
      <c r="ULW146" s="597"/>
      <c r="ULX146" s="153"/>
      <c r="ULY146" s="597"/>
      <c r="ULZ146" s="597"/>
      <c r="UMA146" s="597"/>
      <c r="UMB146" s="153"/>
      <c r="UMC146" s="597"/>
      <c r="UMD146" s="597"/>
      <c r="UME146" s="597"/>
      <c r="UMF146" s="153"/>
      <c r="UMG146" s="597"/>
      <c r="UMH146" s="597"/>
      <c r="UMI146" s="597"/>
      <c r="UMJ146" s="153"/>
      <c r="UMK146" s="597"/>
      <c r="UML146" s="597"/>
      <c r="UMM146" s="597"/>
      <c r="UMN146" s="153"/>
      <c r="UMO146" s="597"/>
      <c r="UMP146" s="597"/>
      <c r="UMQ146" s="597"/>
      <c r="UMR146" s="153"/>
      <c r="UMS146" s="597"/>
      <c r="UMT146" s="597"/>
      <c r="UMU146" s="597"/>
      <c r="UMV146" s="153"/>
      <c r="UMW146" s="597"/>
      <c r="UMX146" s="597"/>
      <c r="UMY146" s="597"/>
      <c r="UMZ146" s="153"/>
      <c r="UNA146" s="597"/>
      <c r="UNB146" s="597"/>
      <c r="UNC146" s="597"/>
      <c r="UND146" s="153"/>
      <c r="UNE146" s="597"/>
      <c r="UNF146" s="597"/>
      <c r="UNG146" s="597"/>
      <c r="UNH146" s="153"/>
      <c r="UNI146" s="597"/>
      <c r="UNJ146" s="597"/>
      <c r="UNK146" s="597"/>
      <c r="UNL146" s="153"/>
      <c r="UNM146" s="597"/>
      <c r="UNN146" s="597"/>
      <c r="UNO146" s="597"/>
      <c r="UNP146" s="153"/>
      <c r="UNQ146" s="597"/>
      <c r="UNR146" s="597"/>
      <c r="UNS146" s="597"/>
      <c r="UNT146" s="153"/>
      <c r="UNU146" s="597"/>
      <c r="UNV146" s="597"/>
      <c r="UNW146" s="597"/>
      <c r="UNX146" s="153"/>
      <c r="UNY146" s="597"/>
      <c r="UNZ146" s="597"/>
      <c r="UOA146" s="597"/>
      <c r="UOB146" s="153"/>
      <c r="UOC146" s="597"/>
      <c r="UOD146" s="597"/>
      <c r="UOE146" s="597"/>
      <c r="UOF146" s="153"/>
      <c r="UOG146" s="597"/>
      <c r="UOH146" s="597"/>
      <c r="UOI146" s="597"/>
      <c r="UOJ146" s="153"/>
      <c r="UOK146" s="597"/>
      <c r="UOL146" s="597"/>
      <c r="UOM146" s="597"/>
      <c r="UON146" s="153"/>
      <c r="UOO146" s="597"/>
      <c r="UOP146" s="597"/>
      <c r="UOQ146" s="597"/>
      <c r="UOR146" s="153"/>
      <c r="UOS146" s="597"/>
      <c r="UOT146" s="597"/>
      <c r="UOU146" s="597"/>
      <c r="UOV146" s="153"/>
      <c r="UOW146" s="597"/>
      <c r="UOX146" s="597"/>
      <c r="UOY146" s="597"/>
      <c r="UOZ146" s="153"/>
      <c r="UPA146" s="597"/>
      <c r="UPB146" s="597"/>
      <c r="UPC146" s="597"/>
      <c r="UPD146" s="153"/>
      <c r="UPE146" s="597"/>
      <c r="UPF146" s="597"/>
      <c r="UPG146" s="597"/>
      <c r="UPH146" s="153"/>
      <c r="UPI146" s="597"/>
      <c r="UPJ146" s="597"/>
      <c r="UPK146" s="597"/>
      <c r="UPL146" s="153"/>
      <c r="UPM146" s="597"/>
      <c r="UPN146" s="597"/>
      <c r="UPO146" s="597"/>
      <c r="UPP146" s="153"/>
      <c r="UPQ146" s="597"/>
      <c r="UPR146" s="597"/>
      <c r="UPS146" s="597"/>
      <c r="UPT146" s="153"/>
      <c r="UPU146" s="597"/>
      <c r="UPV146" s="597"/>
      <c r="UPW146" s="597"/>
      <c r="UPX146" s="153"/>
      <c r="UPY146" s="597"/>
      <c r="UPZ146" s="597"/>
      <c r="UQA146" s="597"/>
      <c r="UQB146" s="153"/>
      <c r="UQC146" s="597"/>
      <c r="UQD146" s="597"/>
      <c r="UQE146" s="597"/>
      <c r="UQF146" s="153"/>
      <c r="UQG146" s="597"/>
      <c r="UQH146" s="597"/>
      <c r="UQI146" s="597"/>
      <c r="UQJ146" s="153"/>
      <c r="UQK146" s="597"/>
      <c r="UQL146" s="597"/>
      <c r="UQM146" s="597"/>
      <c r="UQN146" s="153"/>
      <c r="UQO146" s="597"/>
      <c r="UQP146" s="597"/>
      <c r="UQQ146" s="597"/>
      <c r="UQR146" s="153"/>
      <c r="UQS146" s="597"/>
      <c r="UQT146" s="597"/>
      <c r="UQU146" s="597"/>
      <c r="UQV146" s="153"/>
      <c r="UQW146" s="597"/>
      <c r="UQX146" s="597"/>
      <c r="UQY146" s="597"/>
      <c r="UQZ146" s="153"/>
      <c r="URA146" s="597"/>
      <c r="URB146" s="597"/>
      <c r="URC146" s="597"/>
      <c r="URD146" s="153"/>
      <c r="URE146" s="597"/>
      <c r="URF146" s="597"/>
      <c r="URG146" s="597"/>
      <c r="URH146" s="153"/>
      <c r="URI146" s="597"/>
      <c r="URJ146" s="597"/>
      <c r="URK146" s="597"/>
      <c r="URL146" s="153"/>
      <c r="URM146" s="597"/>
      <c r="URN146" s="597"/>
      <c r="URO146" s="597"/>
      <c r="URP146" s="153"/>
      <c r="URQ146" s="597"/>
      <c r="URR146" s="597"/>
      <c r="URS146" s="597"/>
      <c r="URT146" s="153"/>
      <c r="URU146" s="597"/>
      <c r="URV146" s="597"/>
      <c r="URW146" s="597"/>
      <c r="URX146" s="153"/>
      <c r="URY146" s="597"/>
      <c r="URZ146" s="597"/>
      <c r="USA146" s="597"/>
      <c r="USB146" s="153"/>
      <c r="USC146" s="597"/>
      <c r="USD146" s="597"/>
      <c r="USE146" s="597"/>
      <c r="USF146" s="153"/>
      <c r="USG146" s="597"/>
      <c r="USH146" s="597"/>
      <c r="USI146" s="597"/>
      <c r="USJ146" s="153"/>
      <c r="USK146" s="597"/>
      <c r="USL146" s="597"/>
      <c r="USM146" s="597"/>
      <c r="USN146" s="153"/>
      <c r="USO146" s="597"/>
      <c r="USP146" s="597"/>
      <c r="USQ146" s="597"/>
      <c r="USR146" s="153"/>
      <c r="USS146" s="597"/>
      <c r="UST146" s="597"/>
      <c r="USU146" s="597"/>
      <c r="USV146" s="153"/>
      <c r="USW146" s="597"/>
      <c r="USX146" s="597"/>
      <c r="USY146" s="597"/>
      <c r="USZ146" s="153"/>
      <c r="UTA146" s="597"/>
      <c r="UTB146" s="597"/>
      <c r="UTC146" s="597"/>
      <c r="UTD146" s="153"/>
      <c r="UTE146" s="597"/>
      <c r="UTF146" s="597"/>
      <c r="UTG146" s="597"/>
      <c r="UTH146" s="153"/>
      <c r="UTI146" s="597"/>
      <c r="UTJ146" s="597"/>
      <c r="UTK146" s="597"/>
      <c r="UTL146" s="153"/>
      <c r="UTM146" s="597"/>
      <c r="UTN146" s="597"/>
      <c r="UTO146" s="597"/>
      <c r="UTP146" s="153"/>
      <c r="UTQ146" s="597"/>
      <c r="UTR146" s="597"/>
      <c r="UTS146" s="597"/>
      <c r="UTT146" s="153"/>
      <c r="UTU146" s="597"/>
      <c r="UTV146" s="597"/>
      <c r="UTW146" s="597"/>
      <c r="UTX146" s="153"/>
      <c r="UTY146" s="597"/>
      <c r="UTZ146" s="597"/>
      <c r="UUA146" s="597"/>
      <c r="UUB146" s="153"/>
      <c r="UUC146" s="597"/>
      <c r="UUD146" s="597"/>
      <c r="UUE146" s="597"/>
      <c r="UUF146" s="153"/>
      <c r="UUG146" s="597"/>
      <c r="UUH146" s="597"/>
      <c r="UUI146" s="597"/>
      <c r="UUJ146" s="153"/>
      <c r="UUK146" s="597"/>
      <c r="UUL146" s="597"/>
      <c r="UUM146" s="597"/>
      <c r="UUN146" s="153"/>
      <c r="UUO146" s="597"/>
      <c r="UUP146" s="597"/>
      <c r="UUQ146" s="597"/>
      <c r="UUR146" s="153"/>
      <c r="UUS146" s="597"/>
      <c r="UUT146" s="597"/>
      <c r="UUU146" s="597"/>
      <c r="UUV146" s="153"/>
      <c r="UUW146" s="597"/>
      <c r="UUX146" s="597"/>
      <c r="UUY146" s="597"/>
      <c r="UUZ146" s="153"/>
      <c r="UVA146" s="597"/>
      <c r="UVB146" s="597"/>
      <c r="UVC146" s="597"/>
      <c r="UVD146" s="153"/>
      <c r="UVE146" s="597"/>
      <c r="UVF146" s="597"/>
      <c r="UVG146" s="597"/>
      <c r="UVH146" s="153"/>
      <c r="UVI146" s="597"/>
      <c r="UVJ146" s="597"/>
      <c r="UVK146" s="597"/>
      <c r="UVL146" s="153"/>
      <c r="UVM146" s="597"/>
      <c r="UVN146" s="597"/>
      <c r="UVO146" s="597"/>
      <c r="UVP146" s="153"/>
      <c r="UVQ146" s="597"/>
      <c r="UVR146" s="597"/>
      <c r="UVS146" s="597"/>
      <c r="UVT146" s="153"/>
      <c r="UVU146" s="597"/>
      <c r="UVV146" s="597"/>
      <c r="UVW146" s="597"/>
      <c r="UVX146" s="153"/>
      <c r="UVY146" s="597"/>
      <c r="UVZ146" s="597"/>
      <c r="UWA146" s="597"/>
      <c r="UWB146" s="153"/>
      <c r="UWC146" s="597"/>
      <c r="UWD146" s="597"/>
      <c r="UWE146" s="597"/>
      <c r="UWF146" s="153"/>
      <c r="UWG146" s="597"/>
      <c r="UWH146" s="597"/>
      <c r="UWI146" s="597"/>
      <c r="UWJ146" s="153"/>
      <c r="UWK146" s="597"/>
      <c r="UWL146" s="597"/>
      <c r="UWM146" s="597"/>
      <c r="UWN146" s="153"/>
      <c r="UWO146" s="597"/>
      <c r="UWP146" s="597"/>
      <c r="UWQ146" s="597"/>
      <c r="UWR146" s="153"/>
      <c r="UWS146" s="597"/>
      <c r="UWT146" s="597"/>
      <c r="UWU146" s="597"/>
      <c r="UWV146" s="153"/>
      <c r="UWW146" s="597"/>
      <c r="UWX146" s="597"/>
      <c r="UWY146" s="597"/>
      <c r="UWZ146" s="153"/>
      <c r="UXA146" s="597"/>
      <c r="UXB146" s="597"/>
      <c r="UXC146" s="597"/>
      <c r="UXD146" s="153"/>
      <c r="UXE146" s="597"/>
      <c r="UXF146" s="597"/>
      <c r="UXG146" s="597"/>
      <c r="UXH146" s="153"/>
      <c r="UXI146" s="597"/>
      <c r="UXJ146" s="597"/>
      <c r="UXK146" s="597"/>
      <c r="UXL146" s="153"/>
      <c r="UXM146" s="597"/>
      <c r="UXN146" s="597"/>
      <c r="UXO146" s="597"/>
      <c r="UXP146" s="153"/>
      <c r="UXQ146" s="597"/>
      <c r="UXR146" s="597"/>
      <c r="UXS146" s="597"/>
      <c r="UXT146" s="153"/>
      <c r="UXU146" s="597"/>
      <c r="UXV146" s="597"/>
      <c r="UXW146" s="597"/>
      <c r="UXX146" s="153"/>
      <c r="UXY146" s="597"/>
      <c r="UXZ146" s="597"/>
      <c r="UYA146" s="597"/>
      <c r="UYB146" s="153"/>
      <c r="UYC146" s="597"/>
      <c r="UYD146" s="597"/>
      <c r="UYE146" s="597"/>
      <c r="UYF146" s="153"/>
      <c r="UYG146" s="597"/>
      <c r="UYH146" s="597"/>
      <c r="UYI146" s="597"/>
      <c r="UYJ146" s="153"/>
      <c r="UYK146" s="597"/>
      <c r="UYL146" s="597"/>
      <c r="UYM146" s="597"/>
      <c r="UYN146" s="153"/>
      <c r="UYO146" s="597"/>
      <c r="UYP146" s="597"/>
      <c r="UYQ146" s="597"/>
      <c r="UYR146" s="153"/>
      <c r="UYS146" s="597"/>
      <c r="UYT146" s="597"/>
      <c r="UYU146" s="597"/>
      <c r="UYV146" s="153"/>
      <c r="UYW146" s="597"/>
      <c r="UYX146" s="597"/>
      <c r="UYY146" s="597"/>
      <c r="UYZ146" s="153"/>
      <c r="UZA146" s="597"/>
      <c r="UZB146" s="597"/>
      <c r="UZC146" s="597"/>
      <c r="UZD146" s="153"/>
      <c r="UZE146" s="597"/>
      <c r="UZF146" s="597"/>
      <c r="UZG146" s="597"/>
      <c r="UZH146" s="153"/>
      <c r="UZI146" s="597"/>
      <c r="UZJ146" s="597"/>
      <c r="UZK146" s="597"/>
      <c r="UZL146" s="153"/>
      <c r="UZM146" s="597"/>
      <c r="UZN146" s="597"/>
      <c r="UZO146" s="597"/>
      <c r="UZP146" s="153"/>
      <c r="UZQ146" s="597"/>
      <c r="UZR146" s="597"/>
      <c r="UZS146" s="597"/>
      <c r="UZT146" s="153"/>
      <c r="UZU146" s="597"/>
      <c r="UZV146" s="597"/>
      <c r="UZW146" s="597"/>
      <c r="UZX146" s="153"/>
      <c r="UZY146" s="597"/>
      <c r="UZZ146" s="597"/>
      <c r="VAA146" s="597"/>
      <c r="VAB146" s="153"/>
      <c r="VAC146" s="597"/>
      <c r="VAD146" s="597"/>
      <c r="VAE146" s="597"/>
      <c r="VAF146" s="153"/>
      <c r="VAG146" s="597"/>
      <c r="VAH146" s="597"/>
      <c r="VAI146" s="597"/>
      <c r="VAJ146" s="153"/>
      <c r="VAK146" s="597"/>
      <c r="VAL146" s="597"/>
      <c r="VAM146" s="597"/>
      <c r="VAN146" s="153"/>
      <c r="VAO146" s="597"/>
      <c r="VAP146" s="597"/>
      <c r="VAQ146" s="597"/>
      <c r="VAR146" s="153"/>
      <c r="VAS146" s="597"/>
      <c r="VAT146" s="597"/>
      <c r="VAU146" s="597"/>
      <c r="VAV146" s="153"/>
      <c r="VAW146" s="597"/>
      <c r="VAX146" s="597"/>
      <c r="VAY146" s="597"/>
      <c r="VAZ146" s="153"/>
      <c r="VBA146" s="597"/>
      <c r="VBB146" s="597"/>
      <c r="VBC146" s="597"/>
      <c r="VBD146" s="153"/>
      <c r="VBE146" s="597"/>
      <c r="VBF146" s="597"/>
      <c r="VBG146" s="597"/>
      <c r="VBH146" s="153"/>
      <c r="VBI146" s="597"/>
      <c r="VBJ146" s="597"/>
      <c r="VBK146" s="597"/>
      <c r="VBL146" s="153"/>
      <c r="VBM146" s="597"/>
      <c r="VBN146" s="597"/>
      <c r="VBO146" s="597"/>
      <c r="VBP146" s="153"/>
      <c r="VBQ146" s="597"/>
      <c r="VBR146" s="597"/>
      <c r="VBS146" s="597"/>
      <c r="VBT146" s="153"/>
      <c r="VBU146" s="597"/>
      <c r="VBV146" s="597"/>
      <c r="VBW146" s="597"/>
      <c r="VBX146" s="153"/>
      <c r="VBY146" s="597"/>
      <c r="VBZ146" s="597"/>
      <c r="VCA146" s="597"/>
      <c r="VCB146" s="153"/>
      <c r="VCC146" s="597"/>
      <c r="VCD146" s="597"/>
      <c r="VCE146" s="597"/>
      <c r="VCF146" s="153"/>
      <c r="VCG146" s="597"/>
      <c r="VCH146" s="597"/>
      <c r="VCI146" s="597"/>
      <c r="VCJ146" s="153"/>
      <c r="VCK146" s="597"/>
      <c r="VCL146" s="597"/>
      <c r="VCM146" s="597"/>
      <c r="VCN146" s="153"/>
      <c r="VCO146" s="597"/>
      <c r="VCP146" s="597"/>
      <c r="VCQ146" s="597"/>
      <c r="VCR146" s="153"/>
      <c r="VCS146" s="597"/>
      <c r="VCT146" s="597"/>
      <c r="VCU146" s="597"/>
      <c r="VCV146" s="153"/>
      <c r="VCW146" s="597"/>
      <c r="VCX146" s="597"/>
      <c r="VCY146" s="597"/>
      <c r="VCZ146" s="153"/>
      <c r="VDA146" s="597"/>
      <c r="VDB146" s="597"/>
      <c r="VDC146" s="597"/>
      <c r="VDD146" s="153"/>
      <c r="VDE146" s="597"/>
      <c r="VDF146" s="597"/>
      <c r="VDG146" s="597"/>
      <c r="VDH146" s="153"/>
      <c r="VDI146" s="597"/>
      <c r="VDJ146" s="597"/>
      <c r="VDK146" s="597"/>
      <c r="VDL146" s="153"/>
      <c r="VDM146" s="597"/>
      <c r="VDN146" s="597"/>
      <c r="VDO146" s="597"/>
      <c r="VDP146" s="153"/>
      <c r="VDQ146" s="597"/>
      <c r="VDR146" s="597"/>
      <c r="VDS146" s="597"/>
      <c r="VDT146" s="153"/>
      <c r="VDU146" s="597"/>
      <c r="VDV146" s="597"/>
      <c r="VDW146" s="597"/>
      <c r="VDX146" s="153"/>
      <c r="VDY146" s="597"/>
      <c r="VDZ146" s="597"/>
      <c r="VEA146" s="597"/>
      <c r="VEB146" s="153"/>
      <c r="VEC146" s="597"/>
      <c r="VED146" s="597"/>
      <c r="VEE146" s="597"/>
      <c r="VEF146" s="153"/>
      <c r="VEG146" s="597"/>
      <c r="VEH146" s="597"/>
      <c r="VEI146" s="597"/>
      <c r="VEJ146" s="153"/>
      <c r="VEK146" s="597"/>
      <c r="VEL146" s="597"/>
      <c r="VEM146" s="597"/>
      <c r="VEN146" s="153"/>
      <c r="VEO146" s="597"/>
      <c r="VEP146" s="597"/>
      <c r="VEQ146" s="597"/>
      <c r="VER146" s="153"/>
      <c r="VES146" s="597"/>
      <c r="VET146" s="597"/>
      <c r="VEU146" s="597"/>
      <c r="VEV146" s="153"/>
      <c r="VEW146" s="597"/>
      <c r="VEX146" s="597"/>
      <c r="VEY146" s="597"/>
      <c r="VEZ146" s="153"/>
      <c r="VFA146" s="597"/>
      <c r="VFB146" s="597"/>
      <c r="VFC146" s="597"/>
      <c r="VFD146" s="153"/>
      <c r="VFE146" s="597"/>
      <c r="VFF146" s="597"/>
      <c r="VFG146" s="597"/>
      <c r="VFH146" s="153"/>
      <c r="VFI146" s="597"/>
      <c r="VFJ146" s="597"/>
      <c r="VFK146" s="597"/>
      <c r="VFL146" s="153"/>
      <c r="VFM146" s="597"/>
      <c r="VFN146" s="597"/>
      <c r="VFO146" s="597"/>
      <c r="VFP146" s="153"/>
      <c r="VFQ146" s="597"/>
      <c r="VFR146" s="597"/>
      <c r="VFS146" s="597"/>
      <c r="VFT146" s="153"/>
      <c r="VFU146" s="597"/>
      <c r="VFV146" s="597"/>
      <c r="VFW146" s="597"/>
      <c r="VFX146" s="153"/>
      <c r="VFY146" s="597"/>
      <c r="VFZ146" s="597"/>
      <c r="VGA146" s="597"/>
      <c r="VGB146" s="153"/>
      <c r="VGC146" s="597"/>
      <c r="VGD146" s="597"/>
      <c r="VGE146" s="597"/>
      <c r="VGF146" s="153"/>
      <c r="VGG146" s="597"/>
      <c r="VGH146" s="597"/>
      <c r="VGI146" s="597"/>
      <c r="VGJ146" s="153"/>
      <c r="VGK146" s="597"/>
      <c r="VGL146" s="597"/>
      <c r="VGM146" s="597"/>
      <c r="VGN146" s="153"/>
      <c r="VGO146" s="597"/>
      <c r="VGP146" s="597"/>
      <c r="VGQ146" s="597"/>
      <c r="VGR146" s="153"/>
      <c r="VGS146" s="597"/>
      <c r="VGT146" s="597"/>
      <c r="VGU146" s="597"/>
      <c r="VGV146" s="153"/>
      <c r="VGW146" s="597"/>
      <c r="VGX146" s="597"/>
      <c r="VGY146" s="597"/>
      <c r="VGZ146" s="153"/>
      <c r="VHA146" s="597"/>
      <c r="VHB146" s="597"/>
      <c r="VHC146" s="597"/>
      <c r="VHD146" s="153"/>
      <c r="VHE146" s="597"/>
      <c r="VHF146" s="597"/>
      <c r="VHG146" s="597"/>
      <c r="VHH146" s="153"/>
      <c r="VHI146" s="597"/>
      <c r="VHJ146" s="597"/>
      <c r="VHK146" s="597"/>
      <c r="VHL146" s="153"/>
      <c r="VHM146" s="597"/>
      <c r="VHN146" s="597"/>
      <c r="VHO146" s="597"/>
      <c r="VHP146" s="153"/>
      <c r="VHQ146" s="597"/>
      <c r="VHR146" s="597"/>
      <c r="VHS146" s="597"/>
      <c r="VHT146" s="153"/>
      <c r="VHU146" s="597"/>
      <c r="VHV146" s="597"/>
      <c r="VHW146" s="597"/>
      <c r="VHX146" s="153"/>
      <c r="VHY146" s="597"/>
      <c r="VHZ146" s="597"/>
      <c r="VIA146" s="597"/>
      <c r="VIB146" s="153"/>
      <c r="VIC146" s="597"/>
      <c r="VID146" s="597"/>
      <c r="VIE146" s="597"/>
      <c r="VIF146" s="153"/>
      <c r="VIG146" s="597"/>
      <c r="VIH146" s="597"/>
      <c r="VII146" s="597"/>
      <c r="VIJ146" s="153"/>
      <c r="VIK146" s="597"/>
      <c r="VIL146" s="597"/>
      <c r="VIM146" s="597"/>
      <c r="VIN146" s="153"/>
      <c r="VIO146" s="597"/>
      <c r="VIP146" s="597"/>
      <c r="VIQ146" s="597"/>
      <c r="VIR146" s="153"/>
      <c r="VIS146" s="597"/>
      <c r="VIT146" s="597"/>
      <c r="VIU146" s="597"/>
      <c r="VIV146" s="153"/>
      <c r="VIW146" s="597"/>
      <c r="VIX146" s="597"/>
      <c r="VIY146" s="597"/>
      <c r="VIZ146" s="153"/>
      <c r="VJA146" s="597"/>
      <c r="VJB146" s="597"/>
      <c r="VJC146" s="597"/>
      <c r="VJD146" s="153"/>
      <c r="VJE146" s="597"/>
      <c r="VJF146" s="597"/>
      <c r="VJG146" s="597"/>
      <c r="VJH146" s="153"/>
      <c r="VJI146" s="597"/>
      <c r="VJJ146" s="597"/>
      <c r="VJK146" s="597"/>
      <c r="VJL146" s="153"/>
      <c r="VJM146" s="597"/>
      <c r="VJN146" s="597"/>
      <c r="VJO146" s="597"/>
      <c r="VJP146" s="153"/>
      <c r="VJQ146" s="597"/>
      <c r="VJR146" s="597"/>
      <c r="VJS146" s="597"/>
      <c r="VJT146" s="153"/>
      <c r="VJU146" s="597"/>
      <c r="VJV146" s="597"/>
      <c r="VJW146" s="597"/>
      <c r="VJX146" s="153"/>
      <c r="VJY146" s="597"/>
      <c r="VJZ146" s="597"/>
      <c r="VKA146" s="597"/>
      <c r="VKB146" s="153"/>
      <c r="VKC146" s="597"/>
      <c r="VKD146" s="597"/>
      <c r="VKE146" s="597"/>
      <c r="VKF146" s="153"/>
      <c r="VKG146" s="597"/>
      <c r="VKH146" s="597"/>
      <c r="VKI146" s="597"/>
      <c r="VKJ146" s="153"/>
      <c r="VKK146" s="597"/>
      <c r="VKL146" s="597"/>
      <c r="VKM146" s="597"/>
      <c r="VKN146" s="153"/>
      <c r="VKO146" s="597"/>
      <c r="VKP146" s="597"/>
      <c r="VKQ146" s="597"/>
      <c r="VKR146" s="153"/>
      <c r="VKS146" s="597"/>
      <c r="VKT146" s="597"/>
      <c r="VKU146" s="597"/>
      <c r="VKV146" s="153"/>
      <c r="VKW146" s="597"/>
      <c r="VKX146" s="597"/>
      <c r="VKY146" s="597"/>
      <c r="VKZ146" s="153"/>
      <c r="VLA146" s="597"/>
      <c r="VLB146" s="597"/>
      <c r="VLC146" s="597"/>
      <c r="VLD146" s="153"/>
      <c r="VLE146" s="597"/>
      <c r="VLF146" s="597"/>
      <c r="VLG146" s="597"/>
      <c r="VLH146" s="153"/>
      <c r="VLI146" s="597"/>
      <c r="VLJ146" s="597"/>
      <c r="VLK146" s="597"/>
      <c r="VLL146" s="153"/>
      <c r="VLM146" s="597"/>
      <c r="VLN146" s="597"/>
      <c r="VLO146" s="597"/>
      <c r="VLP146" s="153"/>
      <c r="VLQ146" s="597"/>
      <c r="VLR146" s="597"/>
      <c r="VLS146" s="597"/>
      <c r="VLT146" s="153"/>
      <c r="VLU146" s="597"/>
      <c r="VLV146" s="597"/>
      <c r="VLW146" s="597"/>
      <c r="VLX146" s="153"/>
      <c r="VLY146" s="597"/>
      <c r="VLZ146" s="597"/>
      <c r="VMA146" s="597"/>
      <c r="VMB146" s="153"/>
      <c r="VMC146" s="597"/>
      <c r="VMD146" s="597"/>
      <c r="VME146" s="597"/>
      <c r="VMF146" s="153"/>
      <c r="VMG146" s="597"/>
      <c r="VMH146" s="597"/>
      <c r="VMI146" s="597"/>
      <c r="VMJ146" s="153"/>
      <c r="VMK146" s="597"/>
      <c r="VML146" s="597"/>
      <c r="VMM146" s="597"/>
      <c r="VMN146" s="153"/>
      <c r="VMO146" s="597"/>
      <c r="VMP146" s="597"/>
      <c r="VMQ146" s="597"/>
      <c r="VMR146" s="153"/>
      <c r="VMS146" s="597"/>
      <c r="VMT146" s="597"/>
      <c r="VMU146" s="597"/>
      <c r="VMV146" s="153"/>
      <c r="VMW146" s="597"/>
      <c r="VMX146" s="597"/>
      <c r="VMY146" s="597"/>
      <c r="VMZ146" s="153"/>
      <c r="VNA146" s="597"/>
      <c r="VNB146" s="597"/>
      <c r="VNC146" s="597"/>
      <c r="VND146" s="153"/>
      <c r="VNE146" s="597"/>
      <c r="VNF146" s="597"/>
      <c r="VNG146" s="597"/>
      <c r="VNH146" s="153"/>
      <c r="VNI146" s="597"/>
      <c r="VNJ146" s="597"/>
      <c r="VNK146" s="597"/>
      <c r="VNL146" s="153"/>
      <c r="VNM146" s="597"/>
      <c r="VNN146" s="597"/>
      <c r="VNO146" s="597"/>
      <c r="VNP146" s="153"/>
      <c r="VNQ146" s="597"/>
      <c r="VNR146" s="597"/>
      <c r="VNS146" s="597"/>
      <c r="VNT146" s="153"/>
      <c r="VNU146" s="597"/>
      <c r="VNV146" s="597"/>
      <c r="VNW146" s="597"/>
      <c r="VNX146" s="153"/>
      <c r="VNY146" s="597"/>
      <c r="VNZ146" s="597"/>
      <c r="VOA146" s="597"/>
      <c r="VOB146" s="153"/>
      <c r="VOC146" s="597"/>
      <c r="VOD146" s="597"/>
      <c r="VOE146" s="597"/>
      <c r="VOF146" s="153"/>
      <c r="VOG146" s="597"/>
      <c r="VOH146" s="597"/>
      <c r="VOI146" s="597"/>
      <c r="VOJ146" s="153"/>
      <c r="VOK146" s="597"/>
      <c r="VOL146" s="597"/>
      <c r="VOM146" s="597"/>
      <c r="VON146" s="153"/>
      <c r="VOO146" s="597"/>
      <c r="VOP146" s="597"/>
      <c r="VOQ146" s="597"/>
      <c r="VOR146" s="153"/>
      <c r="VOS146" s="597"/>
      <c r="VOT146" s="597"/>
      <c r="VOU146" s="597"/>
      <c r="VOV146" s="153"/>
      <c r="VOW146" s="597"/>
      <c r="VOX146" s="597"/>
      <c r="VOY146" s="597"/>
      <c r="VOZ146" s="153"/>
      <c r="VPA146" s="597"/>
      <c r="VPB146" s="597"/>
      <c r="VPC146" s="597"/>
      <c r="VPD146" s="153"/>
      <c r="VPE146" s="597"/>
      <c r="VPF146" s="597"/>
      <c r="VPG146" s="597"/>
      <c r="VPH146" s="153"/>
      <c r="VPI146" s="597"/>
      <c r="VPJ146" s="597"/>
      <c r="VPK146" s="597"/>
      <c r="VPL146" s="153"/>
      <c r="VPM146" s="597"/>
      <c r="VPN146" s="597"/>
      <c r="VPO146" s="597"/>
      <c r="VPP146" s="153"/>
      <c r="VPQ146" s="597"/>
      <c r="VPR146" s="597"/>
      <c r="VPS146" s="597"/>
      <c r="VPT146" s="153"/>
      <c r="VPU146" s="597"/>
      <c r="VPV146" s="597"/>
      <c r="VPW146" s="597"/>
      <c r="VPX146" s="153"/>
      <c r="VPY146" s="597"/>
      <c r="VPZ146" s="597"/>
      <c r="VQA146" s="597"/>
      <c r="VQB146" s="153"/>
      <c r="VQC146" s="597"/>
      <c r="VQD146" s="597"/>
      <c r="VQE146" s="597"/>
      <c r="VQF146" s="153"/>
      <c r="VQG146" s="597"/>
      <c r="VQH146" s="597"/>
      <c r="VQI146" s="597"/>
      <c r="VQJ146" s="153"/>
      <c r="VQK146" s="597"/>
      <c r="VQL146" s="597"/>
      <c r="VQM146" s="597"/>
      <c r="VQN146" s="153"/>
      <c r="VQO146" s="597"/>
      <c r="VQP146" s="597"/>
      <c r="VQQ146" s="597"/>
      <c r="VQR146" s="153"/>
      <c r="VQS146" s="597"/>
      <c r="VQT146" s="597"/>
      <c r="VQU146" s="597"/>
      <c r="VQV146" s="153"/>
      <c r="VQW146" s="597"/>
      <c r="VQX146" s="597"/>
      <c r="VQY146" s="597"/>
      <c r="VQZ146" s="153"/>
      <c r="VRA146" s="597"/>
      <c r="VRB146" s="597"/>
      <c r="VRC146" s="597"/>
      <c r="VRD146" s="153"/>
      <c r="VRE146" s="597"/>
      <c r="VRF146" s="597"/>
      <c r="VRG146" s="597"/>
      <c r="VRH146" s="153"/>
      <c r="VRI146" s="597"/>
      <c r="VRJ146" s="597"/>
      <c r="VRK146" s="597"/>
      <c r="VRL146" s="153"/>
      <c r="VRM146" s="597"/>
      <c r="VRN146" s="597"/>
      <c r="VRO146" s="597"/>
      <c r="VRP146" s="153"/>
      <c r="VRQ146" s="597"/>
      <c r="VRR146" s="597"/>
      <c r="VRS146" s="597"/>
      <c r="VRT146" s="153"/>
      <c r="VRU146" s="597"/>
      <c r="VRV146" s="597"/>
      <c r="VRW146" s="597"/>
      <c r="VRX146" s="153"/>
      <c r="VRY146" s="597"/>
      <c r="VRZ146" s="597"/>
      <c r="VSA146" s="597"/>
      <c r="VSB146" s="153"/>
      <c r="VSC146" s="597"/>
      <c r="VSD146" s="597"/>
      <c r="VSE146" s="597"/>
      <c r="VSF146" s="153"/>
      <c r="VSG146" s="597"/>
      <c r="VSH146" s="597"/>
      <c r="VSI146" s="597"/>
      <c r="VSJ146" s="153"/>
      <c r="VSK146" s="597"/>
      <c r="VSL146" s="597"/>
      <c r="VSM146" s="597"/>
      <c r="VSN146" s="153"/>
      <c r="VSO146" s="597"/>
      <c r="VSP146" s="597"/>
      <c r="VSQ146" s="597"/>
      <c r="VSR146" s="153"/>
      <c r="VSS146" s="597"/>
      <c r="VST146" s="597"/>
      <c r="VSU146" s="597"/>
      <c r="VSV146" s="153"/>
      <c r="VSW146" s="597"/>
      <c r="VSX146" s="597"/>
      <c r="VSY146" s="597"/>
      <c r="VSZ146" s="153"/>
      <c r="VTA146" s="597"/>
      <c r="VTB146" s="597"/>
      <c r="VTC146" s="597"/>
      <c r="VTD146" s="153"/>
      <c r="VTE146" s="597"/>
      <c r="VTF146" s="597"/>
      <c r="VTG146" s="597"/>
      <c r="VTH146" s="153"/>
      <c r="VTI146" s="597"/>
      <c r="VTJ146" s="597"/>
      <c r="VTK146" s="597"/>
      <c r="VTL146" s="153"/>
      <c r="VTM146" s="597"/>
      <c r="VTN146" s="597"/>
      <c r="VTO146" s="597"/>
      <c r="VTP146" s="153"/>
      <c r="VTQ146" s="597"/>
      <c r="VTR146" s="597"/>
      <c r="VTS146" s="597"/>
      <c r="VTT146" s="153"/>
      <c r="VTU146" s="597"/>
      <c r="VTV146" s="597"/>
      <c r="VTW146" s="597"/>
      <c r="VTX146" s="153"/>
      <c r="VTY146" s="597"/>
      <c r="VTZ146" s="597"/>
      <c r="VUA146" s="597"/>
      <c r="VUB146" s="153"/>
      <c r="VUC146" s="597"/>
      <c r="VUD146" s="597"/>
      <c r="VUE146" s="597"/>
      <c r="VUF146" s="153"/>
      <c r="VUG146" s="597"/>
      <c r="VUH146" s="597"/>
      <c r="VUI146" s="597"/>
      <c r="VUJ146" s="153"/>
      <c r="VUK146" s="597"/>
      <c r="VUL146" s="597"/>
      <c r="VUM146" s="597"/>
      <c r="VUN146" s="153"/>
      <c r="VUO146" s="597"/>
      <c r="VUP146" s="597"/>
      <c r="VUQ146" s="597"/>
      <c r="VUR146" s="153"/>
      <c r="VUS146" s="597"/>
      <c r="VUT146" s="597"/>
      <c r="VUU146" s="597"/>
      <c r="VUV146" s="153"/>
      <c r="VUW146" s="597"/>
      <c r="VUX146" s="597"/>
      <c r="VUY146" s="597"/>
      <c r="VUZ146" s="153"/>
      <c r="VVA146" s="597"/>
      <c r="VVB146" s="597"/>
      <c r="VVC146" s="597"/>
      <c r="VVD146" s="153"/>
      <c r="VVE146" s="597"/>
      <c r="VVF146" s="597"/>
      <c r="VVG146" s="597"/>
      <c r="VVH146" s="153"/>
      <c r="VVI146" s="597"/>
      <c r="VVJ146" s="597"/>
      <c r="VVK146" s="597"/>
      <c r="VVL146" s="153"/>
      <c r="VVM146" s="597"/>
      <c r="VVN146" s="597"/>
      <c r="VVO146" s="597"/>
      <c r="VVP146" s="153"/>
      <c r="VVQ146" s="597"/>
      <c r="VVR146" s="597"/>
      <c r="VVS146" s="597"/>
      <c r="VVT146" s="153"/>
      <c r="VVU146" s="597"/>
      <c r="VVV146" s="597"/>
      <c r="VVW146" s="597"/>
      <c r="VVX146" s="153"/>
      <c r="VVY146" s="597"/>
      <c r="VVZ146" s="597"/>
      <c r="VWA146" s="597"/>
      <c r="VWB146" s="153"/>
      <c r="VWC146" s="597"/>
      <c r="VWD146" s="597"/>
      <c r="VWE146" s="597"/>
      <c r="VWF146" s="153"/>
      <c r="VWG146" s="597"/>
      <c r="VWH146" s="597"/>
      <c r="VWI146" s="597"/>
      <c r="VWJ146" s="153"/>
      <c r="VWK146" s="597"/>
      <c r="VWL146" s="597"/>
      <c r="VWM146" s="597"/>
      <c r="VWN146" s="153"/>
      <c r="VWO146" s="597"/>
      <c r="VWP146" s="597"/>
      <c r="VWQ146" s="597"/>
      <c r="VWR146" s="153"/>
      <c r="VWS146" s="597"/>
      <c r="VWT146" s="597"/>
      <c r="VWU146" s="597"/>
      <c r="VWV146" s="153"/>
      <c r="VWW146" s="597"/>
      <c r="VWX146" s="597"/>
      <c r="VWY146" s="597"/>
      <c r="VWZ146" s="153"/>
      <c r="VXA146" s="597"/>
      <c r="VXB146" s="597"/>
      <c r="VXC146" s="597"/>
      <c r="VXD146" s="153"/>
      <c r="VXE146" s="597"/>
      <c r="VXF146" s="597"/>
      <c r="VXG146" s="597"/>
      <c r="VXH146" s="153"/>
      <c r="VXI146" s="597"/>
      <c r="VXJ146" s="597"/>
      <c r="VXK146" s="597"/>
      <c r="VXL146" s="153"/>
      <c r="VXM146" s="597"/>
      <c r="VXN146" s="597"/>
      <c r="VXO146" s="597"/>
      <c r="VXP146" s="153"/>
      <c r="VXQ146" s="597"/>
      <c r="VXR146" s="597"/>
      <c r="VXS146" s="597"/>
      <c r="VXT146" s="153"/>
      <c r="VXU146" s="597"/>
      <c r="VXV146" s="597"/>
      <c r="VXW146" s="597"/>
      <c r="VXX146" s="153"/>
      <c r="VXY146" s="597"/>
      <c r="VXZ146" s="597"/>
      <c r="VYA146" s="597"/>
      <c r="VYB146" s="153"/>
      <c r="VYC146" s="597"/>
      <c r="VYD146" s="597"/>
      <c r="VYE146" s="597"/>
      <c r="VYF146" s="153"/>
      <c r="VYG146" s="597"/>
      <c r="VYH146" s="597"/>
      <c r="VYI146" s="597"/>
      <c r="VYJ146" s="153"/>
      <c r="VYK146" s="597"/>
      <c r="VYL146" s="597"/>
      <c r="VYM146" s="597"/>
      <c r="VYN146" s="153"/>
      <c r="VYO146" s="597"/>
      <c r="VYP146" s="597"/>
      <c r="VYQ146" s="597"/>
      <c r="VYR146" s="153"/>
      <c r="VYS146" s="597"/>
      <c r="VYT146" s="597"/>
      <c r="VYU146" s="597"/>
      <c r="VYV146" s="153"/>
      <c r="VYW146" s="597"/>
      <c r="VYX146" s="597"/>
      <c r="VYY146" s="597"/>
      <c r="VYZ146" s="153"/>
      <c r="VZA146" s="597"/>
      <c r="VZB146" s="597"/>
      <c r="VZC146" s="597"/>
      <c r="VZD146" s="153"/>
      <c r="VZE146" s="597"/>
      <c r="VZF146" s="597"/>
      <c r="VZG146" s="597"/>
      <c r="VZH146" s="153"/>
      <c r="VZI146" s="597"/>
      <c r="VZJ146" s="597"/>
      <c r="VZK146" s="597"/>
      <c r="VZL146" s="153"/>
      <c r="VZM146" s="597"/>
      <c r="VZN146" s="597"/>
      <c r="VZO146" s="597"/>
      <c r="VZP146" s="153"/>
      <c r="VZQ146" s="597"/>
      <c r="VZR146" s="597"/>
      <c r="VZS146" s="597"/>
      <c r="VZT146" s="153"/>
      <c r="VZU146" s="597"/>
      <c r="VZV146" s="597"/>
      <c r="VZW146" s="597"/>
      <c r="VZX146" s="153"/>
      <c r="VZY146" s="597"/>
      <c r="VZZ146" s="597"/>
      <c r="WAA146" s="597"/>
      <c r="WAB146" s="153"/>
      <c r="WAC146" s="597"/>
      <c r="WAD146" s="597"/>
      <c r="WAE146" s="597"/>
      <c r="WAF146" s="153"/>
      <c r="WAG146" s="597"/>
      <c r="WAH146" s="597"/>
      <c r="WAI146" s="597"/>
      <c r="WAJ146" s="153"/>
      <c r="WAK146" s="597"/>
      <c r="WAL146" s="597"/>
      <c r="WAM146" s="597"/>
      <c r="WAN146" s="153"/>
      <c r="WAO146" s="597"/>
      <c r="WAP146" s="597"/>
      <c r="WAQ146" s="597"/>
      <c r="WAR146" s="153"/>
      <c r="WAS146" s="597"/>
      <c r="WAT146" s="597"/>
      <c r="WAU146" s="597"/>
      <c r="WAV146" s="153"/>
      <c r="WAW146" s="597"/>
      <c r="WAX146" s="597"/>
      <c r="WAY146" s="597"/>
      <c r="WAZ146" s="153"/>
      <c r="WBA146" s="597"/>
      <c r="WBB146" s="597"/>
      <c r="WBC146" s="597"/>
      <c r="WBD146" s="153"/>
      <c r="WBE146" s="597"/>
      <c r="WBF146" s="597"/>
      <c r="WBG146" s="597"/>
      <c r="WBH146" s="153"/>
      <c r="WBI146" s="597"/>
      <c r="WBJ146" s="597"/>
      <c r="WBK146" s="597"/>
      <c r="WBL146" s="153"/>
      <c r="WBM146" s="597"/>
      <c r="WBN146" s="597"/>
      <c r="WBO146" s="597"/>
      <c r="WBP146" s="153"/>
      <c r="WBQ146" s="597"/>
      <c r="WBR146" s="597"/>
      <c r="WBS146" s="597"/>
      <c r="WBT146" s="153"/>
      <c r="WBU146" s="597"/>
      <c r="WBV146" s="597"/>
      <c r="WBW146" s="597"/>
      <c r="WBX146" s="153"/>
      <c r="WBY146" s="597"/>
      <c r="WBZ146" s="597"/>
      <c r="WCA146" s="597"/>
      <c r="WCB146" s="153"/>
      <c r="WCC146" s="597"/>
      <c r="WCD146" s="597"/>
      <c r="WCE146" s="597"/>
      <c r="WCF146" s="153"/>
      <c r="WCG146" s="597"/>
      <c r="WCH146" s="597"/>
      <c r="WCI146" s="597"/>
      <c r="WCJ146" s="153"/>
      <c r="WCK146" s="597"/>
      <c r="WCL146" s="597"/>
      <c r="WCM146" s="597"/>
      <c r="WCN146" s="153"/>
      <c r="WCO146" s="597"/>
      <c r="WCP146" s="597"/>
      <c r="WCQ146" s="597"/>
      <c r="WCR146" s="153"/>
      <c r="WCS146" s="597"/>
      <c r="WCT146" s="597"/>
      <c r="WCU146" s="597"/>
      <c r="WCV146" s="153"/>
      <c r="WCW146" s="597"/>
      <c r="WCX146" s="597"/>
      <c r="WCY146" s="597"/>
      <c r="WCZ146" s="153"/>
      <c r="WDA146" s="597"/>
      <c r="WDB146" s="597"/>
      <c r="WDC146" s="597"/>
      <c r="WDD146" s="153"/>
      <c r="WDE146" s="597"/>
      <c r="WDF146" s="597"/>
      <c r="WDG146" s="597"/>
      <c r="WDH146" s="153"/>
      <c r="WDI146" s="597"/>
      <c r="WDJ146" s="597"/>
      <c r="WDK146" s="597"/>
      <c r="WDL146" s="153"/>
      <c r="WDM146" s="597"/>
      <c r="WDN146" s="597"/>
      <c r="WDO146" s="597"/>
      <c r="WDP146" s="153"/>
      <c r="WDQ146" s="597"/>
      <c r="WDR146" s="597"/>
      <c r="WDS146" s="597"/>
      <c r="WDT146" s="153"/>
      <c r="WDU146" s="597"/>
      <c r="WDV146" s="597"/>
      <c r="WDW146" s="597"/>
      <c r="WDX146" s="153"/>
      <c r="WDY146" s="597"/>
      <c r="WDZ146" s="597"/>
      <c r="WEA146" s="597"/>
      <c r="WEB146" s="153"/>
      <c r="WEC146" s="597"/>
      <c r="WED146" s="597"/>
      <c r="WEE146" s="597"/>
      <c r="WEF146" s="153"/>
      <c r="WEG146" s="597"/>
      <c r="WEH146" s="597"/>
      <c r="WEI146" s="597"/>
      <c r="WEJ146" s="153"/>
      <c r="WEK146" s="597"/>
      <c r="WEL146" s="597"/>
      <c r="WEM146" s="597"/>
      <c r="WEN146" s="153"/>
      <c r="WEO146" s="597"/>
      <c r="WEP146" s="597"/>
      <c r="WEQ146" s="597"/>
      <c r="WER146" s="153"/>
      <c r="WES146" s="597"/>
      <c r="WET146" s="597"/>
      <c r="WEU146" s="597"/>
      <c r="WEV146" s="153"/>
      <c r="WEW146" s="597"/>
      <c r="WEX146" s="597"/>
      <c r="WEY146" s="597"/>
      <c r="WEZ146" s="153"/>
      <c r="WFA146" s="597"/>
      <c r="WFB146" s="597"/>
      <c r="WFC146" s="597"/>
      <c r="WFD146" s="153"/>
      <c r="WFE146" s="597"/>
      <c r="WFF146" s="597"/>
      <c r="WFG146" s="597"/>
      <c r="WFH146" s="153"/>
      <c r="WFI146" s="597"/>
      <c r="WFJ146" s="597"/>
      <c r="WFK146" s="597"/>
      <c r="WFL146" s="153"/>
      <c r="WFM146" s="597"/>
      <c r="WFN146" s="597"/>
      <c r="WFO146" s="597"/>
      <c r="WFP146" s="153"/>
      <c r="WFQ146" s="597"/>
      <c r="WFR146" s="597"/>
      <c r="WFS146" s="597"/>
      <c r="WFT146" s="153"/>
      <c r="WFU146" s="597"/>
      <c r="WFV146" s="597"/>
      <c r="WFW146" s="597"/>
      <c r="WFX146" s="153"/>
      <c r="WFY146" s="597"/>
      <c r="WFZ146" s="597"/>
      <c r="WGA146" s="597"/>
      <c r="WGB146" s="153"/>
      <c r="WGC146" s="597"/>
      <c r="WGD146" s="597"/>
      <c r="WGE146" s="597"/>
      <c r="WGF146" s="153"/>
      <c r="WGG146" s="597"/>
      <c r="WGH146" s="597"/>
      <c r="WGI146" s="597"/>
      <c r="WGJ146" s="153"/>
      <c r="WGK146" s="597"/>
      <c r="WGL146" s="597"/>
      <c r="WGM146" s="597"/>
      <c r="WGN146" s="153"/>
      <c r="WGO146" s="597"/>
      <c r="WGP146" s="597"/>
      <c r="WGQ146" s="597"/>
      <c r="WGR146" s="153"/>
      <c r="WGS146" s="597"/>
      <c r="WGT146" s="597"/>
      <c r="WGU146" s="597"/>
      <c r="WGV146" s="153"/>
      <c r="WGW146" s="597"/>
      <c r="WGX146" s="597"/>
      <c r="WGY146" s="597"/>
      <c r="WGZ146" s="153"/>
      <c r="WHA146" s="597"/>
      <c r="WHB146" s="597"/>
      <c r="WHC146" s="597"/>
      <c r="WHD146" s="153"/>
      <c r="WHE146" s="597"/>
      <c r="WHF146" s="597"/>
      <c r="WHG146" s="597"/>
      <c r="WHH146" s="153"/>
      <c r="WHI146" s="597"/>
      <c r="WHJ146" s="597"/>
      <c r="WHK146" s="597"/>
      <c r="WHL146" s="153"/>
      <c r="WHM146" s="597"/>
      <c r="WHN146" s="597"/>
      <c r="WHO146" s="597"/>
      <c r="WHP146" s="153"/>
      <c r="WHQ146" s="597"/>
      <c r="WHR146" s="597"/>
      <c r="WHS146" s="597"/>
      <c r="WHT146" s="153"/>
      <c r="WHU146" s="597"/>
      <c r="WHV146" s="597"/>
      <c r="WHW146" s="597"/>
      <c r="WHX146" s="153"/>
      <c r="WHY146" s="597"/>
      <c r="WHZ146" s="597"/>
      <c r="WIA146" s="597"/>
      <c r="WIB146" s="153"/>
      <c r="WIC146" s="597"/>
      <c r="WID146" s="597"/>
      <c r="WIE146" s="597"/>
      <c r="WIF146" s="153"/>
      <c r="WIG146" s="597"/>
      <c r="WIH146" s="597"/>
      <c r="WII146" s="597"/>
      <c r="WIJ146" s="153"/>
      <c r="WIK146" s="597"/>
      <c r="WIL146" s="597"/>
      <c r="WIM146" s="597"/>
      <c r="WIN146" s="153"/>
      <c r="WIO146" s="597"/>
      <c r="WIP146" s="597"/>
      <c r="WIQ146" s="597"/>
      <c r="WIR146" s="153"/>
      <c r="WIS146" s="597"/>
      <c r="WIT146" s="597"/>
      <c r="WIU146" s="597"/>
      <c r="WIV146" s="153"/>
      <c r="WIW146" s="597"/>
      <c r="WIX146" s="597"/>
      <c r="WIY146" s="597"/>
      <c r="WIZ146" s="153"/>
      <c r="WJA146" s="597"/>
      <c r="WJB146" s="597"/>
      <c r="WJC146" s="597"/>
      <c r="WJD146" s="153"/>
      <c r="WJE146" s="597"/>
      <c r="WJF146" s="597"/>
      <c r="WJG146" s="597"/>
      <c r="WJH146" s="153"/>
      <c r="WJI146" s="597"/>
      <c r="WJJ146" s="597"/>
      <c r="WJK146" s="597"/>
      <c r="WJL146" s="153"/>
      <c r="WJM146" s="597"/>
      <c r="WJN146" s="597"/>
      <c r="WJO146" s="597"/>
      <c r="WJP146" s="153"/>
      <c r="WJQ146" s="597"/>
      <c r="WJR146" s="597"/>
      <c r="WJS146" s="597"/>
      <c r="WJT146" s="153"/>
      <c r="WJU146" s="597"/>
      <c r="WJV146" s="597"/>
      <c r="WJW146" s="597"/>
      <c r="WJX146" s="153"/>
      <c r="WJY146" s="597"/>
      <c r="WJZ146" s="597"/>
      <c r="WKA146" s="597"/>
      <c r="WKB146" s="153"/>
      <c r="WKC146" s="597"/>
      <c r="WKD146" s="597"/>
      <c r="WKE146" s="597"/>
      <c r="WKF146" s="153"/>
      <c r="WKG146" s="597"/>
      <c r="WKH146" s="597"/>
      <c r="WKI146" s="597"/>
      <c r="WKJ146" s="153"/>
      <c r="WKK146" s="597"/>
      <c r="WKL146" s="597"/>
      <c r="WKM146" s="597"/>
      <c r="WKN146" s="153"/>
      <c r="WKO146" s="597"/>
      <c r="WKP146" s="597"/>
      <c r="WKQ146" s="597"/>
      <c r="WKR146" s="153"/>
      <c r="WKS146" s="597"/>
      <c r="WKT146" s="597"/>
      <c r="WKU146" s="597"/>
      <c r="WKV146" s="153"/>
      <c r="WKW146" s="597"/>
      <c r="WKX146" s="597"/>
      <c r="WKY146" s="597"/>
      <c r="WKZ146" s="153"/>
      <c r="WLA146" s="597"/>
      <c r="WLB146" s="597"/>
      <c r="WLC146" s="597"/>
      <c r="WLD146" s="153"/>
      <c r="WLE146" s="597"/>
      <c r="WLF146" s="597"/>
      <c r="WLG146" s="597"/>
      <c r="WLH146" s="153"/>
      <c r="WLI146" s="597"/>
      <c r="WLJ146" s="597"/>
      <c r="WLK146" s="597"/>
      <c r="WLL146" s="153"/>
      <c r="WLM146" s="597"/>
      <c r="WLN146" s="597"/>
      <c r="WLO146" s="597"/>
      <c r="WLP146" s="153"/>
      <c r="WLQ146" s="597"/>
      <c r="WLR146" s="597"/>
      <c r="WLS146" s="597"/>
      <c r="WLT146" s="153"/>
      <c r="WLU146" s="597"/>
      <c r="WLV146" s="597"/>
      <c r="WLW146" s="597"/>
      <c r="WLX146" s="153"/>
      <c r="WLY146" s="597"/>
      <c r="WLZ146" s="597"/>
      <c r="WMA146" s="597"/>
      <c r="WMB146" s="153"/>
      <c r="WMC146" s="597"/>
      <c r="WMD146" s="597"/>
      <c r="WME146" s="597"/>
      <c r="WMF146" s="153"/>
      <c r="WMG146" s="597"/>
      <c r="WMH146" s="597"/>
      <c r="WMI146" s="597"/>
      <c r="WMJ146" s="153"/>
      <c r="WMK146" s="597"/>
      <c r="WML146" s="597"/>
      <c r="WMM146" s="597"/>
      <c r="WMN146" s="153"/>
      <c r="WMO146" s="597"/>
      <c r="WMP146" s="597"/>
      <c r="WMQ146" s="597"/>
      <c r="WMR146" s="153"/>
      <c r="WMS146" s="597"/>
      <c r="WMT146" s="597"/>
      <c r="WMU146" s="597"/>
      <c r="WMV146" s="153"/>
      <c r="WMW146" s="597"/>
      <c r="WMX146" s="597"/>
      <c r="WMY146" s="597"/>
      <c r="WMZ146" s="153"/>
      <c r="WNA146" s="597"/>
      <c r="WNB146" s="597"/>
      <c r="WNC146" s="597"/>
      <c r="WND146" s="153"/>
      <c r="WNE146" s="597"/>
      <c r="WNF146" s="597"/>
      <c r="WNG146" s="597"/>
      <c r="WNH146" s="153"/>
      <c r="WNI146" s="597"/>
      <c r="WNJ146" s="597"/>
      <c r="WNK146" s="597"/>
      <c r="WNL146" s="153"/>
      <c r="WNM146" s="597"/>
      <c r="WNN146" s="597"/>
      <c r="WNO146" s="597"/>
      <c r="WNP146" s="153"/>
      <c r="WNQ146" s="597"/>
      <c r="WNR146" s="597"/>
      <c r="WNS146" s="597"/>
      <c r="WNT146" s="153"/>
      <c r="WNU146" s="597"/>
      <c r="WNV146" s="597"/>
      <c r="WNW146" s="597"/>
      <c r="WNX146" s="153"/>
      <c r="WNY146" s="597"/>
      <c r="WNZ146" s="597"/>
      <c r="WOA146" s="597"/>
      <c r="WOB146" s="153"/>
      <c r="WOC146" s="597"/>
      <c r="WOD146" s="597"/>
      <c r="WOE146" s="597"/>
      <c r="WOF146" s="153"/>
      <c r="WOG146" s="597"/>
      <c r="WOH146" s="597"/>
      <c r="WOI146" s="597"/>
      <c r="WOJ146" s="153"/>
      <c r="WOK146" s="597"/>
      <c r="WOL146" s="597"/>
      <c r="WOM146" s="597"/>
      <c r="WON146" s="153"/>
      <c r="WOO146" s="597"/>
      <c r="WOP146" s="597"/>
      <c r="WOQ146" s="597"/>
      <c r="WOR146" s="153"/>
      <c r="WOS146" s="597"/>
      <c r="WOT146" s="597"/>
      <c r="WOU146" s="597"/>
      <c r="WOV146" s="153"/>
      <c r="WOW146" s="597"/>
      <c r="WOX146" s="597"/>
      <c r="WOY146" s="597"/>
      <c r="WOZ146" s="153"/>
      <c r="WPA146" s="597"/>
      <c r="WPB146" s="597"/>
      <c r="WPC146" s="597"/>
      <c r="WPD146" s="153"/>
      <c r="WPE146" s="597"/>
      <c r="WPF146" s="597"/>
      <c r="WPG146" s="597"/>
      <c r="WPH146" s="153"/>
      <c r="WPI146" s="597"/>
      <c r="WPJ146" s="597"/>
      <c r="WPK146" s="597"/>
      <c r="WPL146" s="153"/>
      <c r="WPM146" s="597"/>
      <c r="WPN146" s="597"/>
      <c r="WPO146" s="597"/>
      <c r="WPP146" s="153"/>
      <c r="WPQ146" s="597"/>
      <c r="WPR146" s="597"/>
      <c r="WPS146" s="597"/>
      <c r="WPT146" s="153"/>
      <c r="WPU146" s="597"/>
      <c r="WPV146" s="597"/>
      <c r="WPW146" s="597"/>
      <c r="WPX146" s="153"/>
      <c r="WPY146" s="597"/>
      <c r="WPZ146" s="597"/>
      <c r="WQA146" s="597"/>
      <c r="WQB146" s="153"/>
      <c r="WQC146" s="597"/>
      <c r="WQD146" s="597"/>
      <c r="WQE146" s="597"/>
      <c r="WQF146" s="153"/>
      <c r="WQG146" s="597"/>
      <c r="WQH146" s="597"/>
      <c r="WQI146" s="597"/>
      <c r="WQJ146" s="153"/>
      <c r="WQK146" s="597"/>
      <c r="WQL146" s="597"/>
      <c r="WQM146" s="597"/>
      <c r="WQN146" s="153"/>
      <c r="WQO146" s="597"/>
      <c r="WQP146" s="597"/>
      <c r="WQQ146" s="597"/>
      <c r="WQR146" s="153"/>
      <c r="WQS146" s="597"/>
      <c r="WQT146" s="597"/>
      <c r="WQU146" s="597"/>
      <c r="WQV146" s="153"/>
      <c r="WQW146" s="597"/>
      <c r="WQX146" s="597"/>
      <c r="WQY146" s="597"/>
      <c r="WQZ146" s="153"/>
      <c r="WRA146" s="597"/>
      <c r="WRB146" s="597"/>
      <c r="WRC146" s="597"/>
      <c r="WRD146" s="153"/>
      <c r="WRE146" s="597"/>
      <c r="WRF146" s="597"/>
      <c r="WRG146" s="597"/>
      <c r="WRH146" s="153"/>
      <c r="WRI146" s="597"/>
      <c r="WRJ146" s="597"/>
      <c r="WRK146" s="597"/>
      <c r="WRL146" s="153"/>
      <c r="WRM146" s="597"/>
      <c r="WRN146" s="597"/>
      <c r="WRO146" s="597"/>
      <c r="WRP146" s="153"/>
      <c r="WRQ146" s="597"/>
      <c r="WRR146" s="597"/>
      <c r="WRS146" s="597"/>
      <c r="WRT146" s="153"/>
      <c r="WRU146" s="597"/>
      <c r="WRV146" s="597"/>
      <c r="WRW146" s="597"/>
      <c r="WRX146" s="153"/>
      <c r="WRY146" s="597"/>
      <c r="WRZ146" s="597"/>
      <c r="WSA146" s="597"/>
      <c r="WSB146" s="153"/>
      <c r="WSC146" s="597"/>
      <c r="WSD146" s="597"/>
      <c r="WSE146" s="597"/>
      <c r="WSF146" s="153"/>
      <c r="WSG146" s="597"/>
      <c r="WSH146" s="597"/>
      <c r="WSI146" s="597"/>
      <c r="WSJ146" s="153"/>
      <c r="WSK146" s="597"/>
      <c r="WSL146" s="597"/>
      <c r="WSM146" s="597"/>
      <c r="WSN146" s="153"/>
      <c r="WSO146" s="597"/>
      <c r="WSP146" s="597"/>
      <c r="WSQ146" s="597"/>
      <c r="WSR146" s="153"/>
      <c r="WSS146" s="597"/>
      <c r="WST146" s="597"/>
      <c r="WSU146" s="597"/>
      <c r="WSV146" s="153"/>
      <c r="WSW146" s="597"/>
      <c r="WSX146" s="597"/>
      <c r="WSY146" s="597"/>
      <c r="WSZ146" s="153"/>
      <c r="WTA146" s="597"/>
      <c r="WTB146" s="597"/>
      <c r="WTC146" s="597"/>
      <c r="WTD146" s="153"/>
      <c r="WTE146" s="597"/>
      <c r="WTF146" s="597"/>
      <c r="WTG146" s="597"/>
      <c r="WTH146" s="153"/>
      <c r="WTI146" s="597"/>
      <c r="WTJ146" s="597"/>
      <c r="WTK146" s="597"/>
      <c r="WTL146" s="153"/>
      <c r="WTM146" s="597"/>
      <c r="WTN146" s="597"/>
      <c r="WTO146" s="597"/>
      <c r="WTP146" s="153"/>
      <c r="WTQ146" s="597"/>
      <c r="WTR146" s="597"/>
      <c r="WTS146" s="597"/>
      <c r="WTT146" s="153"/>
      <c r="WTU146" s="597"/>
      <c r="WTV146" s="597"/>
      <c r="WTW146" s="597"/>
      <c r="WTX146" s="153"/>
      <c r="WTY146" s="597"/>
      <c r="WTZ146" s="597"/>
      <c r="WUA146" s="597"/>
      <c r="WUB146" s="153"/>
      <c r="WUC146" s="597"/>
      <c r="WUD146" s="597"/>
      <c r="WUE146" s="597"/>
      <c r="WUF146" s="153"/>
      <c r="WUG146" s="597"/>
      <c r="WUH146" s="597"/>
      <c r="WUI146" s="597"/>
      <c r="WUJ146" s="153"/>
      <c r="WUK146" s="597"/>
      <c r="WUL146" s="597"/>
      <c r="WUM146" s="597"/>
      <c r="WUN146" s="153"/>
      <c r="WUO146" s="597"/>
      <c r="WUP146" s="597"/>
      <c r="WUQ146" s="597"/>
      <c r="WUR146" s="153"/>
      <c r="WUS146" s="597"/>
      <c r="WUT146" s="597"/>
      <c r="WUU146" s="597"/>
      <c r="WUV146" s="153"/>
      <c r="WUW146" s="597"/>
      <c r="WUX146" s="597"/>
      <c r="WUY146" s="597"/>
      <c r="WUZ146" s="153"/>
      <c r="WVA146" s="597"/>
      <c r="WVB146" s="597"/>
      <c r="WVC146" s="597"/>
      <c r="WVD146" s="153"/>
      <c r="WVE146" s="597"/>
      <c r="WVF146" s="597"/>
      <c r="WVG146" s="597"/>
      <c r="WVH146" s="153"/>
      <c r="WVI146" s="597"/>
      <c r="WVJ146" s="597"/>
      <c r="WVK146" s="597"/>
      <c r="WVL146" s="153"/>
      <c r="WVM146" s="597"/>
      <c r="WVN146" s="597"/>
      <c r="WVO146" s="597"/>
      <c r="WVP146" s="153"/>
      <c r="WVQ146" s="597"/>
      <c r="WVR146" s="597"/>
      <c r="WVS146" s="597"/>
      <c r="WVT146" s="153"/>
      <c r="WVU146" s="597"/>
      <c r="WVV146" s="597"/>
      <c r="WVW146" s="597"/>
      <c r="WVX146" s="153"/>
      <c r="WVY146" s="597"/>
      <c r="WVZ146" s="597"/>
      <c r="WWA146" s="597"/>
      <c r="WWB146" s="153"/>
      <c r="WWC146" s="597"/>
      <c r="WWD146" s="597"/>
      <c r="WWE146" s="597"/>
      <c r="WWF146" s="153"/>
      <c r="WWG146" s="597"/>
      <c r="WWH146" s="597"/>
      <c r="WWI146" s="597"/>
      <c r="WWJ146" s="153"/>
      <c r="WWK146" s="597"/>
      <c r="WWL146" s="597"/>
      <c r="WWM146" s="597"/>
      <c r="WWN146" s="153"/>
      <c r="WWO146" s="597"/>
      <c r="WWP146" s="597"/>
      <c r="WWQ146" s="597"/>
      <c r="WWR146" s="153"/>
      <c r="WWS146" s="597"/>
      <c r="WWT146" s="597"/>
      <c r="WWU146" s="597"/>
      <c r="WWV146" s="153"/>
      <c r="WWW146" s="597"/>
      <c r="WWX146" s="597"/>
      <c r="WWY146" s="597"/>
      <c r="WWZ146" s="153"/>
      <c r="WXA146" s="597"/>
      <c r="WXB146" s="597"/>
      <c r="WXC146" s="597"/>
      <c r="WXD146" s="153"/>
      <c r="WXE146" s="597"/>
      <c r="WXF146" s="597"/>
      <c r="WXG146" s="597"/>
      <c r="WXH146" s="153"/>
      <c r="WXI146" s="597"/>
      <c r="WXJ146" s="597"/>
      <c r="WXK146" s="597"/>
      <c r="WXL146" s="153"/>
      <c r="WXM146" s="597"/>
      <c r="WXN146" s="597"/>
      <c r="WXO146" s="597"/>
      <c r="WXP146" s="153"/>
      <c r="WXQ146" s="597"/>
      <c r="WXR146" s="597"/>
      <c r="WXS146" s="597"/>
      <c r="WXT146" s="153"/>
      <c r="WXU146" s="597"/>
      <c r="WXV146" s="597"/>
      <c r="WXW146" s="597"/>
      <c r="WXX146" s="153"/>
      <c r="WXY146" s="597"/>
      <c r="WXZ146" s="597"/>
      <c r="WYA146" s="597"/>
      <c r="WYB146" s="153"/>
      <c r="WYC146" s="597"/>
      <c r="WYD146" s="597"/>
      <c r="WYE146" s="597"/>
      <c r="WYF146" s="153"/>
      <c r="WYG146" s="597"/>
      <c r="WYH146" s="597"/>
      <c r="WYI146" s="597"/>
      <c r="WYJ146" s="153"/>
      <c r="WYK146" s="597"/>
      <c r="WYL146" s="597"/>
      <c r="WYM146" s="597"/>
      <c r="WYN146" s="153"/>
      <c r="WYO146" s="597"/>
      <c r="WYP146" s="597"/>
      <c r="WYQ146" s="597"/>
      <c r="WYR146" s="153"/>
      <c r="WYS146" s="597"/>
      <c r="WYT146" s="597"/>
      <c r="WYU146" s="597"/>
      <c r="WYV146" s="153"/>
      <c r="WYW146" s="597"/>
      <c r="WYX146" s="597"/>
      <c r="WYY146" s="597"/>
      <c r="WYZ146" s="153"/>
      <c r="WZA146" s="597"/>
      <c r="WZB146" s="597"/>
      <c r="WZC146" s="597"/>
      <c r="WZD146" s="153"/>
      <c r="WZE146" s="597"/>
      <c r="WZF146" s="597"/>
      <c r="WZG146" s="597"/>
      <c r="WZH146" s="153"/>
      <c r="WZI146" s="597"/>
      <c r="WZJ146" s="597"/>
      <c r="WZK146" s="597"/>
      <c r="WZL146" s="153"/>
      <c r="WZM146" s="597"/>
      <c r="WZN146" s="597"/>
      <c r="WZO146" s="597"/>
      <c r="WZP146" s="153"/>
      <c r="WZQ146" s="597"/>
      <c r="WZR146" s="597"/>
      <c r="WZS146" s="597"/>
      <c r="WZT146" s="153"/>
      <c r="WZU146" s="597"/>
      <c r="WZV146" s="597"/>
      <c r="WZW146" s="597"/>
      <c r="WZX146" s="153"/>
      <c r="WZY146" s="597"/>
      <c r="WZZ146" s="597"/>
      <c r="XAA146" s="597"/>
      <c r="XAB146" s="153"/>
      <c r="XAC146" s="597"/>
      <c r="XAD146" s="597"/>
      <c r="XAE146" s="597"/>
      <c r="XAF146" s="153"/>
      <c r="XAG146" s="597"/>
      <c r="XAH146" s="597"/>
      <c r="XAI146" s="597"/>
      <c r="XAJ146" s="153"/>
      <c r="XAK146" s="597"/>
      <c r="XAL146" s="597"/>
      <c r="XAM146" s="597"/>
      <c r="XAN146" s="153"/>
      <c r="XAO146" s="597"/>
      <c r="XAP146" s="597"/>
      <c r="XAQ146" s="597"/>
      <c r="XAR146" s="153"/>
      <c r="XAS146" s="597"/>
      <c r="XAT146" s="597"/>
      <c r="XAU146" s="597"/>
      <c r="XAV146" s="153"/>
      <c r="XAW146" s="597"/>
      <c r="XAX146" s="597"/>
      <c r="XAY146" s="597"/>
      <c r="XAZ146" s="153"/>
      <c r="XBA146" s="597"/>
      <c r="XBB146" s="597"/>
      <c r="XBC146" s="597"/>
      <c r="XBD146" s="153"/>
      <c r="XBE146" s="597"/>
      <c r="XBF146" s="597"/>
      <c r="XBG146" s="597"/>
      <c r="XBH146" s="153"/>
      <c r="XBI146" s="597"/>
      <c r="XBJ146" s="597"/>
      <c r="XBK146" s="597"/>
      <c r="XBL146" s="153"/>
      <c r="XBM146" s="597"/>
      <c r="XBN146" s="597"/>
      <c r="XBO146" s="597"/>
      <c r="XBP146" s="153"/>
      <c r="XBQ146" s="597"/>
      <c r="XBR146" s="597"/>
      <c r="XBS146" s="597"/>
      <c r="XBT146" s="153"/>
      <c r="XBU146" s="597"/>
      <c r="XBV146" s="597"/>
      <c r="XBW146" s="597"/>
      <c r="XBX146" s="153"/>
      <c r="XBY146" s="597"/>
      <c r="XBZ146" s="597"/>
      <c r="XCA146" s="597"/>
      <c r="XCB146" s="153"/>
      <c r="XCC146" s="597"/>
      <c r="XCD146" s="597"/>
      <c r="XCE146" s="597"/>
      <c r="XCF146" s="153"/>
      <c r="XCG146" s="597"/>
      <c r="XCH146" s="597"/>
      <c r="XCI146" s="597"/>
      <c r="XCJ146" s="153"/>
      <c r="XCK146" s="597"/>
      <c r="XCL146" s="597"/>
      <c r="XCM146" s="597"/>
      <c r="XCN146" s="153"/>
      <c r="XCO146" s="597"/>
      <c r="XCP146" s="597"/>
      <c r="XCQ146" s="597"/>
      <c r="XCR146" s="153"/>
      <c r="XCS146" s="597"/>
      <c r="XCT146" s="597"/>
      <c r="XCU146" s="597"/>
      <c r="XCV146" s="153"/>
      <c r="XCW146" s="597"/>
      <c r="XCX146" s="597"/>
      <c r="XCY146" s="597"/>
      <c r="XCZ146" s="153"/>
      <c r="XDA146" s="597"/>
      <c r="XDB146" s="597"/>
      <c r="XDC146" s="597"/>
      <c r="XDD146" s="153"/>
      <c r="XDE146" s="597"/>
      <c r="XDF146" s="597"/>
      <c r="XDG146" s="597"/>
      <c r="XDH146" s="153"/>
      <c r="XDI146" s="597"/>
      <c r="XDJ146" s="597"/>
      <c r="XDK146" s="597"/>
      <c r="XDL146" s="153"/>
      <c r="XDM146" s="597"/>
      <c r="XDN146" s="597"/>
      <c r="XDO146" s="597"/>
      <c r="XDP146" s="153"/>
      <c r="XDQ146" s="597"/>
      <c r="XDR146" s="597"/>
      <c r="XDS146" s="597"/>
      <c r="XDT146" s="153"/>
      <c r="XDU146" s="597"/>
      <c r="XDV146" s="597"/>
      <c r="XDW146" s="597"/>
      <c r="XDX146" s="153"/>
      <c r="XDY146" s="597"/>
      <c r="XDZ146" s="597"/>
      <c r="XEA146" s="597"/>
      <c r="XEB146" s="153"/>
      <c r="XEC146" s="597"/>
      <c r="XED146" s="597"/>
      <c r="XEE146" s="597"/>
      <c r="XEF146" s="153"/>
      <c r="XEG146" s="597"/>
      <c r="XEH146" s="597"/>
      <c r="XEI146" s="597"/>
      <c r="XEJ146" s="153"/>
      <c r="XEK146" s="597"/>
      <c r="XEL146" s="597"/>
      <c r="XEM146" s="597"/>
      <c r="XEN146" s="153"/>
      <c r="XEO146" s="597"/>
      <c r="XEP146" s="597"/>
      <c r="XEQ146" s="597"/>
      <c r="XER146" s="153"/>
      <c r="XES146" s="597"/>
      <c r="XET146" s="597"/>
      <c r="XEU146" s="597"/>
      <c r="XEV146" s="153"/>
      <c r="XEW146" s="597"/>
      <c r="XEX146" s="597"/>
      <c r="XEY146" s="597"/>
    </row>
    <row r="147" spans="1:16379" ht="46.5" customHeight="1" x14ac:dyDescent="0.25">
      <c r="A147" s="550">
        <v>4</v>
      </c>
      <c r="B147" s="571" t="s">
        <v>2340</v>
      </c>
      <c r="C147" s="571"/>
      <c r="D147" s="571"/>
      <c r="E147" s="571"/>
      <c r="F147" s="571"/>
      <c r="G147" s="571"/>
      <c r="H147" s="571"/>
      <c r="AF147" s="74"/>
      <c r="AG147" s="74"/>
      <c r="AH147" s="74"/>
      <c r="AI147" s="86"/>
    </row>
    <row r="148" spans="1:16379" ht="30" customHeight="1" x14ac:dyDescent="0.25">
      <c r="A148" s="550">
        <v>5</v>
      </c>
      <c r="B148" s="571" t="s">
        <v>2341</v>
      </c>
      <c r="C148" s="571"/>
      <c r="D148" s="571"/>
      <c r="E148" s="571"/>
      <c r="F148" s="571"/>
      <c r="G148" s="571"/>
      <c r="H148" s="571"/>
      <c r="AF148" s="74"/>
      <c r="AG148" s="74"/>
      <c r="AH148" s="74"/>
      <c r="AI148" s="86"/>
    </row>
    <row r="149" spans="1:16379" x14ac:dyDescent="0.25">
      <c r="A149" s="550">
        <v>6</v>
      </c>
      <c r="B149" s="571" t="s">
        <v>2342</v>
      </c>
      <c r="C149" s="571"/>
      <c r="D149" s="571"/>
      <c r="E149" s="571"/>
      <c r="F149" s="571"/>
      <c r="G149" s="571"/>
      <c r="H149" s="571"/>
      <c r="AF149" s="74"/>
      <c r="AG149" s="74"/>
      <c r="AH149" s="74"/>
      <c r="AI149" s="86"/>
    </row>
    <row r="150" spans="1:16379" ht="30.75" customHeight="1" x14ac:dyDescent="0.25">
      <c r="A150" s="550">
        <v>7</v>
      </c>
      <c r="B150" s="571" t="s">
        <v>2343</v>
      </c>
      <c r="C150" s="571"/>
      <c r="D150" s="571"/>
      <c r="E150" s="571"/>
      <c r="F150" s="571"/>
      <c r="G150" s="571"/>
      <c r="H150" s="571"/>
      <c r="AF150" s="74"/>
      <c r="AG150" s="74"/>
      <c r="AH150" s="74"/>
      <c r="AI150" s="86"/>
    </row>
    <row r="151" spans="1:16379" ht="20.100000000000001" customHeight="1" x14ac:dyDescent="0.25">
      <c r="A151" s="550">
        <v>8</v>
      </c>
      <c r="B151" s="571" t="s">
        <v>2344</v>
      </c>
      <c r="C151" s="571"/>
      <c r="D151" s="571"/>
      <c r="E151" s="571"/>
      <c r="F151" s="571"/>
      <c r="G151" s="571"/>
      <c r="H151" s="571"/>
      <c r="AF151" s="74"/>
      <c r="AG151" s="74"/>
      <c r="AH151" s="74"/>
      <c r="AI151" s="86"/>
    </row>
    <row r="152" spans="1:16379" ht="39.950000000000003" customHeight="1" x14ac:dyDescent="0.25">
      <c r="A152" s="550">
        <v>9</v>
      </c>
      <c r="B152" s="571" t="s">
        <v>2345</v>
      </c>
      <c r="C152" s="571"/>
      <c r="D152" s="571"/>
      <c r="E152" s="571"/>
      <c r="F152" s="571"/>
      <c r="G152" s="571"/>
      <c r="H152" s="571"/>
      <c r="AF152" s="74"/>
      <c r="AG152" s="74"/>
      <c r="AH152" s="74"/>
      <c r="AI152" s="86"/>
    </row>
    <row r="153" spans="1:16379" ht="27" customHeight="1" x14ac:dyDescent="0.25">
      <c r="A153" s="550">
        <v>10</v>
      </c>
      <c r="B153" s="571" t="s">
        <v>2346</v>
      </c>
      <c r="C153" s="571"/>
      <c r="D153" s="571"/>
      <c r="E153" s="571"/>
      <c r="F153" s="571"/>
      <c r="G153" s="571"/>
      <c r="H153" s="571"/>
      <c r="AF153" s="74"/>
      <c r="AG153" s="74"/>
      <c r="AH153" s="74"/>
      <c r="AI153" s="86"/>
    </row>
    <row r="154" spans="1:16379" ht="15" customHeight="1" x14ac:dyDescent="0.25">
      <c r="A154" s="272"/>
      <c r="B154" s="273"/>
      <c r="C154" s="274"/>
      <c r="D154" s="275"/>
      <c r="E154" s="272"/>
      <c r="F154" s="335"/>
      <c r="G154" s="279"/>
      <c r="H154" s="279"/>
      <c r="AF154" s="74"/>
      <c r="AG154" s="74"/>
      <c r="AH154" s="74"/>
      <c r="AI154" s="86"/>
    </row>
    <row r="155" spans="1:16379" ht="15.75" customHeight="1" x14ac:dyDescent="0.25">
      <c r="A155" s="279"/>
      <c r="B155" s="273"/>
      <c r="C155" s="274"/>
      <c r="D155" s="275"/>
      <c r="E155" s="272"/>
      <c r="F155" s="335"/>
      <c r="G155" s="279"/>
      <c r="H155" s="279"/>
      <c r="AF155" s="74"/>
      <c r="AG155" s="74"/>
      <c r="AH155" s="74"/>
      <c r="AI155" s="86"/>
    </row>
    <row r="156" spans="1:16379" x14ac:dyDescent="0.25">
      <c r="F156" s="6"/>
      <c r="AF156" s="74"/>
      <c r="AG156" s="74"/>
      <c r="AH156" s="74"/>
      <c r="AI156" s="86"/>
    </row>
    <row r="157" spans="1:16379" ht="15" customHeight="1" x14ac:dyDescent="0.25">
      <c r="F157" s="6"/>
      <c r="AF157" s="74"/>
      <c r="AG157" s="74"/>
      <c r="AH157" s="74"/>
      <c r="AI157" s="86"/>
    </row>
    <row r="158" spans="1:16379" x14ac:dyDescent="0.25">
      <c r="F158" s="6"/>
      <c r="AF158" s="74"/>
      <c r="AG158" s="74"/>
      <c r="AH158" s="74"/>
      <c r="AI158" s="86"/>
    </row>
    <row r="159" spans="1:16379" x14ac:dyDescent="0.25">
      <c r="F159" s="6"/>
      <c r="AF159" s="74"/>
      <c r="AG159" s="74"/>
      <c r="AH159" s="74"/>
      <c r="AI159" s="86"/>
    </row>
    <row r="160" spans="1:16379" ht="15" customHeight="1" x14ac:dyDescent="0.25">
      <c r="F160" s="6"/>
      <c r="AF160" s="74"/>
      <c r="AG160" s="74"/>
      <c r="AH160" s="74"/>
      <c r="AI160" s="86"/>
    </row>
    <row r="161" spans="6:35" ht="15.75" customHeight="1" x14ac:dyDescent="0.25">
      <c r="F161" s="6"/>
      <c r="AF161" s="74"/>
      <c r="AG161" s="74"/>
      <c r="AH161" s="74"/>
      <c r="AI161" s="86"/>
    </row>
    <row r="162" spans="6:35" x14ac:dyDescent="0.25">
      <c r="F162" s="6"/>
      <c r="AF162" s="74"/>
      <c r="AG162" s="74"/>
      <c r="AH162" s="74"/>
      <c r="AI162" s="86"/>
    </row>
    <row r="163" spans="6:35" x14ac:dyDescent="0.25">
      <c r="F163" s="6"/>
      <c r="AF163" s="74"/>
      <c r="AG163" s="74"/>
      <c r="AH163" s="74"/>
      <c r="AI163" s="86"/>
    </row>
    <row r="164" spans="6:35" x14ac:dyDescent="0.25">
      <c r="F164" s="6"/>
      <c r="AF164" s="74"/>
      <c r="AG164" s="74"/>
      <c r="AH164" s="74"/>
      <c r="AI164" s="86"/>
    </row>
    <row r="165" spans="6:35" x14ac:dyDescent="0.25">
      <c r="F165" s="6"/>
      <c r="AF165" s="74"/>
      <c r="AG165" s="74"/>
      <c r="AH165" s="74"/>
      <c r="AI165" s="86"/>
    </row>
    <row r="166" spans="6:35" x14ac:dyDescent="0.25">
      <c r="F166" s="6"/>
      <c r="AF166" s="74"/>
      <c r="AG166" s="74"/>
      <c r="AH166" s="74"/>
      <c r="AI166" s="86"/>
    </row>
    <row r="167" spans="6:35" x14ac:dyDescent="0.25">
      <c r="F167" s="6"/>
      <c r="AF167" s="74"/>
      <c r="AG167" s="74"/>
      <c r="AH167" s="74"/>
      <c r="AI167" s="86"/>
    </row>
    <row r="168" spans="6:35" x14ac:dyDescent="0.25">
      <c r="F168" s="6"/>
      <c r="AF168" s="74"/>
      <c r="AG168" s="74"/>
      <c r="AH168" s="74"/>
      <c r="AI168" s="86"/>
    </row>
    <row r="169" spans="6:35" x14ac:dyDescent="0.25">
      <c r="F169" s="6"/>
      <c r="AF169" s="74"/>
      <c r="AG169" s="74"/>
      <c r="AH169" s="74"/>
      <c r="AI169" s="86"/>
    </row>
    <row r="170" spans="6:35" x14ac:dyDescent="0.25">
      <c r="F170" s="6"/>
      <c r="AF170" s="74"/>
      <c r="AG170" s="74"/>
      <c r="AH170" s="74"/>
      <c r="AI170" s="86"/>
    </row>
    <row r="171" spans="6:35" x14ac:dyDescent="0.25">
      <c r="F171" s="6"/>
      <c r="AF171" s="74"/>
      <c r="AG171" s="74"/>
      <c r="AH171" s="74"/>
      <c r="AI171" s="86"/>
    </row>
    <row r="172" spans="6:35" x14ac:dyDescent="0.25">
      <c r="F172" s="6"/>
      <c r="AF172" s="74"/>
      <c r="AG172" s="74"/>
      <c r="AH172" s="74"/>
      <c r="AI172" s="86"/>
    </row>
    <row r="173" spans="6:35" x14ac:dyDescent="0.25">
      <c r="F173" s="6"/>
      <c r="AF173" s="74"/>
      <c r="AG173" s="74"/>
      <c r="AH173" s="74"/>
      <c r="AI173" s="86"/>
    </row>
    <row r="174" spans="6:35" x14ac:dyDescent="0.25">
      <c r="F174" s="6"/>
      <c r="AF174" s="74"/>
      <c r="AG174" s="74"/>
      <c r="AH174" s="74"/>
      <c r="AI174" s="86"/>
    </row>
    <row r="175" spans="6:35" x14ac:dyDescent="0.25">
      <c r="F175" s="6"/>
      <c r="AF175" s="74"/>
      <c r="AG175" s="74"/>
      <c r="AH175" s="74"/>
      <c r="AI175" s="86"/>
    </row>
    <row r="176" spans="6:35" x14ac:dyDescent="0.25">
      <c r="F176" s="6"/>
      <c r="AF176" s="74"/>
      <c r="AG176" s="74"/>
      <c r="AH176" s="74"/>
      <c r="AI176" s="86"/>
    </row>
    <row r="177" spans="6:35" x14ac:dyDescent="0.25">
      <c r="F177" s="6"/>
      <c r="AF177" s="74"/>
      <c r="AG177" s="74"/>
      <c r="AH177" s="74"/>
      <c r="AI177" s="86"/>
    </row>
    <row r="178" spans="6:35" x14ac:dyDescent="0.25">
      <c r="F178" s="6"/>
      <c r="AF178" s="74"/>
      <c r="AG178" s="74"/>
      <c r="AH178" s="74"/>
      <c r="AI178" s="86"/>
    </row>
    <row r="179" spans="6:35" x14ac:dyDescent="0.25">
      <c r="F179" s="6"/>
      <c r="AF179" s="74"/>
      <c r="AG179" s="74"/>
      <c r="AH179" s="74"/>
      <c r="AI179" s="86"/>
    </row>
    <row r="180" spans="6:35" x14ac:dyDescent="0.25">
      <c r="F180" s="6"/>
      <c r="AF180" s="74"/>
      <c r="AG180" s="74"/>
      <c r="AH180" s="74"/>
      <c r="AI180" s="86"/>
    </row>
    <row r="181" spans="6:35" x14ac:dyDescent="0.25">
      <c r="F181" s="6"/>
      <c r="AF181" s="74"/>
      <c r="AG181" s="74"/>
      <c r="AH181" s="74"/>
      <c r="AI181" s="86"/>
    </row>
    <row r="182" spans="6:35" x14ac:dyDescent="0.25">
      <c r="F182" s="6"/>
      <c r="AF182" s="74"/>
      <c r="AG182" s="74"/>
      <c r="AH182" s="74"/>
      <c r="AI182" s="86"/>
    </row>
    <row r="183" spans="6:35" x14ac:dyDescent="0.25">
      <c r="F183" s="6"/>
      <c r="AF183" s="74"/>
      <c r="AG183" s="74"/>
      <c r="AH183" s="74"/>
      <c r="AI183" s="86"/>
    </row>
    <row r="184" spans="6:35" x14ac:dyDescent="0.25">
      <c r="F184" s="6"/>
      <c r="AF184" s="74"/>
      <c r="AG184" s="74"/>
      <c r="AH184" s="74"/>
      <c r="AI184" s="86"/>
    </row>
    <row r="185" spans="6:35" x14ac:dyDescent="0.25">
      <c r="F185" s="6"/>
      <c r="AF185" s="74"/>
      <c r="AG185" s="74"/>
      <c r="AH185" s="74"/>
      <c r="AI185" s="86"/>
    </row>
    <row r="186" spans="6:35" x14ac:dyDescent="0.25">
      <c r="F186" s="6"/>
      <c r="AF186" s="74"/>
      <c r="AG186" s="74"/>
      <c r="AH186" s="74"/>
      <c r="AI186" s="86"/>
    </row>
    <row r="187" spans="6:35" x14ac:dyDescent="0.25">
      <c r="F187" s="6"/>
      <c r="AF187" s="74"/>
      <c r="AG187" s="74"/>
      <c r="AH187" s="74"/>
      <c r="AI187" s="86"/>
    </row>
    <row r="188" spans="6:35" x14ac:dyDescent="0.25">
      <c r="F188" s="6"/>
      <c r="AF188" s="74"/>
      <c r="AG188" s="74"/>
      <c r="AH188" s="74"/>
      <c r="AI188" s="86"/>
    </row>
    <row r="189" spans="6:35" x14ac:dyDescent="0.25">
      <c r="F189" s="6"/>
      <c r="AF189" s="74"/>
      <c r="AG189" s="74"/>
      <c r="AH189" s="74"/>
      <c r="AI189" s="86"/>
    </row>
    <row r="190" spans="6:35" x14ac:dyDescent="0.25">
      <c r="F190" s="6"/>
      <c r="AF190" s="74"/>
      <c r="AG190" s="74"/>
      <c r="AH190" s="74"/>
      <c r="AI190" s="86"/>
    </row>
    <row r="191" spans="6:35" x14ac:dyDescent="0.25">
      <c r="F191" s="6"/>
      <c r="AF191" s="74"/>
      <c r="AG191" s="74"/>
      <c r="AH191" s="74"/>
      <c r="AI191" s="86"/>
    </row>
    <row r="192" spans="6:35" x14ac:dyDescent="0.25">
      <c r="F192" s="6"/>
      <c r="AF192" s="74"/>
      <c r="AG192" s="74"/>
      <c r="AH192" s="74"/>
      <c r="AI192" s="86"/>
    </row>
    <row r="193" spans="6:35" x14ac:dyDescent="0.25">
      <c r="F193" s="6"/>
      <c r="AF193" s="74"/>
      <c r="AG193" s="74"/>
      <c r="AH193" s="74"/>
      <c r="AI193" s="86"/>
    </row>
    <row r="194" spans="6:35" x14ac:dyDescent="0.25">
      <c r="F194" s="6"/>
      <c r="AF194" s="74"/>
      <c r="AG194" s="74"/>
      <c r="AH194" s="74"/>
      <c r="AI194" s="86"/>
    </row>
    <row r="195" spans="6:35" x14ac:dyDescent="0.25">
      <c r="F195" s="6"/>
      <c r="AF195" s="74"/>
      <c r="AG195" s="74"/>
      <c r="AH195" s="74"/>
      <c r="AI195" s="86"/>
    </row>
    <row r="196" spans="6:35" x14ac:dyDescent="0.25">
      <c r="F196" s="6"/>
      <c r="AF196" s="74"/>
      <c r="AG196" s="74"/>
      <c r="AH196" s="74"/>
      <c r="AI196" s="86"/>
    </row>
    <row r="197" spans="6:35" x14ac:dyDescent="0.25">
      <c r="F197" s="6"/>
      <c r="AF197" s="74"/>
      <c r="AG197" s="74"/>
      <c r="AH197" s="74"/>
      <c r="AI197" s="86"/>
    </row>
    <row r="198" spans="6:35" x14ac:dyDescent="0.25">
      <c r="F198" s="6"/>
      <c r="AF198" s="74"/>
      <c r="AG198" s="74"/>
      <c r="AH198" s="74"/>
      <c r="AI198" s="86"/>
    </row>
    <row r="199" spans="6:35" x14ac:dyDescent="0.25">
      <c r="F199" s="6"/>
      <c r="AF199" s="74"/>
      <c r="AG199" s="74"/>
      <c r="AH199" s="74"/>
      <c r="AI199" s="86"/>
    </row>
    <row r="200" spans="6:35" x14ac:dyDescent="0.25">
      <c r="F200" s="6"/>
      <c r="AF200" s="74"/>
      <c r="AG200" s="74"/>
      <c r="AH200" s="74"/>
      <c r="AI200" s="86"/>
    </row>
    <row r="201" spans="6:35" x14ac:dyDescent="0.25">
      <c r="F201" s="6"/>
      <c r="AF201" s="74"/>
      <c r="AG201" s="74"/>
      <c r="AH201" s="74"/>
      <c r="AI201" s="86"/>
    </row>
    <row r="202" spans="6:35" x14ac:dyDescent="0.25">
      <c r="F202" s="6"/>
      <c r="AF202" s="74"/>
      <c r="AG202" s="74"/>
      <c r="AH202" s="74"/>
      <c r="AI202" s="86"/>
    </row>
    <row r="203" spans="6:35" x14ac:dyDescent="0.25">
      <c r="F203" s="6"/>
      <c r="AF203" s="74"/>
      <c r="AG203" s="74"/>
      <c r="AH203" s="74"/>
      <c r="AI203" s="86"/>
    </row>
    <row r="204" spans="6:35" x14ac:dyDescent="0.25">
      <c r="F204" s="6"/>
      <c r="AF204" s="74"/>
      <c r="AG204" s="74"/>
      <c r="AH204" s="74"/>
      <c r="AI204" s="86"/>
    </row>
    <row r="205" spans="6:35" x14ac:dyDescent="0.25">
      <c r="F205" s="6"/>
      <c r="AF205" s="74"/>
      <c r="AG205" s="74"/>
      <c r="AH205" s="74"/>
      <c r="AI205" s="86"/>
    </row>
    <row r="206" spans="6:35" x14ac:dyDescent="0.25">
      <c r="F206" s="6"/>
      <c r="AF206" s="74"/>
      <c r="AG206" s="74"/>
      <c r="AH206" s="74"/>
      <c r="AI206" s="86"/>
    </row>
    <row r="207" spans="6:35" x14ac:dyDescent="0.25">
      <c r="F207" s="6"/>
      <c r="AF207" s="74"/>
      <c r="AG207" s="74"/>
      <c r="AH207" s="74"/>
      <c r="AI207" s="86"/>
    </row>
    <row r="208" spans="6:35" x14ac:dyDescent="0.25">
      <c r="F208" s="6"/>
      <c r="AF208" s="74"/>
      <c r="AG208" s="74"/>
      <c r="AH208" s="74"/>
      <c r="AI208" s="86"/>
    </row>
    <row r="209" spans="6:35" x14ac:dyDescent="0.25">
      <c r="F209" s="6"/>
      <c r="AF209" s="74"/>
      <c r="AG209" s="74"/>
      <c r="AH209" s="74"/>
      <c r="AI209" s="86"/>
    </row>
    <row r="210" spans="6:35" x14ac:dyDescent="0.25">
      <c r="F210" s="6"/>
      <c r="AF210" s="74"/>
      <c r="AG210" s="74"/>
      <c r="AH210" s="74"/>
      <c r="AI210" s="86"/>
    </row>
    <row r="211" spans="6:35" x14ac:dyDescent="0.25">
      <c r="F211" s="6"/>
      <c r="AF211" s="74"/>
      <c r="AG211" s="74"/>
      <c r="AH211" s="74"/>
      <c r="AI211" s="86"/>
    </row>
    <row r="212" spans="6:35" x14ac:dyDescent="0.25">
      <c r="F212" s="6"/>
      <c r="AF212" s="74"/>
      <c r="AG212" s="74"/>
      <c r="AH212" s="74"/>
      <c r="AI212" s="86"/>
    </row>
    <row r="213" spans="6:35" x14ac:dyDescent="0.25">
      <c r="F213" s="6"/>
      <c r="AF213" s="74"/>
      <c r="AG213" s="74"/>
      <c r="AH213" s="74"/>
      <c r="AI213" s="86"/>
    </row>
    <row r="214" spans="6:35" x14ac:dyDescent="0.25">
      <c r="F214" s="6"/>
      <c r="AF214" s="74"/>
      <c r="AG214" s="74"/>
      <c r="AH214" s="74"/>
      <c r="AI214" s="86"/>
    </row>
    <row r="215" spans="6:35" x14ac:dyDescent="0.25">
      <c r="F215" s="6"/>
      <c r="AF215" s="74"/>
      <c r="AG215" s="74"/>
      <c r="AH215" s="74"/>
      <c r="AI215" s="86"/>
    </row>
    <row r="216" spans="6:35" x14ac:dyDescent="0.25">
      <c r="F216" s="6"/>
      <c r="AF216" s="74"/>
      <c r="AG216" s="74"/>
      <c r="AH216" s="74"/>
      <c r="AI216" s="86"/>
    </row>
    <row r="217" spans="6:35" x14ac:dyDescent="0.25">
      <c r="F217" s="6"/>
      <c r="AF217" s="74"/>
      <c r="AG217" s="74"/>
      <c r="AH217" s="74"/>
      <c r="AI217" s="86"/>
    </row>
    <row r="218" spans="6:35" x14ac:dyDescent="0.25">
      <c r="F218" s="6"/>
      <c r="AF218" s="74"/>
      <c r="AG218" s="74"/>
      <c r="AH218" s="74"/>
      <c r="AI218" s="86"/>
    </row>
    <row r="219" spans="6:35" x14ac:dyDescent="0.25">
      <c r="F219" s="6"/>
      <c r="AF219" s="74"/>
      <c r="AG219" s="74"/>
      <c r="AH219" s="74"/>
      <c r="AI219" s="86"/>
    </row>
    <row r="220" spans="6:35" x14ac:dyDescent="0.25">
      <c r="F220" s="6"/>
      <c r="AF220" s="74"/>
      <c r="AG220" s="74"/>
      <c r="AH220" s="74"/>
      <c r="AI220" s="86"/>
    </row>
    <row r="221" spans="6:35" x14ac:dyDescent="0.25">
      <c r="F221" s="6"/>
      <c r="AF221" s="74"/>
      <c r="AG221" s="74"/>
      <c r="AH221" s="74"/>
      <c r="AI221" s="86"/>
    </row>
    <row r="222" spans="6:35" x14ac:dyDescent="0.25">
      <c r="F222" s="6"/>
      <c r="AF222" s="74"/>
      <c r="AG222" s="74"/>
      <c r="AH222" s="74"/>
      <c r="AI222" s="86"/>
    </row>
    <row r="223" spans="6:35" x14ac:dyDescent="0.25">
      <c r="F223" s="6"/>
      <c r="AF223" s="74"/>
      <c r="AG223" s="74"/>
      <c r="AH223" s="74"/>
      <c r="AI223" s="86"/>
    </row>
    <row r="224" spans="6:35" x14ac:dyDescent="0.25">
      <c r="F224" s="6"/>
      <c r="AF224" s="74"/>
      <c r="AG224" s="74"/>
      <c r="AH224" s="74"/>
      <c r="AI224" s="86"/>
    </row>
    <row r="225" spans="6:35" x14ac:dyDescent="0.25">
      <c r="F225" s="6"/>
      <c r="AF225" s="74"/>
      <c r="AG225" s="74"/>
      <c r="AH225" s="74"/>
      <c r="AI225" s="86"/>
    </row>
    <row r="226" spans="6:35" x14ac:dyDescent="0.25">
      <c r="F226" s="6"/>
      <c r="AF226" s="74"/>
      <c r="AG226" s="74"/>
      <c r="AH226" s="74"/>
      <c r="AI226" s="86"/>
    </row>
    <row r="227" spans="6:35" x14ac:dyDescent="0.25">
      <c r="AF227" s="74"/>
      <c r="AG227" s="74"/>
      <c r="AH227" s="74"/>
      <c r="AI227" s="86"/>
    </row>
    <row r="228" spans="6:35" x14ac:dyDescent="0.25">
      <c r="AF228" s="74"/>
      <c r="AG228" s="74"/>
      <c r="AH228" s="74"/>
      <c r="AI228" s="86"/>
    </row>
    <row r="229" spans="6:35" x14ac:dyDescent="0.25">
      <c r="AF229" s="74"/>
      <c r="AG229" s="74"/>
      <c r="AH229" s="74"/>
      <c r="AI229" s="86"/>
    </row>
    <row r="230" spans="6:35" x14ac:dyDescent="0.25">
      <c r="AF230" s="74"/>
      <c r="AG230" s="74"/>
      <c r="AH230" s="74"/>
      <c r="AI230" s="86"/>
    </row>
    <row r="231" spans="6:35" x14ac:dyDescent="0.25">
      <c r="AF231" s="74"/>
      <c r="AG231" s="74"/>
      <c r="AH231" s="74"/>
      <c r="AI231" s="86"/>
    </row>
    <row r="232" spans="6:35" x14ac:dyDescent="0.25">
      <c r="AF232" s="74"/>
      <c r="AG232" s="74"/>
      <c r="AH232" s="74"/>
      <c r="AI232" s="86"/>
    </row>
    <row r="233" spans="6:35" x14ac:dyDescent="0.25">
      <c r="AF233" s="74"/>
      <c r="AG233" s="74"/>
      <c r="AH233" s="74"/>
      <c r="AI233" s="86"/>
    </row>
    <row r="234" spans="6:35" x14ac:dyDescent="0.25">
      <c r="AF234" s="74"/>
      <c r="AG234" s="74"/>
      <c r="AH234" s="74"/>
      <c r="AI234" s="86"/>
    </row>
    <row r="235" spans="6:35" x14ac:dyDescent="0.25">
      <c r="AF235" s="74"/>
      <c r="AG235" s="74"/>
      <c r="AH235" s="74"/>
      <c r="AI235" s="86"/>
    </row>
    <row r="236" spans="6:35" x14ac:dyDescent="0.25">
      <c r="AF236" s="74"/>
      <c r="AG236" s="74"/>
      <c r="AH236" s="74"/>
      <c r="AI236" s="86"/>
    </row>
    <row r="237" spans="6:35" x14ac:dyDescent="0.25">
      <c r="AF237" s="74"/>
      <c r="AG237" s="74"/>
      <c r="AH237" s="74"/>
      <c r="AI237" s="86"/>
    </row>
    <row r="238" spans="6:35" x14ac:dyDescent="0.25">
      <c r="AF238" s="74"/>
      <c r="AG238" s="74"/>
      <c r="AH238" s="74"/>
      <c r="AI238" s="86"/>
    </row>
    <row r="239" spans="6:35" x14ac:dyDescent="0.25">
      <c r="AF239" s="74"/>
      <c r="AG239" s="74"/>
      <c r="AH239" s="74"/>
      <c r="AI239" s="86"/>
    </row>
    <row r="240" spans="6:35" x14ac:dyDescent="0.25">
      <c r="AF240" s="74"/>
      <c r="AG240" s="74"/>
      <c r="AH240" s="74"/>
      <c r="AI240" s="86"/>
    </row>
    <row r="241" spans="32:35" x14ac:dyDescent="0.25">
      <c r="AF241" s="74"/>
      <c r="AG241" s="74"/>
      <c r="AH241" s="74"/>
      <c r="AI241" s="86"/>
    </row>
    <row r="242" spans="32:35" x14ac:dyDescent="0.25">
      <c r="AF242" s="74"/>
      <c r="AG242" s="74"/>
      <c r="AH242" s="74"/>
      <c r="AI242" s="86"/>
    </row>
    <row r="243" spans="32:35" x14ac:dyDescent="0.25">
      <c r="AF243" s="74"/>
      <c r="AG243" s="74"/>
      <c r="AH243" s="74"/>
      <c r="AI243" s="86"/>
    </row>
    <row r="244" spans="32:35" x14ac:dyDescent="0.25">
      <c r="AF244" s="74"/>
      <c r="AG244" s="74"/>
      <c r="AH244" s="74"/>
      <c r="AI244" s="86"/>
    </row>
    <row r="245" spans="32:35" x14ac:dyDescent="0.25">
      <c r="AF245" s="74"/>
      <c r="AG245" s="74"/>
      <c r="AH245" s="74"/>
      <c r="AI245" s="86"/>
    </row>
    <row r="246" spans="32:35" x14ac:dyDescent="0.25">
      <c r="AF246" s="74"/>
      <c r="AG246" s="74"/>
      <c r="AH246" s="74"/>
      <c r="AI246" s="86"/>
    </row>
    <row r="247" spans="32:35" x14ac:dyDescent="0.25">
      <c r="AF247" s="74"/>
      <c r="AG247" s="74"/>
      <c r="AH247" s="74"/>
      <c r="AI247" s="86"/>
    </row>
    <row r="248" spans="32:35" x14ac:dyDescent="0.25">
      <c r="AF248" s="74"/>
      <c r="AG248" s="74"/>
      <c r="AH248" s="74"/>
      <c r="AI248" s="86"/>
    </row>
    <row r="249" spans="32:35" x14ac:dyDescent="0.25">
      <c r="AF249" s="74"/>
      <c r="AG249" s="74"/>
      <c r="AH249" s="74"/>
      <c r="AI249" s="86"/>
    </row>
    <row r="250" spans="32:35" x14ac:dyDescent="0.25">
      <c r="AF250" s="74"/>
      <c r="AG250" s="74"/>
      <c r="AH250" s="74"/>
      <c r="AI250" s="86"/>
    </row>
    <row r="251" spans="32:35" x14ac:dyDescent="0.25">
      <c r="AF251" s="74"/>
      <c r="AG251" s="74"/>
      <c r="AH251" s="74"/>
      <c r="AI251" s="86"/>
    </row>
    <row r="252" spans="32:35" x14ac:dyDescent="0.25">
      <c r="AF252" s="74"/>
      <c r="AG252" s="74"/>
      <c r="AH252" s="74"/>
      <c r="AI252" s="86"/>
    </row>
    <row r="253" spans="32:35" x14ac:dyDescent="0.25">
      <c r="AF253" s="74"/>
      <c r="AG253" s="74"/>
      <c r="AH253" s="74"/>
      <c r="AI253" s="86"/>
    </row>
    <row r="254" spans="32:35" x14ac:dyDescent="0.25">
      <c r="AF254" s="74"/>
      <c r="AG254" s="74"/>
      <c r="AH254" s="74"/>
      <c r="AI254" s="86"/>
    </row>
    <row r="255" spans="32:35" x14ac:dyDescent="0.25">
      <c r="AF255" s="74"/>
      <c r="AG255" s="74"/>
      <c r="AH255" s="74"/>
      <c r="AI255" s="86"/>
    </row>
    <row r="256" spans="32:35" x14ac:dyDescent="0.25">
      <c r="AF256" s="74"/>
      <c r="AG256" s="74"/>
      <c r="AH256" s="74"/>
      <c r="AI256" s="86"/>
    </row>
    <row r="257" spans="32:37" x14ac:dyDescent="0.25">
      <c r="AF257" s="74"/>
      <c r="AG257" s="74"/>
      <c r="AH257" s="74"/>
      <c r="AI257" s="86"/>
    </row>
    <row r="258" spans="32:37" x14ac:dyDescent="0.25">
      <c r="AF258" s="74"/>
      <c r="AG258" s="74"/>
      <c r="AH258" s="74"/>
      <c r="AI258" s="86"/>
    </row>
    <row r="259" spans="32:37" x14ac:dyDescent="0.25">
      <c r="AF259" s="74"/>
      <c r="AG259" s="74"/>
      <c r="AH259" s="74"/>
      <c r="AI259" s="86"/>
    </row>
    <row r="260" spans="32:37" x14ac:dyDescent="0.25">
      <c r="AF260" s="74"/>
      <c r="AG260" s="74"/>
      <c r="AH260" s="74"/>
      <c r="AI260" s="86"/>
    </row>
    <row r="261" spans="32:37" x14ac:dyDescent="0.25">
      <c r="AF261" s="74"/>
      <c r="AG261" s="74"/>
      <c r="AH261" s="74"/>
      <c r="AI261" s="86"/>
    </row>
    <row r="262" spans="32:37" x14ac:dyDescent="0.25">
      <c r="AF262" s="74"/>
      <c r="AG262" s="74"/>
      <c r="AH262" s="74"/>
      <c r="AI262" s="86"/>
      <c r="AJ262" s="87"/>
      <c r="AK262" s="74"/>
    </row>
    <row r="263" spans="32:37" x14ac:dyDescent="0.25">
      <c r="AF263" s="74"/>
      <c r="AG263" s="74"/>
      <c r="AH263" s="74"/>
      <c r="AI263" s="86"/>
      <c r="AJ263" s="87"/>
      <c r="AK263" s="74"/>
    </row>
    <row r="264" spans="32:37" x14ac:dyDescent="0.25">
      <c r="AF264" s="74"/>
      <c r="AG264" s="74"/>
      <c r="AH264" s="74"/>
      <c r="AI264" s="86"/>
      <c r="AJ264" s="87"/>
      <c r="AK264" s="74"/>
    </row>
    <row r="265" spans="32:37" x14ac:dyDescent="0.25">
      <c r="AF265" s="74"/>
      <c r="AG265" s="74"/>
      <c r="AH265" s="74"/>
      <c r="AI265" s="86"/>
      <c r="AJ265" s="87"/>
      <c r="AK265" s="74"/>
    </row>
    <row r="266" spans="32:37" x14ac:dyDescent="0.25">
      <c r="AF266" s="74"/>
      <c r="AG266" s="74"/>
      <c r="AH266" s="74"/>
      <c r="AI266" s="86"/>
      <c r="AJ266" s="87"/>
      <c r="AK266" s="74"/>
    </row>
    <row r="267" spans="32:37" x14ac:dyDescent="0.25">
      <c r="AF267" s="74"/>
      <c r="AG267" s="74"/>
      <c r="AH267" s="74"/>
      <c r="AI267" s="86"/>
      <c r="AJ267" s="87"/>
      <c r="AK267" s="74"/>
    </row>
    <row r="268" spans="32:37" x14ac:dyDescent="0.25">
      <c r="AF268" s="74"/>
      <c r="AG268" s="74"/>
      <c r="AH268" s="74"/>
      <c r="AI268" s="86"/>
      <c r="AJ268" s="87"/>
      <c r="AK268" s="74"/>
    </row>
    <row r="269" spans="32:37" x14ac:dyDescent="0.25">
      <c r="AF269" s="74"/>
      <c r="AG269" s="74"/>
      <c r="AH269" s="74"/>
      <c r="AI269" s="86"/>
      <c r="AJ269" s="87"/>
      <c r="AK269" s="74"/>
    </row>
    <row r="270" spans="32:37" x14ac:dyDescent="0.25">
      <c r="AF270" s="74"/>
      <c r="AG270" s="74"/>
      <c r="AH270" s="74"/>
      <c r="AI270" s="86"/>
      <c r="AJ270" s="87"/>
      <c r="AK270" s="74"/>
    </row>
    <row r="271" spans="32:37" x14ac:dyDescent="0.25">
      <c r="AF271" s="74"/>
      <c r="AG271" s="74"/>
      <c r="AH271" s="74"/>
      <c r="AI271" s="86"/>
      <c r="AJ271" s="87"/>
      <c r="AK271" s="74"/>
    </row>
    <row r="272" spans="32:37" x14ac:dyDescent="0.25">
      <c r="AF272" s="74"/>
      <c r="AG272" s="74"/>
      <c r="AH272" s="74"/>
      <c r="AI272" s="86"/>
      <c r="AJ272" s="87"/>
      <c r="AK272" s="74"/>
    </row>
    <row r="273" spans="32:37" x14ac:dyDescent="0.25">
      <c r="AF273" s="74"/>
      <c r="AG273" s="74"/>
      <c r="AH273" s="74"/>
      <c r="AI273" s="86"/>
      <c r="AJ273" s="87"/>
      <c r="AK273" s="74"/>
    </row>
    <row r="274" spans="32:37" x14ac:dyDescent="0.25">
      <c r="AF274" s="74"/>
      <c r="AG274" s="74"/>
      <c r="AH274" s="74"/>
      <c r="AI274" s="86"/>
      <c r="AJ274" s="87"/>
      <c r="AK274" s="74"/>
    </row>
    <row r="275" spans="32:37" x14ac:dyDescent="0.25">
      <c r="AF275" s="74"/>
      <c r="AG275" s="74"/>
      <c r="AH275" s="74"/>
      <c r="AI275" s="86"/>
      <c r="AJ275" s="87"/>
      <c r="AK275" s="74"/>
    </row>
    <row r="276" spans="32:37" x14ac:dyDescent="0.25">
      <c r="AF276" s="74"/>
      <c r="AG276" s="74"/>
      <c r="AH276" s="74"/>
      <c r="AI276" s="86"/>
      <c r="AJ276" s="87"/>
      <c r="AK276" s="74"/>
    </row>
    <row r="277" spans="32:37" x14ac:dyDescent="0.25">
      <c r="AF277" s="74"/>
      <c r="AG277" s="74"/>
      <c r="AH277" s="74"/>
      <c r="AI277" s="86"/>
      <c r="AJ277" s="87"/>
      <c r="AK277" s="74"/>
    </row>
    <row r="278" spans="32:37" x14ac:dyDescent="0.25">
      <c r="AF278" s="74"/>
      <c r="AG278" s="74"/>
      <c r="AH278" s="74"/>
      <c r="AI278" s="86"/>
      <c r="AJ278" s="87"/>
      <c r="AK278" s="74"/>
    </row>
    <row r="279" spans="32:37" x14ac:dyDescent="0.25">
      <c r="AF279" s="74"/>
      <c r="AG279" s="74"/>
      <c r="AH279" s="74"/>
      <c r="AI279" s="86"/>
      <c r="AJ279" s="87"/>
      <c r="AK279" s="74"/>
    </row>
    <row r="280" spans="32:37" x14ac:dyDescent="0.25">
      <c r="AF280" s="74"/>
      <c r="AG280" s="74"/>
      <c r="AH280" s="74"/>
      <c r="AI280" s="86"/>
      <c r="AJ280" s="87"/>
      <c r="AK280" s="74"/>
    </row>
    <row r="281" spans="32:37" x14ac:dyDescent="0.25">
      <c r="AF281" s="74"/>
      <c r="AG281" s="74"/>
      <c r="AH281" s="74"/>
      <c r="AI281" s="86"/>
      <c r="AJ281" s="87"/>
      <c r="AK281" s="74"/>
    </row>
    <row r="282" spans="32:37" x14ac:dyDescent="0.25">
      <c r="AF282" s="74"/>
      <c r="AG282" s="74"/>
      <c r="AH282" s="74"/>
      <c r="AI282" s="86"/>
      <c r="AJ282" s="87"/>
      <c r="AK282" s="74"/>
    </row>
    <row r="283" spans="32:37" x14ac:dyDescent="0.25">
      <c r="AF283" s="74"/>
      <c r="AG283" s="74"/>
      <c r="AH283" s="74"/>
      <c r="AI283" s="86"/>
      <c r="AJ283" s="87"/>
      <c r="AK283" s="74"/>
    </row>
    <row r="284" spans="32:37" x14ac:dyDescent="0.25">
      <c r="AF284" s="74"/>
      <c r="AG284" s="74"/>
      <c r="AH284" s="74"/>
      <c r="AI284" s="86"/>
      <c r="AJ284" s="87"/>
      <c r="AK284" s="74"/>
    </row>
    <row r="285" spans="32:37" x14ac:dyDescent="0.25">
      <c r="AF285" s="74"/>
      <c r="AG285" s="74"/>
      <c r="AH285" s="74"/>
      <c r="AI285" s="86"/>
      <c r="AJ285" s="87"/>
      <c r="AK285" s="74"/>
    </row>
    <row r="286" spans="32:37" x14ac:dyDescent="0.25">
      <c r="AF286" s="74"/>
      <c r="AG286" s="74"/>
      <c r="AH286" s="74"/>
      <c r="AI286" s="86"/>
      <c r="AJ286" s="87"/>
      <c r="AK286" s="74"/>
    </row>
    <row r="287" spans="32:37" x14ac:dyDescent="0.25">
      <c r="AF287" s="74"/>
      <c r="AG287" s="74"/>
      <c r="AH287" s="74"/>
      <c r="AI287" s="86"/>
      <c r="AJ287" s="87"/>
      <c r="AK287" s="74"/>
    </row>
    <row r="288" spans="32:37" x14ac:dyDescent="0.25">
      <c r="AF288" s="74"/>
      <c r="AG288" s="74"/>
      <c r="AH288" s="74"/>
      <c r="AI288" s="86"/>
      <c r="AJ288" s="87"/>
      <c r="AK288" s="74"/>
    </row>
    <row r="289" spans="32:37" x14ac:dyDescent="0.25">
      <c r="AF289" s="74"/>
      <c r="AG289" s="74"/>
      <c r="AH289" s="74"/>
      <c r="AI289" s="86"/>
      <c r="AJ289" s="87"/>
      <c r="AK289" s="74"/>
    </row>
    <row r="290" spans="32:37" x14ac:dyDescent="0.25">
      <c r="AF290" s="74"/>
      <c r="AG290" s="74"/>
      <c r="AH290" s="74"/>
      <c r="AI290" s="86"/>
      <c r="AJ290" s="87"/>
      <c r="AK290" s="74"/>
    </row>
    <row r="291" spans="32:37" x14ac:dyDescent="0.25">
      <c r="AF291" s="74"/>
      <c r="AG291" s="74"/>
      <c r="AH291" s="74"/>
      <c r="AI291" s="86"/>
      <c r="AJ291" s="87"/>
      <c r="AK291" s="74"/>
    </row>
    <row r="292" spans="32:37" x14ac:dyDescent="0.25">
      <c r="AF292" s="74"/>
      <c r="AG292" s="74"/>
      <c r="AH292" s="74"/>
      <c r="AI292" s="86"/>
      <c r="AJ292" s="87"/>
      <c r="AK292" s="74"/>
    </row>
    <row r="293" spans="32:37" x14ac:dyDescent="0.25">
      <c r="AF293" s="74"/>
      <c r="AG293" s="74"/>
      <c r="AH293" s="74"/>
      <c r="AI293" s="86"/>
      <c r="AJ293" s="87"/>
      <c r="AK293" s="74"/>
    </row>
    <row r="294" spans="32:37" x14ac:dyDescent="0.25">
      <c r="AF294" s="74"/>
      <c r="AG294" s="74"/>
      <c r="AH294" s="74"/>
      <c r="AI294" s="86"/>
      <c r="AJ294" s="87"/>
      <c r="AK294" s="74"/>
    </row>
    <row r="295" spans="32:37" x14ac:dyDescent="0.25">
      <c r="AF295" s="74"/>
      <c r="AG295" s="74"/>
      <c r="AH295" s="74"/>
      <c r="AI295" s="86"/>
      <c r="AJ295" s="87"/>
      <c r="AK295" s="74"/>
    </row>
    <row r="296" spans="32:37" x14ac:dyDescent="0.25">
      <c r="AF296" s="74"/>
      <c r="AG296" s="74"/>
      <c r="AH296" s="74"/>
      <c r="AI296" s="86"/>
      <c r="AJ296" s="87"/>
      <c r="AK296" s="74"/>
    </row>
    <row r="297" spans="32:37" x14ac:dyDescent="0.25">
      <c r="AF297" s="74"/>
      <c r="AG297" s="74"/>
      <c r="AH297" s="74"/>
      <c r="AI297" s="86"/>
      <c r="AJ297" s="87"/>
      <c r="AK297" s="74"/>
    </row>
    <row r="298" spans="32:37" x14ac:dyDescent="0.25">
      <c r="AF298" s="74"/>
      <c r="AG298" s="74"/>
      <c r="AH298" s="74"/>
      <c r="AI298" s="86"/>
      <c r="AJ298" s="87"/>
      <c r="AK298" s="74"/>
    </row>
    <row r="299" spans="32:37" x14ac:dyDescent="0.25">
      <c r="AF299" s="74"/>
      <c r="AG299" s="74"/>
      <c r="AH299" s="74"/>
      <c r="AI299" s="86"/>
      <c r="AJ299" s="87"/>
      <c r="AK299" s="74"/>
    </row>
    <row r="300" spans="32:37" x14ac:dyDescent="0.25">
      <c r="AF300" s="74"/>
      <c r="AG300" s="74"/>
      <c r="AH300" s="74"/>
      <c r="AI300" s="86"/>
      <c r="AJ300" s="87"/>
      <c r="AK300" s="74"/>
    </row>
    <row r="301" spans="32:37" x14ac:dyDescent="0.25">
      <c r="AF301" s="74"/>
      <c r="AG301" s="74"/>
      <c r="AH301" s="74"/>
      <c r="AI301" s="86"/>
      <c r="AJ301" s="87"/>
      <c r="AK301" s="74"/>
    </row>
    <row r="302" spans="32:37" x14ac:dyDescent="0.25">
      <c r="AF302" s="74"/>
      <c r="AG302" s="74"/>
      <c r="AH302" s="74"/>
      <c r="AI302" s="86"/>
      <c r="AJ302" s="87"/>
      <c r="AK302" s="74"/>
    </row>
    <row r="303" spans="32:37" x14ac:dyDescent="0.25">
      <c r="AF303" s="74"/>
      <c r="AG303" s="74"/>
      <c r="AH303" s="74"/>
      <c r="AI303" s="86"/>
      <c r="AJ303" s="87"/>
      <c r="AK303" s="74"/>
    </row>
    <row r="304" spans="32:37" x14ac:dyDescent="0.25">
      <c r="AF304" s="74"/>
      <c r="AG304" s="74"/>
      <c r="AH304" s="74"/>
      <c r="AI304" s="86"/>
      <c r="AJ304" s="87"/>
      <c r="AK304" s="74"/>
    </row>
    <row r="305" spans="32:37" x14ac:dyDescent="0.25">
      <c r="AF305" s="74"/>
      <c r="AG305" s="74"/>
      <c r="AH305" s="74"/>
      <c r="AI305" s="86"/>
      <c r="AJ305" s="87"/>
      <c r="AK305" s="74"/>
    </row>
    <row r="306" spans="32:37" x14ac:dyDescent="0.25">
      <c r="AF306" s="74"/>
      <c r="AG306" s="74"/>
      <c r="AH306" s="74"/>
      <c r="AI306" s="86"/>
      <c r="AJ306" s="87"/>
      <c r="AK306" s="74"/>
    </row>
    <row r="307" spans="32:37" x14ac:dyDescent="0.25">
      <c r="AF307" s="74"/>
      <c r="AG307" s="74"/>
      <c r="AH307" s="74"/>
      <c r="AI307" s="86"/>
      <c r="AJ307" s="87"/>
      <c r="AK307" s="74"/>
    </row>
    <row r="308" spans="32:37" x14ac:dyDescent="0.25">
      <c r="AF308" s="74"/>
      <c r="AG308" s="74"/>
      <c r="AH308" s="74"/>
      <c r="AI308" s="86"/>
      <c r="AJ308" s="87"/>
      <c r="AK308" s="74"/>
    </row>
    <row r="309" spans="32:37" x14ac:dyDescent="0.25">
      <c r="AF309" s="74"/>
      <c r="AG309" s="74"/>
      <c r="AH309" s="74"/>
      <c r="AI309" s="86"/>
      <c r="AJ309" s="87"/>
      <c r="AK309" s="74"/>
    </row>
    <row r="310" spans="32:37" x14ac:dyDescent="0.25">
      <c r="AF310" s="74"/>
      <c r="AG310" s="74"/>
      <c r="AH310" s="74"/>
      <c r="AI310" s="86"/>
      <c r="AJ310" s="87"/>
      <c r="AK310" s="74"/>
    </row>
    <row r="311" spans="32:37" x14ac:dyDescent="0.25">
      <c r="AF311" s="74"/>
      <c r="AG311" s="74"/>
      <c r="AH311" s="74"/>
      <c r="AI311" s="86"/>
      <c r="AJ311" s="87"/>
      <c r="AK311" s="74"/>
    </row>
    <row r="312" spans="32:37" x14ac:dyDescent="0.25">
      <c r="AF312" s="74"/>
      <c r="AG312" s="74"/>
      <c r="AH312" s="74"/>
      <c r="AI312" s="86"/>
      <c r="AJ312" s="87"/>
      <c r="AK312" s="74"/>
    </row>
    <row r="313" spans="32:37" x14ac:dyDescent="0.25">
      <c r="AF313" s="74"/>
      <c r="AG313" s="74"/>
      <c r="AH313" s="74"/>
      <c r="AI313" s="86"/>
      <c r="AJ313" s="87"/>
      <c r="AK313" s="74"/>
    </row>
    <row r="314" spans="32:37" x14ac:dyDescent="0.25">
      <c r="AF314" s="74"/>
      <c r="AG314" s="74"/>
      <c r="AH314" s="74"/>
      <c r="AI314" s="86"/>
      <c r="AJ314" s="87"/>
      <c r="AK314" s="74"/>
    </row>
    <row r="315" spans="32:37" x14ac:dyDescent="0.25">
      <c r="AF315" s="74"/>
      <c r="AG315" s="74"/>
      <c r="AH315" s="74"/>
      <c r="AI315" s="86"/>
      <c r="AJ315" s="87"/>
      <c r="AK315" s="74"/>
    </row>
    <row r="316" spans="32:37" x14ac:dyDescent="0.25">
      <c r="AF316" s="74"/>
      <c r="AG316" s="74"/>
      <c r="AH316" s="74"/>
      <c r="AI316" s="86"/>
      <c r="AJ316" s="87"/>
      <c r="AK316" s="74"/>
    </row>
    <row r="317" spans="32:37" x14ac:dyDescent="0.25">
      <c r="AF317" s="74"/>
      <c r="AG317" s="74"/>
      <c r="AH317" s="74"/>
      <c r="AI317" s="86"/>
      <c r="AJ317" s="87"/>
      <c r="AK317" s="74"/>
    </row>
    <row r="318" spans="32:37" x14ac:dyDescent="0.25">
      <c r="AF318" s="74"/>
      <c r="AG318" s="74"/>
      <c r="AH318" s="74"/>
      <c r="AI318" s="86"/>
      <c r="AJ318" s="87"/>
      <c r="AK318" s="74"/>
    </row>
    <row r="319" spans="32:37" x14ac:dyDescent="0.25">
      <c r="AF319" s="74"/>
      <c r="AG319" s="74"/>
      <c r="AH319" s="74"/>
      <c r="AI319" s="86"/>
      <c r="AJ319" s="87"/>
      <c r="AK319" s="74"/>
    </row>
    <row r="320" spans="32:37" x14ac:dyDescent="0.25">
      <c r="AF320" s="74"/>
      <c r="AG320" s="74"/>
      <c r="AH320" s="74"/>
      <c r="AI320" s="86"/>
      <c r="AJ320" s="87"/>
      <c r="AK320" s="74"/>
    </row>
    <row r="321" spans="32:37" x14ac:dyDescent="0.25">
      <c r="AF321" s="74"/>
      <c r="AG321" s="74"/>
      <c r="AH321" s="74"/>
      <c r="AI321" s="86"/>
      <c r="AJ321" s="87"/>
      <c r="AK321" s="74"/>
    </row>
    <row r="322" spans="32:37" x14ac:dyDescent="0.25">
      <c r="AF322" s="74"/>
      <c r="AG322" s="74"/>
      <c r="AH322" s="74"/>
      <c r="AI322" s="86"/>
      <c r="AJ322" s="87"/>
      <c r="AK322" s="74"/>
    </row>
    <row r="323" spans="32:37" x14ac:dyDescent="0.25">
      <c r="AF323" s="74"/>
      <c r="AG323" s="74"/>
      <c r="AH323" s="74"/>
      <c r="AI323" s="86"/>
      <c r="AJ323" s="87"/>
      <c r="AK323" s="74"/>
    </row>
    <row r="324" spans="32:37" x14ac:dyDescent="0.25">
      <c r="AF324" s="74"/>
      <c r="AG324" s="74"/>
      <c r="AH324" s="74"/>
      <c r="AI324" s="86"/>
      <c r="AJ324" s="87"/>
      <c r="AK324" s="74"/>
    </row>
    <row r="325" spans="32:37" x14ac:dyDescent="0.25">
      <c r="AF325" s="74"/>
      <c r="AG325" s="74"/>
      <c r="AH325" s="74"/>
      <c r="AI325" s="86"/>
      <c r="AJ325" s="87"/>
      <c r="AK325" s="74"/>
    </row>
    <row r="326" spans="32:37" x14ac:dyDescent="0.25">
      <c r="AF326" s="74"/>
      <c r="AG326" s="74"/>
      <c r="AH326" s="74"/>
      <c r="AI326" s="86"/>
      <c r="AJ326" s="87"/>
      <c r="AK326" s="74"/>
    </row>
    <row r="327" spans="32:37" x14ac:dyDescent="0.25">
      <c r="AF327" s="74"/>
      <c r="AG327" s="74"/>
      <c r="AH327" s="74"/>
      <c r="AI327" s="86"/>
      <c r="AJ327" s="87"/>
      <c r="AK327" s="74"/>
    </row>
    <row r="328" spans="32:37" x14ac:dyDescent="0.25">
      <c r="AF328" s="74"/>
      <c r="AG328" s="74"/>
      <c r="AH328" s="74"/>
      <c r="AI328" s="86"/>
      <c r="AJ328" s="87"/>
      <c r="AK328" s="74"/>
    </row>
    <row r="329" spans="32:37" x14ac:dyDescent="0.25">
      <c r="AF329" s="74"/>
      <c r="AG329" s="74"/>
      <c r="AH329" s="74"/>
      <c r="AI329" s="86"/>
      <c r="AJ329" s="87"/>
      <c r="AK329" s="74"/>
    </row>
    <row r="330" spans="32:37" x14ac:dyDescent="0.25">
      <c r="AF330" s="74"/>
      <c r="AG330" s="74"/>
      <c r="AH330" s="74"/>
      <c r="AI330" s="86"/>
      <c r="AJ330" s="87"/>
      <c r="AK330" s="74"/>
    </row>
    <row r="331" spans="32:37" x14ac:dyDescent="0.25">
      <c r="AF331" s="74"/>
      <c r="AG331" s="74"/>
      <c r="AH331" s="74"/>
      <c r="AI331" s="86"/>
      <c r="AJ331" s="87"/>
      <c r="AK331" s="74"/>
    </row>
    <row r="332" spans="32:37" x14ac:dyDescent="0.25">
      <c r="AF332" s="74"/>
      <c r="AG332" s="74"/>
      <c r="AH332" s="74"/>
      <c r="AI332" s="86"/>
      <c r="AJ332" s="87"/>
      <c r="AK332" s="74"/>
    </row>
    <row r="333" spans="32:37" x14ac:dyDescent="0.25">
      <c r="AF333" s="74"/>
      <c r="AG333" s="74"/>
      <c r="AH333" s="74"/>
      <c r="AI333" s="86"/>
      <c r="AJ333" s="87"/>
      <c r="AK333" s="74"/>
    </row>
    <row r="334" spans="32:37" x14ac:dyDescent="0.25">
      <c r="AF334" s="74"/>
      <c r="AG334" s="74"/>
      <c r="AH334" s="74"/>
      <c r="AI334" s="86"/>
      <c r="AJ334" s="87"/>
      <c r="AK334" s="74"/>
    </row>
    <row r="335" spans="32:37" x14ac:dyDescent="0.25">
      <c r="AF335" s="74"/>
      <c r="AG335" s="74"/>
      <c r="AH335" s="74"/>
      <c r="AI335" s="86"/>
      <c r="AJ335" s="87"/>
      <c r="AK335" s="74"/>
    </row>
    <row r="336" spans="32:37" x14ac:dyDescent="0.25">
      <c r="AF336" s="74"/>
      <c r="AG336" s="74"/>
      <c r="AH336" s="74"/>
      <c r="AI336" s="86"/>
      <c r="AJ336" s="87"/>
      <c r="AK336" s="74"/>
    </row>
    <row r="337" spans="32:37" x14ac:dyDescent="0.25">
      <c r="AF337" s="74"/>
      <c r="AG337" s="74"/>
      <c r="AH337" s="74"/>
      <c r="AI337" s="86"/>
      <c r="AJ337" s="87"/>
      <c r="AK337" s="74"/>
    </row>
    <row r="338" spans="32:37" x14ac:dyDescent="0.25">
      <c r="AF338" s="74"/>
      <c r="AG338" s="74"/>
      <c r="AH338" s="74"/>
      <c r="AI338" s="86"/>
      <c r="AJ338" s="87"/>
      <c r="AK338" s="74"/>
    </row>
    <row r="339" spans="32:37" x14ac:dyDescent="0.25">
      <c r="AF339" s="74"/>
      <c r="AG339" s="74"/>
      <c r="AH339" s="74"/>
      <c r="AI339" s="86"/>
      <c r="AJ339" s="87"/>
      <c r="AK339" s="74"/>
    </row>
    <row r="340" spans="32:37" x14ac:dyDescent="0.25">
      <c r="AF340" s="74"/>
      <c r="AG340" s="74"/>
      <c r="AH340" s="74"/>
      <c r="AI340" s="86"/>
      <c r="AJ340" s="87"/>
      <c r="AK340" s="74"/>
    </row>
    <row r="341" spans="32:37" x14ac:dyDescent="0.25">
      <c r="AF341" s="74"/>
      <c r="AG341" s="74"/>
      <c r="AH341" s="74"/>
      <c r="AI341" s="86"/>
      <c r="AJ341" s="87"/>
      <c r="AK341" s="74"/>
    </row>
    <row r="342" spans="32:37" x14ac:dyDescent="0.25">
      <c r="AF342" s="74"/>
      <c r="AG342" s="74"/>
      <c r="AH342" s="74"/>
      <c r="AI342" s="86"/>
      <c r="AJ342" s="87"/>
      <c r="AK342" s="74"/>
    </row>
    <row r="343" spans="32:37" x14ac:dyDescent="0.25">
      <c r="AF343" s="74"/>
      <c r="AG343" s="74"/>
      <c r="AH343" s="74"/>
      <c r="AI343" s="86"/>
      <c r="AJ343" s="87"/>
      <c r="AK343" s="74"/>
    </row>
    <row r="344" spans="32:37" x14ac:dyDescent="0.25">
      <c r="AF344" s="74"/>
      <c r="AG344" s="74"/>
      <c r="AH344" s="74"/>
      <c r="AI344" s="86"/>
      <c r="AJ344" s="87"/>
      <c r="AK344" s="74"/>
    </row>
    <row r="345" spans="32:37" x14ac:dyDescent="0.25">
      <c r="AF345" s="74"/>
      <c r="AG345" s="74"/>
      <c r="AH345" s="74"/>
      <c r="AI345" s="86"/>
      <c r="AJ345" s="87"/>
      <c r="AK345" s="74"/>
    </row>
    <row r="346" spans="32:37" x14ac:dyDescent="0.25">
      <c r="AF346" s="74"/>
      <c r="AG346" s="74"/>
      <c r="AH346" s="74"/>
      <c r="AI346" s="86"/>
      <c r="AJ346" s="87"/>
      <c r="AK346" s="74"/>
    </row>
    <row r="347" spans="32:37" x14ac:dyDescent="0.25">
      <c r="AF347" s="74"/>
      <c r="AG347" s="74"/>
      <c r="AH347" s="74"/>
      <c r="AI347" s="86"/>
      <c r="AJ347" s="87"/>
      <c r="AK347" s="74"/>
    </row>
    <row r="348" spans="32:37" x14ac:dyDescent="0.25">
      <c r="AF348" s="74"/>
      <c r="AG348" s="74"/>
      <c r="AH348" s="74"/>
      <c r="AI348" s="86"/>
      <c r="AJ348" s="87"/>
      <c r="AK348" s="74"/>
    </row>
    <row r="349" spans="32:37" x14ac:dyDescent="0.25">
      <c r="AF349" s="74"/>
      <c r="AG349" s="74"/>
      <c r="AH349" s="74"/>
      <c r="AI349" s="86"/>
      <c r="AJ349" s="87"/>
      <c r="AK349" s="74"/>
    </row>
    <row r="350" spans="32:37" x14ac:dyDescent="0.25">
      <c r="AF350" s="74"/>
      <c r="AG350" s="74"/>
      <c r="AH350" s="74"/>
      <c r="AI350" s="86"/>
      <c r="AJ350" s="87"/>
      <c r="AK350" s="74"/>
    </row>
    <row r="351" spans="32:37" x14ac:dyDescent="0.25">
      <c r="AF351" s="74"/>
      <c r="AG351" s="74"/>
      <c r="AH351" s="74"/>
      <c r="AI351" s="86"/>
      <c r="AJ351" s="87"/>
      <c r="AK351" s="74"/>
    </row>
    <row r="352" spans="32:37" x14ac:dyDescent="0.25">
      <c r="AF352" s="74"/>
      <c r="AG352" s="74"/>
      <c r="AH352" s="74"/>
      <c r="AI352" s="86"/>
      <c r="AJ352" s="87"/>
      <c r="AK352" s="74"/>
    </row>
    <row r="353" spans="32:37" x14ac:dyDescent="0.25">
      <c r="AF353" s="74"/>
      <c r="AG353" s="74"/>
      <c r="AH353" s="74"/>
      <c r="AI353" s="86"/>
      <c r="AJ353" s="87"/>
      <c r="AK353" s="74"/>
    </row>
    <row r="354" spans="32:37" x14ac:dyDescent="0.25">
      <c r="AF354" s="74"/>
      <c r="AG354" s="74"/>
      <c r="AH354" s="74"/>
      <c r="AI354" s="86"/>
      <c r="AJ354" s="87"/>
      <c r="AK354" s="74"/>
    </row>
    <row r="355" spans="32:37" x14ac:dyDescent="0.25">
      <c r="AF355" s="74"/>
      <c r="AG355" s="74"/>
      <c r="AH355" s="74"/>
      <c r="AI355" s="86"/>
      <c r="AJ355" s="87"/>
      <c r="AK355" s="74"/>
    </row>
    <row r="356" spans="32:37" x14ac:dyDescent="0.25">
      <c r="AF356" s="74"/>
      <c r="AG356" s="74"/>
      <c r="AH356" s="74"/>
      <c r="AI356" s="86"/>
      <c r="AJ356" s="87"/>
      <c r="AK356" s="74"/>
    </row>
    <row r="357" spans="32:37" x14ac:dyDescent="0.25">
      <c r="AF357" s="74"/>
      <c r="AG357" s="74"/>
      <c r="AH357" s="74"/>
      <c r="AI357" s="86"/>
      <c r="AJ357" s="87"/>
      <c r="AK357" s="74"/>
    </row>
    <row r="358" spans="32:37" x14ac:dyDescent="0.25">
      <c r="AF358" s="74"/>
      <c r="AG358" s="74"/>
      <c r="AH358" s="74"/>
      <c r="AI358" s="86"/>
      <c r="AJ358" s="87"/>
      <c r="AK358" s="74"/>
    </row>
    <row r="359" spans="32:37" x14ac:dyDescent="0.25">
      <c r="AF359" s="74"/>
      <c r="AG359" s="74"/>
      <c r="AH359" s="74"/>
      <c r="AI359" s="86"/>
      <c r="AJ359" s="87"/>
      <c r="AK359" s="74"/>
    </row>
    <row r="360" spans="32:37" x14ac:dyDescent="0.25">
      <c r="AF360" s="74"/>
      <c r="AG360" s="74"/>
      <c r="AH360" s="74"/>
      <c r="AI360" s="86"/>
      <c r="AJ360" s="87"/>
      <c r="AK360" s="74"/>
    </row>
    <row r="361" spans="32:37" x14ac:dyDescent="0.25">
      <c r="AF361" s="74"/>
      <c r="AG361" s="74"/>
      <c r="AH361" s="74"/>
      <c r="AI361" s="86"/>
      <c r="AJ361" s="87"/>
      <c r="AK361" s="74"/>
    </row>
    <row r="362" spans="32:37" x14ac:dyDescent="0.25">
      <c r="AF362" s="74"/>
      <c r="AG362" s="74"/>
      <c r="AH362" s="74"/>
      <c r="AI362" s="86"/>
      <c r="AJ362" s="87"/>
      <c r="AK362" s="74"/>
    </row>
    <row r="363" spans="32:37" x14ac:dyDescent="0.25">
      <c r="AF363" s="74"/>
      <c r="AG363" s="74"/>
      <c r="AH363" s="74"/>
      <c r="AI363" s="86"/>
      <c r="AJ363" s="87"/>
      <c r="AK363" s="74"/>
    </row>
    <row r="364" spans="32:37" x14ac:dyDescent="0.25">
      <c r="AF364" s="74"/>
      <c r="AG364" s="74"/>
      <c r="AH364" s="74"/>
      <c r="AI364" s="86"/>
      <c r="AJ364" s="87"/>
      <c r="AK364" s="74"/>
    </row>
    <row r="365" spans="32:37" x14ac:dyDescent="0.25">
      <c r="AF365" s="74"/>
      <c r="AG365" s="74"/>
      <c r="AH365" s="74"/>
      <c r="AI365" s="86"/>
      <c r="AJ365" s="87"/>
      <c r="AK365" s="74"/>
    </row>
    <row r="366" spans="32:37" x14ac:dyDescent="0.25">
      <c r="AF366" s="74"/>
      <c r="AG366" s="74"/>
      <c r="AH366" s="74"/>
      <c r="AI366" s="86"/>
      <c r="AJ366" s="87"/>
      <c r="AK366" s="74"/>
    </row>
    <row r="367" spans="32:37" x14ac:dyDescent="0.25">
      <c r="AF367" s="74"/>
      <c r="AG367" s="74"/>
      <c r="AH367" s="74"/>
      <c r="AI367" s="86"/>
      <c r="AJ367" s="87"/>
      <c r="AK367" s="74"/>
    </row>
    <row r="368" spans="32:37" x14ac:dyDescent="0.25">
      <c r="AF368" s="74"/>
      <c r="AG368" s="74"/>
      <c r="AH368" s="74"/>
      <c r="AI368" s="86"/>
      <c r="AJ368" s="87"/>
      <c r="AK368" s="74"/>
    </row>
    <row r="369" spans="32:37" x14ac:dyDescent="0.25">
      <c r="AF369" s="74"/>
      <c r="AG369" s="74"/>
      <c r="AH369" s="74"/>
      <c r="AI369" s="86"/>
      <c r="AJ369" s="87"/>
      <c r="AK369" s="74"/>
    </row>
    <row r="370" spans="32:37" x14ac:dyDescent="0.25">
      <c r="AF370" s="74"/>
      <c r="AG370" s="74"/>
      <c r="AH370" s="74"/>
      <c r="AI370" s="86"/>
      <c r="AJ370" s="87"/>
      <c r="AK370" s="74"/>
    </row>
    <row r="371" spans="32:37" x14ac:dyDescent="0.25">
      <c r="AF371" s="74"/>
      <c r="AG371" s="74"/>
      <c r="AH371" s="74"/>
      <c r="AI371" s="86"/>
      <c r="AJ371" s="87"/>
      <c r="AK371" s="74"/>
    </row>
    <row r="372" spans="32:37" x14ac:dyDescent="0.25">
      <c r="AF372" s="74"/>
      <c r="AG372" s="74"/>
      <c r="AH372" s="74"/>
      <c r="AI372" s="86"/>
      <c r="AJ372" s="87"/>
      <c r="AK372" s="74"/>
    </row>
    <row r="373" spans="32:37" x14ac:dyDescent="0.25">
      <c r="AF373" s="74"/>
      <c r="AG373" s="74"/>
      <c r="AH373" s="74"/>
      <c r="AI373" s="86"/>
      <c r="AJ373" s="87"/>
      <c r="AK373" s="74"/>
    </row>
    <row r="374" spans="32:37" x14ac:dyDescent="0.25">
      <c r="AF374" s="74"/>
      <c r="AG374" s="74"/>
      <c r="AH374" s="74"/>
      <c r="AI374" s="86"/>
      <c r="AJ374" s="87"/>
      <c r="AK374" s="74"/>
    </row>
    <row r="375" spans="32:37" x14ac:dyDescent="0.25">
      <c r="AF375" s="74"/>
      <c r="AG375" s="74"/>
      <c r="AH375" s="74"/>
      <c r="AI375" s="86"/>
      <c r="AJ375" s="87"/>
      <c r="AK375" s="74"/>
    </row>
    <row r="376" spans="32:37" x14ac:dyDescent="0.25">
      <c r="AF376" s="74"/>
      <c r="AG376" s="74"/>
      <c r="AH376" s="74"/>
      <c r="AI376" s="86"/>
      <c r="AJ376" s="87"/>
      <c r="AK376" s="74"/>
    </row>
    <row r="377" spans="32:37" x14ac:dyDescent="0.25">
      <c r="AF377" s="74"/>
      <c r="AG377" s="74"/>
      <c r="AH377" s="74"/>
      <c r="AI377" s="86"/>
      <c r="AJ377" s="87"/>
      <c r="AK377" s="74"/>
    </row>
    <row r="378" spans="32:37" x14ac:dyDescent="0.25">
      <c r="AF378" s="74"/>
      <c r="AG378" s="74"/>
      <c r="AH378" s="74"/>
      <c r="AI378" s="86"/>
      <c r="AJ378" s="87"/>
      <c r="AK378" s="74"/>
    </row>
    <row r="379" spans="32:37" x14ac:dyDescent="0.25">
      <c r="AF379" s="74"/>
      <c r="AG379" s="74"/>
      <c r="AH379" s="74"/>
      <c r="AI379" s="86"/>
      <c r="AJ379" s="87"/>
      <c r="AK379" s="74"/>
    </row>
    <row r="380" spans="32:37" x14ac:dyDescent="0.25">
      <c r="AF380" s="74"/>
      <c r="AG380" s="74"/>
      <c r="AH380" s="74"/>
      <c r="AI380" s="86"/>
      <c r="AJ380" s="87"/>
      <c r="AK380" s="74"/>
    </row>
    <row r="381" spans="32:37" x14ac:dyDescent="0.25">
      <c r="AF381" s="74"/>
      <c r="AG381" s="74"/>
      <c r="AH381" s="74"/>
      <c r="AI381" s="86"/>
      <c r="AJ381" s="87"/>
      <c r="AK381" s="74"/>
    </row>
    <row r="382" spans="32:37" x14ac:dyDescent="0.25">
      <c r="AF382" s="74"/>
      <c r="AG382" s="74"/>
      <c r="AH382" s="74"/>
      <c r="AI382" s="86"/>
      <c r="AJ382" s="87"/>
      <c r="AK382" s="74"/>
    </row>
    <row r="383" spans="32:37" x14ac:dyDescent="0.25">
      <c r="AF383" s="74"/>
      <c r="AG383" s="74"/>
      <c r="AH383" s="74"/>
      <c r="AI383" s="86"/>
      <c r="AJ383" s="87"/>
      <c r="AK383" s="74"/>
    </row>
    <row r="384" spans="32:37" x14ac:dyDescent="0.25">
      <c r="AF384" s="74"/>
      <c r="AG384" s="74"/>
      <c r="AH384" s="74"/>
      <c r="AI384" s="86"/>
      <c r="AJ384" s="87"/>
      <c r="AK384" s="74"/>
    </row>
    <row r="385" spans="32:37" x14ac:dyDescent="0.25">
      <c r="AF385" s="74"/>
      <c r="AG385" s="74"/>
      <c r="AH385" s="74"/>
      <c r="AI385" s="86"/>
      <c r="AJ385" s="87"/>
      <c r="AK385" s="74"/>
    </row>
    <row r="386" spans="32:37" x14ac:dyDescent="0.25">
      <c r="AF386" s="74"/>
      <c r="AG386" s="74"/>
      <c r="AH386" s="74"/>
      <c r="AI386" s="86"/>
      <c r="AJ386" s="87"/>
      <c r="AK386" s="74"/>
    </row>
    <row r="387" spans="32:37" x14ac:dyDescent="0.25">
      <c r="AF387" s="74"/>
      <c r="AG387" s="74"/>
      <c r="AH387" s="74"/>
      <c r="AI387" s="86"/>
      <c r="AJ387" s="87"/>
      <c r="AK387" s="74"/>
    </row>
    <row r="388" spans="32:37" x14ac:dyDescent="0.25">
      <c r="AF388" s="74"/>
      <c r="AG388" s="74"/>
      <c r="AH388" s="74"/>
      <c r="AI388" s="86"/>
      <c r="AJ388" s="87"/>
      <c r="AK388" s="74"/>
    </row>
    <row r="389" spans="32:37" x14ac:dyDescent="0.25">
      <c r="AF389" s="74"/>
      <c r="AG389" s="74"/>
      <c r="AH389" s="74"/>
      <c r="AI389" s="86"/>
      <c r="AJ389" s="87"/>
      <c r="AK389" s="74"/>
    </row>
    <row r="390" spans="32:37" x14ac:dyDescent="0.25">
      <c r="AF390" s="74"/>
      <c r="AG390" s="74"/>
      <c r="AH390" s="74"/>
      <c r="AI390" s="86"/>
      <c r="AJ390" s="87"/>
      <c r="AK390" s="74"/>
    </row>
    <row r="391" spans="32:37" x14ac:dyDescent="0.25">
      <c r="AF391" s="74"/>
      <c r="AG391" s="74"/>
      <c r="AH391" s="74"/>
      <c r="AI391" s="86"/>
      <c r="AJ391" s="87"/>
      <c r="AK391" s="74"/>
    </row>
    <row r="392" spans="32:37" x14ac:dyDescent="0.25">
      <c r="AF392" s="74"/>
      <c r="AG392" s="74"/>
      <c r="AH392" s="74"/>
      <c r="AI392" s="86"/>
      <c r="AJ392" s="87"/>
      <c r="AK392" s="74"/>
    </row>
    <row r="393" spans="32:37" x14ac:dyDescent="0.25">
      <c r="AF393" s="74"/>
      <c r="AG393" s="74"/>
      <c r="AH393" s="74"/>
      <c r="AI393" s="86"/>
      <c r="AJ393" s="87"/>
      <c r="AK393" s="74"/>
    </row>
    <row r="394" spans="32:37" x14ac:dyDescent="0.25">
      <c r="AF394" s="74"/>
      <c r="AG394" s="74"/>
      <c r="AH394" s="74"/>
      <c r="AI394" s="86"/>
      <c r="AJ394" s="87"/>
      <c r="AK394" s="74"/>
    </row>
    <row r="395" spans="32:37" x14ac:dyDescent="0.25">
      <c r="AF395" s="74"/>
      <c r="AG395" s="74"/>
      <c r="AH395" s="74"/>
      <c r="AI395" s="86"/>
      <c r="AJ395" s="87"/>
      <c r="AK395" s="74"/>
    </row>
    <row r="396" spans="32:37" x14ac:dyDescent="0.25">
      <c r="AF396" s="74"/>
      <c r="AG396" s="74"/>
      <c r="AH396" s="74"/>
      <c r="AI396" s="86"/>
      <c r="AJ396" s="87"/>
      <c r="AK396" s="74"/>
    </row>
    <row r="397" spans="32:37" x14ac:dyDescent="0.25">
      <c r="AF397" s="74"/>
      <c r="AG397" s="74"/>
      <c r="AH397" s="74"/>
      <c r="AI397" s="86"/>
      <c r="AJ397" s="87"/>
      <c r="AK397" s="74"/>
    </row>
    <row r="398" spans="32:37" x14ac:dyDescent="0.25">
      <c r="AF398" s="74"/>
      <c r="AG398" s="74"/>
      <c r="AH398" s="74"/>
      <c r="AI398" s="86"/>
      <c r="AJ398" s="87"/>
      <c r="AK398" s="74"/>
    </row>
    <row r="399" spans="32:37" x14ac:dyDescent="0.25">
      <c r="AF399" s="74"/>
      <c r="AG399" s="74"/>
      <c r="AH399" s="74"/>
      <c r="AI399" s="86"/>
      <c r="AJ399" s="87"/>
      <c r="AK399" s="74"/>
    </row>
    <row r="400" spans="32:37" x14ac:dyDescent="0.25">
      <c r="AF400" s="74"/>
      <c r="AG400" s="74"/>
      <c r="AH400" s="74"/>
      <c r="AI400" s="86"/>
      <c r="AJ400" s="87"/>
      <c r="AK400" s="74"/>
    </row>
    <row r="401" spans="32:37" x14ac:dyDescent="0.25">
      <c r="AF401" s="74"/>
      <c r="AG401" s="74"/>
      <c r="AH401" s="74"/>
      <c r="AI401" s="86"/>
      <c r="AJ401" s="87"/>
      <c r="AK401" s="74"/>
    </row>
    <row r="402" spans="32:37" x14ac:dyDescent="0.25">
      <c r="AF402" s="74"/>
      <c r="AG402" s="74"/>
      <c r="AH402" s="74"/>
      <c r="AI402" s="86"/>
      <c r="AJ402" s="87"/>
      <c r="AK402" s="74"/>
    </row>
    <row r="403" spans="32:37" x14ac:dyDescent="0.25">
      <c r="AF403" s="74"/>
      <c r="AG403" s="74"/>
      <c r="AH403" s="74"/>
      <c r="AI403" s="86"/>
      <c r="AJ403" s="87"/>
      <c r="AK403" s="74"/>
    </row>
    <row r="404" spans="32:37" x14ac:dyDescent="0.25">
      <c r="AF404" s="74"/>
      <c r="AG404" s="74"/>
      <c r="AH404" s="74"/>
      <c r="AI404" s="86"/>
      <c r="AJ404" s="87"/>
      <c r="AK404" s="74"/>
    </row>
    <row r="405" spans="32:37" x14ac:dyDescent="0.25">
      <c r="AF405" s="74"/>
      <c r="AG405" s="74"/>
      <c r="AH405" s="74"/>
      <c r="AI405" s="86"/>
      <c r="AJ405" s="87"/>
      <c r="AK405" s="74"/>
    </row>
    <row r="406" spans="32:37" x14ac:dyDescent="0.25">
      <c r="AF406" s="74"/>
      <c r="AG406" s="74"/>
      <c r="AH406" s="74"/>
      <c r="AI406" s="86"/>
      <c r="AJ406" s="87"/>
      <c r="AK406" s="74"/>
    </row>
    <row r="407" spans="32:37" x14ac:dyDescent="0.25">
      <c r="AF407" s="74"/>
      <c r="AG407" s="74"/>
      <c r="AH407" s="74"/>
      <c r="AI407" s="86"/>
      <c r="AJ407" s="87"/>
      <c r="AK407" s="74"/>
    </row>
    <row r="408" spans="32:37" x14ac:dyDescent="0.25">
      <c r="AF408" s="74"/>
      <c r="AG408" s="74"/>
      <c r="AH408" s="74"/>
      <c r="AI408" s="86"/>
      <c r="AJ408" s="87"/>
      <c r="AK408" s="74"/>
    </row>
    <row r="409" spans="32:37" x14ac:dyDescent="0.25">
      <c r="AF409" s="74"/>
      <c r="AG409" s="74"/>
      <c r="AH409" s="74"/>
      <c r="AI409" s="86"/>
      <c r="AJ409" s="87"/>
      <c r="AK409" s="74"/>
    </row>
    <row r="410" spans="32:37" x14ac:dyDescent="0.25">
      <c r="AF410" s="74"/>
      <c r="AG410" s="74"/>
      <c r="AH410" s="74"/>
      <c r="AI410" s="86"/>
      <c r="AJ410" s="87"/>
      <c r="AK410" s="74"/>
    </row>
    <row r="411" spans="32:37" x14ac:dyDescent="0.25">
      <c r="AF411" s="74"/>
      <c r="AG411" s="74"/>
      <c r="AH411" s="74"/>
      <c r="AI411" s="86"/>
      <c r="AJ411" s="87"/>
      <c r="AK411" s="74"/>
    </row>
    <row r="412" spans="32:37" x14ac:dyDescent="0.25">
      <c r="AF412" s="74"/>
      <c r="AG412" s="74"/>
      <c r="AH412" s="74"/>
      <c r="AI412" s="86"/>
      <c r="AJ412" s="87"/>
      <c r="AK412" s="74"/>
    </row>
    <row r="413" spans="32:37" x14ac:dyDescent="0.25">
      <c r="AF413" s="74"/>
      <c r="AG413" s="74"/>
      <c r="AH413" s="74"/>
      <c r="AI413" s="86"/>
      <c r="AJ413" s="87"/>
      <c r="AK413" s="74"/>
    </row>
    <row r="414" spans="32:37" x14ac:dyDescent="0.25">
      <c r="AF414" s="74"/>
      <c r="AG414" s="74"/>
      <c r="AH414" s="74"/>
      <c r="AI414" s="86"/>
      <c r="AJ414" s="87"/>
      <c r="AK414" s="74"/>
    </row>
    <row r="415" spans="32:37" x14ac:dyDescent="0.25">
      <c r="AF415" s="74"/>
      <c r="AG415" s="74"/>
      <c r="AH415" s="74"/>
      <c r="AI415" s="86"/>
      <c r="AJ415" s="87"/>
      <c r="AK415" s="74"/>
    </row>
    <row r="416" spans="32:37" x14ac:dyDescent="0.25">
      <c r="AF416" s="74"/>
      <c r="AG416" s="74"/>
      <c r="AH416" s="74"/>
      <c r="AI416" s="86"/>
      <c r="AJ416" s="87"/>
      <c r="AK416" s="74"/>
    </row>
    <row r="417" spans="32:37" x14ac:dyDescent="0.25">
      <c r="AF417" s="74"/>
      <c r="AG417" s="74"/>
      <c r="AH417" s="74"/>
      <c r="AI417" s="86"/>
      <c r="AJ417" s="87"/>
      <c r="AK417" s="74"/>
    </row>
    <row r="418" spans="32:37" x14ac:dyDescent="0.25">
      <c r="AF418" s="74"/>
      <c r="AG418" s="74"/>
      <c r="AH418" s="74"/>
      <c r="AI418" s="86"/>
      <c r="AJ418" s="87"/>
      <c r="AK418" s="74"/>
    </row>
    <row r="419" spans="32:37" x14ac:dyDescent="0.25">
      <c r="AF419" s="74"/>
      <c r="AG419" s="74"/>
      <c r="AH419" s="74"/>
      <c r="AI419" s="86"/>
      <c r="AJ419" s="87"/>
      <c r="AK419" s="74"/>
    </row>
    <row r="420" spans="32:37" x14ac:dyDescent="0.25">
      <c r="AF420" s="74"/>
      <c r="AG420" s="74"/>
      <c r="AH420" s="74"/>
      <c r="AI420" s="86"/>
      <c r="AJ420" s="87"/>
      <c r="AK420" s="74"/>
    </row>
    <row r="421" spans="32:37" x14ac:dyDescent="0.25">
      <c r="AF421" s="74"/>
      <c r="AG421" s="74"/>
      <c r="AH421" s="74"/>
      <c r="AI421" s="86"/>
      <c r="AJ421" s="87"/>
      <c r="AK421" s="74"/>
    </row>
    <row r="422" spans="32:37" x14ac:dyDescent="0.25">
      <c r="AF422" s="74"/>
      <c r="AG422" s="74"/>
      <c r="AH422" s="74"/>
      <c r="AI422" s="86"/>
      <c r="AJ422" s="87"/>
      <c r="AK422" s="74"/>
    </row>
    <row r="423" spans="32:37" x14ac:dyDescent="0.25">
      <c r="AF423" s="74"/>
      <c r="AG423" s="74"/>
      <c r="AH423" s="74"/>
      <c r="AI423" s="86"/>
      <c r="AJ423" s="87"/>
      <c r="AK423" s="74"/>
    </row>
    <row r="424" spans="32:37" x14ac:dyDescent="0.25">
      <c r="AF424" s="74"/>
      <c r="AG424" s="74"/>
      <c r="AH424" s="74"/>
      <c r="AI424" s="86"/>
      <c r="AJ424" s="87"/>
      <c r="AK424" s="74"/>
    </row>
    <row r="425" spans="32:37" x14ac:dyDescent="0.25">
      <c r="AF425" s="74"/>
      <c r="AG425" s="74"/>
      <c r="AH425" s="74"/>
      <c r="AI425" s="86"/>
      <c r="AJ425" s="87"/>
      <c r="AK425" s="74"/>
    </row>
    <row r="426" spans="32:37" x14ac:dyDescent="0.25">
      <c r="AF426" s="74"/>
      <c r="AG426" s="74"/>
      <c r="AH426" s="74"/>
      <c r="AI426" s="86"/>
      <c r="AJ426" s="87"/>
      <c r="AK426" s="74"/>
    </row>
    <row r="427" spans="32:37" x14ac:dyDescent="0.25">
      <c r="AF427" s="74"/>
      <c r="AG427" s="74"/>
      <c r="AH427" s="74"/>
      <c r="AI427" s="86"/>
      <c r="AJ427" s="87"/>
      <c r="AK427" s="74"/>
    </row>
    <row r="428" spans="32:37" x14ac:dyDescent="0.25">
      <c r="AF428" s="74"/>
      <c r="AG428" s="74"/>
      <c r="AH428" s="74"/>
      <c r="AI428" s="86"/>
      <c r="AJ428" s="87"/>
      <c r="AK428" s="74"/>
    </row>
    <row r="429" spans="32:37" x14ac:dyDescent="0.25">
      <c r="AF429" s="74"/>
      <c r="AG429" s="74"/>
      <c r="AH429" s="74"/>
      <c r="AI429" s="86"/>
      <c r="AJ429" s="87"/>
      <c r="AK429" s="74"/>
    </row>
    <row r="430" spans="32:37" x14ac:dyDescent="0.25">
      <c r="AF430" s="74"/>
      <c r="AG430" s="74"/>
      <c r="AH430" s="74"/>
      <c r="AI430" s="86"/>
      <c r="AJ430" s="87"/>
      <c r="AK430" s="74"/>
    </row>
    <row r="431" spans="32:37" x14ac:dyDescent="0.25">
      <c r="AF431" s="74"/>
      <c r="AG431" s="74"/>
      <c r="AH431" s="74"/>
      <c r="AI431" s="86"/>
      <c r="AJ431" s="87"/>
      <c r="AK431" s="74"/>
    </row>
    <row r="432" spans="32:37" x14ac:dyDescent="0.25">
      <c r="AF432" s="74"/>
      <c r="AG432" s="74"/>
      <c r="AH432" s="74"/>
      <c r="AI432" s="86"/>
      <c r="AJ432" s="87"/>
      <c r="AK432" s="74"/>
    </row>
    <row r="433" spans="32:37" x14ac:dyDescent="0.25">
      <c r="AF433" s="74"/>
      <c r="AG433" s="74"/>
      <c r="AH433" s="74"/>
      <c r="AI433" s="86"/>
      <c r="AJ433" s="87"/>
      <c r="AK433" s="74"/>
    </row>
    <row r="434" spans="32:37" x14ac:dyDescent="0.25">
      <c r="AF434" s="74"/>
      <c r="AG434" s="74"/>
      <c r="AH434" s="74"/>
      <c r="AI434" s="86"/>
      <c r="AJ434" s="87"/>
      <c r="AK434" s="74"/>
    </row>
    <row r="435" spans="32:37" x14ac:dyDescent="0.25">
      <c r="AF435" s="74"/>
      <c r="AG435" s="74"/>
      <c r="AH435" s="74"/>
      <c r="AI435" s="86"/>
      <c r="AJ435" s="87"/>
      <c r="AK435" s="74"/>
    </row>
    <row r="436" spans="32:37" x14ac:dyDescent="0.25">
      <c r="AF436" s="74"/>
      <c r="AG436" s="74"/>
      <c r="AH436" s="74"/>
      <c r="AI436" s="86"/>
      <c r="AJ436" s="87"/>
      <c r="AK436" s="74"/>
    </row>
    <row r="437" spans="32:37" x14ac:dyDescent="0.25">
      <c r="AF437" s="74"/>
      <c r="AG437" s="74"/>
      <c r="AH437" s="74"/>
      <c r="AI437" s="86"/>
      <c r="AJ437" s="87"/>
      <c r="AK437" s="74"/>
    </row>
    <row r="438" spans="32:37" x14ac:dyDescent="0.25">
      <c r="AF438" s="74"/>
      <c r="AG438" s="74"/>
      <c r="AH438" s="74"/>
      <c r="AI438" s="86"/>
      <c r="AJ438" s="87"/>
      <c r="AK438" s="74"/>
    </row>
    <row r="439" spans="32:37" x14ac:dyDescent="0.25">
      <c r="AF439" s="74"/>
      <c r="AG439" s="74"/>
      <c r="AH439" s="74"/>
      <c r="AI439" s="86"/>
      <c r="AJ439" s="87"/>
      <c r="AK439" s="74"/>
    </row>
    <row r="440" spans="32:37" x14ac:dyDescent="0.25">
      <c r="AF440" s="74"/>
      <c r="AG440" s="74"/>
      <c r="AH440" s="74"/>
      <c r="AI440" s="86"/>
      <c r="AJ440" s="87"/>
      <c r="AK440" s="74"/>
    </row>
    <row r="441" spans="32:37" x14ac:dyDescent="0.25">
      <c r="AF441" s="74"/>
      <c r="AG441" s="74"/>
      <c r="AH441" s="74"/>
      <c r="AI441" s="86"/>
      <c r="AJ441" s="87"/>
      <c r="AK441" s="74"/>
    </row>
    <row r="442" spans="32:37" x14ac:dyDescent="0.25">
      <c r="AF442" s="74"/>
      <c r="AG442" s="74"/>
      <c r="AH442" s="74"/>
      <c r="AI442" s="86"/>
      <c r="AJ442" s="87"/>
      <c r="AK442" s="74"/>
    </row>
    <row r="443" spans="32:37" x14ac:dyDescent="0.25">
      <c r="AF443" s="74"/>
      <c r="AG443" s="74"/>
      <c r="AH443" s="74"/>
      <c r="AI443" s="86"/>
      <c r="AJ443" s="87"/>
      <c r="AK443" s="74"/>
    </row>
    <row r="444" spans="32:37" x14ac:dyDescent="0.25">
      <c r="AF444" s="74"/>
      <c r="AG444" s="74"/>
      <c r="AH444" s="74"/>
      <c r="AI444" s="86"/>
      <c r="AJ444" s="87"/>
      <c r="AK444" s="74"/>
    </row>
    <row r="445" spans="32:37" x14ac:dyDescent="0.25">
      <c r="AF445" s="74"/>
      <c r="AG445" s="74"/>
      <c r="AH445" s="74"/>
      <c r="AI445" s="86"/>
      <c r="AJ445" s="87"/>
      <c r="AK445" s="74"/>
    </row>
    <row r="446" spans="32:37" x14ac:dyDescent="0.25">
      <c r="AF446" s="74"/>
      <c r="AG446" s="74"/>
      <c r="AH446" s="74"/>
      <c r="AI446" s="86"/>
      <c r="AJ446" s="87"/>
      <c r="AK446" s="74"/>
    </row>
    <row r="447" spans="32:37" x14ac:dyDescent="0.25">
      <c r="AF447" s="74"/>
      <c r="AG447" s="74"/>
      <c r="AH447" s="74"/>
      <c r="AI447" s="86"/>
      <c r="AJ447" s="87"/>
      <c r="AK447" s="74"/>
    </row>
    <row r="448" spans="32:37" x14ac:dyDescent="0.25">
      <c r="AF448" s="74"/>
      <c r="AG448" s="74"/>
      <c r="AH448" s="74"/>
      <c r="AI448" s="86"/>
      <c r="AJ448" s="87"/>
      <c r="AK448" s="74"/>
    </row>
    <row r="449" spans="32:37" x14ac:dyDescent="0.25">
      <c r="AF449" s="74"/>
      <c r="AG449" s="74"/>
      <c r="AH449" s="74"/>
      <c r="AI449" s="86"/>
      <c r="AJ449" s="87"/>
      <c r="AK449" s="74"/>
    </row>
    <row r="450" spans="32:37" x14ac:dyDescent="0.25">
      <c r="AF450" s="74"/>
      <c r="AG450" s="74"/>
      <c r="AH450" s="74"/>
      <c r="AI450" s="86"/>
      <c r="AJ450" s="87"/>
      <c r="AK450" s="74"/>
    </row>
    <row r="451" spans="32:37" x14ac:dyDescent="0.25">
      <c r="AF451" s="74"/>
      <c r="AG451" s="74"/>
      <c r="AH451" s="74"/>
      <c r="AI451" s="86"/>
      <c r="AJ451" s="87"/>
      <c r="AK451" s="74"/>
    </row>
    <row r="452" spans="32:37" x14ac:dyDescent="0.25">
      <c r="AF452" s="74"/>
      <c r="AG452" s="74"/>
      <c r="AH452" s="74"/>
      <c r="AI452" s="86"/>
      <c r="AJ452" s="87"/>
      <c r="AK452" s="74"/>
    </row>
    <row r="453" spans="32:37" x14ac:dyDescent="0.25">
      <c r="AF453" s="74"/>
      <c r="AG453" s="74"/>
      <c r="AH453" s="74"/>
      <c r="AI453" s="86"/>
      <c r="AJ453" s="87"/>
      <c r="AK453" s="74"/>
    </row>
    <row r="1048574" spans="5:5" x14ac:dyDescent="0.25">
      <c r="E1048574" s="523"/>
    </row>
  </sheetData>
  <sheetProtection algorithmName="SHA-512" hashValue="qhNHl9y/D4aqlPatmluX0KtY6kwQBkGuX6ENdcvdTScJRyFw+JwpjRrnJfqkOATw/I5NZEeWj4lqy6kiMOUXnw==" saltValue="UcQuvzqASmXkb0ud7ooNfw==" spinCount="100000" sheet="1" formatColumns="0" formatRows="0"/>
  <mergeCells count="4103">
    <mergeCell ref="A1:F1"/>
    <mergeCell ref="A2:B2"/>
    <mergeCell ref="B150:H150"/>
    <mergeCell ref="B152:H152"/>
    <mergeCell ref="B153:H153"/>
    <mergeCell ref="B144:H144"/>
    <mergeCell ref="B145:H145"/>
    <mergeCell ref="B147:H147"/>
    <mergeCell ref="B148:H148"/>
    <mergeCell ref="B149:H149"/>
    <mergeCell ref="B151:H151"/>
    <mergeCell ref="J146:L146"/>
    <mergeCell ref="AW146:AY146"/>
    <mergeCell ref="BA146:BC146"/>
    <mergeCell ref="BE146:BG146"/>
    <mergeCell ref="BI146:BK146"/>
    <mergeCell ref="Z1:AE1"/>
    <mergeCell ref="BM146:BO146"/>
    <mergeCell ref="AI146:AK146"/>
    <mergeCell ref="AM146:AN146"/>
    <mergeCell ref="AP146:AR146"/>
    <mergeCell ref="AT146:AU146"/>
    <mergeCell ref="N146:P146"/>
    <mergeCell ref="R146:S146"/>
    <mergeCell ref="DY146:EA146"/>
    <mergeCell ref="EC146:EE146"/>
    <mergeCell ref="EG146:EI146"/>
    <mergeCell ref="B146:H146"/>
    <mergeCell ref="EK146:EM146"/>
    <mergeCell ref="EO146:EQ146"/>
    <mergeCell ref="DE146:DG146"/>
    <mergeCell ref="DI146:DK146"/>
    <mergeCell ref="DM146:DO146"/>
    <mergeCell ref="DQ146:DS146"/>
    <mergeCell ref="DU146:DW146"/>
    <mergeCell ref="CK146:CM146"/>
    <mergeCell ref="CO146:CQ146"/>
    <mergeCell ref="CS146:CU146"/>
    <mergeCell ref="CW146:CY146"/>
    <mergeCell ref="DA146:DC146"/>
    <mergeCell ref="BQ146:BS146"/>
    <mergeCell ref="BU146:BW146"/>
    <mergeCell ref="BY146:CA146"/>
    <mergeCell ref="CC146:CE146"/>
    <mergeCell ref="CG146:CI146"/>
    <mergeCell ref="HA146:HC146"/>
    <mergeCell ref="HE146:HG146"/>
    <mergeCell ref="HI146:HK146"/>
    <mergeCell ref="HM146:HO146"/>
    <mergeCell ref="HQ146:HS146"/>
    <mergeCell ref="GG146:GI146"/>
    <mergeCell ref="GK146:GM146"/>
    <mergeCell ref="GO146:GQ146"/>
    <mergeCell ref="GS146:GU146"/>
    <mergeCell ref="GW146:GY146"/>
    <mergeCell ref="FM146:FO146"/>
    <mergeCell ref="FQ146:FS146"/>
    <mergeCell ref="FU146:FW146"/>
    <mergeCell ref="FY146:GA146"/>
    <mergeCell ref="GC146:GE146"/>
    <mergeCell ref="ES146:EU146"/>
    <mergeCell ref="EW146:EY146"/>
    <mergeCell ref="FA146:FC146"/>
    <mergeCell ref="FE146:FG146"/>
    <mergeCell ref="FI146:FK146"/>
    <mergeCell ref="KC146:KE146"/>
    <mergeCell ref="KG146:KI146"/>
    <mergeCell ref="KK146:KM146"/>
    <mergeCell ref="KO146:KQ146"/>
    <mergeCell ref="KS146:KU146"/>
    <mergeCell ref="JI146:JK146"/>
    <mergeCell ref="JM146:JO146"/>
    <mergeCell ref="JQ146:JS146"/>
    <mergeCell ref="JU146:JW146"/>
    <mergeCell ref="JY146:KA146"/>
    <mergeCell ref="IO146:IQ146"/>
    <mergeCell ref="IS146:IU146"/>
    <mergeCell ref="IW146:IY146"/>
    <mergeCell ref="JA146:JC146"/>
    <mergeCell ref="JE146:JG146"/>
    <mergeCell ref="HU146:HW146"/>
    <mergeCell ref="HY146:IA146"/>
    <mergeCell ref="IC146:IE146"/>
    <mergeCell ref="IG146:II146"/>
    <mergeCell ref="IK146:IM146"/>
    <mergeCell ref="NE146:NG146"/>
    <mergeCell ref="NI146:NK146"/>
    <mergeCell ref="NM146:NO146"/>
    <mergeCell ref="NQ146:NS146"/>
    <mergeCell ref="NU146:NW146"/>
    <mergeCell ref="MK146:MM146"/>
    <mergeCell ref="MO146:MQ146"/>
    <mergeCell ref="MS146:MU146"/>
    <mergeCell ref="MW146:MY146"/>
    <mergeCell ref="NA146:NC146"/>
    <mergeCell ref="LQ146:LS146"/>
    <mergeCell ref="LU146:LW146"/>
    <mergeCell ref="LY146:MA146"/>
    <mergeCell ref="MC146:ME146"/>
    <mergeCell ref="MG146:MI146"/>
    <mergeCell ref="KW146:KY146"/>
    <mergeCell ref="LA146:LC146"/>
    <mergeCell ref="LE146:LG146"/>
    <mergeCell ref="LI146:LK146"/>
    <mergeCell ref="LM146:LO146"/>
    <mergeCell ref="QG146:QI146"/>
    <mergeCell ref="QK146:QM146"/>
    <mergeCell ref="QO146:QQ146"/>
    <mergeCell ref="QS146:QU146"/>
    <mergeCell ref="QW146:QY146"/>
    <mergeCell ref="PM146:PO146"/>
    <mergeCell ref="PQ146:PS146"/>
    <mergeCell ref="PU146:PW146"/>
    <mergeCell ref="PY146:QA146"/>
    <mergeCell ref="QC146:QE146"/>
    <mergeCell ref="OS146:OU146"/>
    <mergeCell ref="OW146:OY146"/>
    <mergeCell ref="PA146:PC146"/>
    <mergeCell ref="PE146:PG146"/>
    <mergeCell ref="PI146:PK146"/>
    <mergeCell ref="NY146:OA146"/>
    <mergeCell ref="OC146:OE146"/>
    <mergeCell ref="OG146:OI146"/>
    <mergeCell ref="OK146:OM146"/>
    <mergeCell ref="OO146:OQ146"/>
    <mergeCell ref="TI146:TK146"/>
    <mergeCell ref="TM146:TO146"/>
    <mergeCell ref="TQ146:TS146"/>
    <mergeCell ref="TU146:TW146"/>
    <mergeCell ref="TY146:UA146"/>
    <mergeCell ref="SO146:SQ146"/>
    <mergeCell ref="SS146:SU146"/>
    <mergeCell ref="SW146:SY146"/>
    <mergeCell ref="TA146:TC146"/>
    <mergeCell ref="TE146:TG146"/>
    <mergeCell ref="RU146:RW146"/>
    <mergeCell ref="RY146:SA146"/>
    <mergeCell ref="SC146:SE146"/>
    <mergeCell ref="SG146:SI146"/>
    <mergeCell ref="SK146:SM146"/>
    <mergeCell ref="RA146:RC146"/>
    <mergeCell ref="RE146:RG146"/>
    <mergeCell ref="RI146:RK146"/>
    <mergeCell ref="RM146:RO146"/>
    <mergeCell ref="RQ146:RS146"/>
    <mergeCell ref="WK146:WM146"/>
    <mergeCell ref="WO146:WQ146"/>
    <mergeCell ref="WS146:WU146"/>
    <mergeCell ref="WW146:WY146"/>
    <mergeCell ref="XA146:XC146"/>
    <mergeCell ref="VQ146:VS146"/>
    <mergeCell ref="VU146:VW146"/>
    <mergeCell ref="VY146:WA146"/>
    <mergeCell ref="WC146:WE146"/>
    <mergeCell ref="WG146:WI146"/>
    <mergeCell ref="UW146:UY146"/>
    <mergeCell ref="VA146:VC146"/>
    <mergeCell ref="VE146:VG146"/>
    <mergeCell ref="VI146:VK146"/>
    <mergeCell ref="VM146:VO146"/>
    <mergeCell ref="UC146:UE146"/>
    <mergeCell ref="UG146:UI146"/>
    <mergeCell ref="UK146:UM146"/>
    <mergeCell ref="UO146:UQ146"/>
    <mergeCell ref="US146:UU146"/>
    <mergeCell ref="ZM146:ZO146"/>
    <mergeCell ref="ZQ146:ZS146"/>
    <mergeCell ref="ZU146:ZW146"/>
    <mergeCell ref="ZY146:AAA146"/>
    <mergeCell ref="AAC146:AAE146"/>
    <mergeCell ref="YS146:YU146"/>
    <mergeCell ref="YW146:YY146"/>
    <mergeCell ref="ZA146:ZC146"/>
    <mergeCell ref="ZE146:ZG146"/>
    <mergeCell ref="ZI146:ZK146"/>
    <mergeCell ref="XY146:YA146"/>
    <mergeCell ref="YC146:YE146"/>
    <mergeCell ref="YG146:YI146"/>
    <mergeCell ref="YK146:YM146"/>
    <mergeCell ref="YO146:YQ146"/>
    <mergeCell ref="XE146:XG146"/>
    <mergeCell ref="XI146:XK146"/>
    <mergeCell ref="XM146:XO146"/>
    <mergeCell ref="XQ146:XS146"/>
    <mergeCell ref="XU146:XW146"/>
    <mergeCell ref="ACO146:ACQ146"/>
    <mergeCell ref="ACS146:ACU146"/>
    <mergeCell ref="ACW146:ACY146"/>
    <mergeCell ref="ADA146:ADC146"/>
    <mergeCell ref="ADE146:ADG146"/>
    <mergeCell ref="ABU146:ABW146"/>
    <mergeCell ref="ABY146:ACA146"/>
    <mergeCell ref="ACC146:ACE146"/>
    <mergeCell ref="ACG146:ACI146"/>
    <mergeCell ref="ACK146:ACM146"/>
    <mergeCell ref="ABA146:ABC146"/>
    <mergeCell ref="ABE146:ABG146"/>
    <mergeCell ref="ABI146:ABK146"/>
    <mergeCell ref="ABM146:ABO146"/>
    <mergeCell ref="ABQ146:ABS146"/>
    <mergeCell ref="AAG146:AAI146"/>
    <mergeCell ref="AAK146:AAM146"/>
    <mergeCell ref="AAO146:AAQ146"/>
    <mergeCell ref="AAS146:AAU146"/>
    <mergeCell ref="AAW146:AAY146"/>
    <mergeCell ref="AFQ146:AFS146"/>
    <mergeCell ref="AFU146:AFW146"/>
    <mergeCell ref="AFY146:AGA146"/>
    <mergeCell ref="AGC146:AGE146"/>
    <mergeCell ref="AGG146:AGI146"/>
    <mergeCell ref="AEW146:AEY146"/>
    <mergeCell ref="AFA146:AFC146"/>
    <mergeCell ref="AFE146:AFG146"/>
    <mergeCell ref="AFI146:AFK146"/>
    <mergeCell ref="AFM146:AFO146"/>
    <mergeCell ref="AEC146:AEE146"/>
    <mergeCell ref="AEG146:AEI146"/>
    <mergeCell ref="AEK146:AEM146"/>
    <mergeCell ref="AEO146:AEQ146"/>
    <mergeCell ref="AES146:AEU146"/>
    <mergeCell ref="ADI146:ADK146"/>
    <mergeCell ref="ADM146:ADO146"/>
    <mergeCell ref="ADQ146:ADS146"/>
    <mergeCell ref="ADU146:ADW146"/>
    <mergeCell ref="ADY146:AEA146"/>
    <mergeCell ref="AIS146:AIU146"/>
    <mergeCell ref="AIW146:AIY146"/>
    <mergeCell ref="AJA146:AJC146"/>
    <mergeCell ref="AJE146:AJG146"/>
    <mergeCell ref="AJI146:AJK146"/>
    <mergeCell ref="AHY146:AIA146"/>
    <mergeCell ref="AIC146:AIE146"/>
    <mergeCell ref="AIG146:AII146"/>
    <mergeCell ref="AIK146:AIM146"/>
    <mergeCell ref="AIO146:AIQ146"/>
    <mergeCell ref="AHE146:AHG146"/>
    <mergeCell ref="AHI146:AHK146"/>
    <mergeCell ref="AHM146:AHO146"/>
    <mergeCell ref="AHQ146:AHS146"/>
    <mergeCell ref="AHU146:AHW146"/>
    <mergeCell ref="AGK146:AGM146"/>
    <mergeCell ref="AGO146:AGQ146"/>
    <mergeCell ref="AGS146:AGU146"/>
    <mergeCell ref="AGW146:AGY146"/>
    <mergeCell ref="AHA146:AHC146"/>
    <mergeCell ref="ALU146:ALW146"/>
    <mergeCell ref="ALY146:AMA146"/>
    <mergeCell ref="AMC146:AME146"/>
    <mergeCell ref="AMG146:AMI146"/>
    <mergeCell ref="AMK146:AMM146"/>
    <mergeCell ref="ALA146:ALC146"/>
    <mergeCell ref="ALE146:ALG146"/>
    <mergeCell ref="ALI146:ALK146"/>
    <mergeCell ref="ALM146:ALO146"/>
    <mergeCell ref="ALQ146:ALS146"/>
    <mergeCell ref="AKG146:AKI146"/>
    <mergeCell ref="AKK146:AKM146"/>
    <mergeCell ref="AKO146:AKQ146"/>
    <mergeCell ref="AKS146:AKU146"/>
    <mergeCell ref="AKW146:AKY146"/>
    <mergeCell ref="AJM146:AJO146"/>
    <mergeCell ref="AJQ146:AJS146"/>
    <mergeCell ref="AJU146:AJW146"/>
    <mergeCell ref="AJY146:AKA146"/>
    <mergeCell ref="AKC146:AKE146"/>
    <mergeCell ref="AOW146:AOY146"/>
    <mergeCell ref="APA146:APC146"/>
    <mergeCell ref="APE146:APG146"/>
    <mergeCell ref="API146:APK146"/>
    <mergeCell ref="APM146:APO146"/>
    <mergeCell ref="AOC146:AOE146"/>
    <mergeCell ref="AOG146:AOI146"/>
    <mergeCell ref="AOK146:AOM146"/>
    <mergeCell ref="AOO146:AOQ146"/>
    <mergeCell ref="AOS146:AOU146"/>
    <mergeCell ref="ANI146:ANK146"/>
    <mergeCell ref="ANM146:ANO146"/>
    <mergeCell ref="ANQ146:ANS146"/>
    <mergeCell ref="ANU146:ANW146"/>
    <mergeCell ref="ANY146:AOA146"/>
    <mergeCell ref="AMO146:AMQ146"/>
    <mergeCell ref="AMS146:AMU146"/>
    <mergeCell ref="AMW146:AMY146"/>
    <mergeCell ref="ANA146:ANC146"/>
    <mergeCell ref="ANE146:ANG146"/>
    <mergeCell ref="ARY146:ASA146"/>
    <mergeCell ref="ASC146:ASE146"/>
    <mergeCell ref="ASG146:ASI146"/>
    <mergeCell ref="ASK146:ASM146"/>
    <mergeCell ref="ASO146:ASQ146"/>
    <mergeCell ref="ARE146:ARG146"/>
    <mergeCell ref="ARI146:ARK146"/>
    <mergeCell ref="ARM146:ARO146"/>
    <mergeCell ref="ARQ146:ARS146"/>
    <mergeCell ref="ARU146:ARW146"/>
    <mergeCell ref="AQK146:AQM146"/>
    <mergeCell ref="AQO146:AQQ146"/>
    <mergeCell ref="AQS146:AQU146"/>
    <mergeCell ref="AQW146:AQY146"/>
    <mergeCell ref="ARA146:ARC146"/>
    <mergeCell ref="APQ146:APS146"/>
    <mergeCell ref="APU146:APW146"/>
    <mergeCell ref="APY146:AQA146"/>
    <mergeCell ref="AQC146:AQE146"/>
    <mergeCell ref="AQG146:AQI146"/>
    <mergeCell ref="AVA146:AVC146"/>
    <mergeCell ref="AVE146:AVG146"/>
    <mergeCell ref="AVI146:AVK146"/>
    <mergeCell ref="AVM146:AVO146"/>
    <mergeCell ref="AVQ146:AVS146"/>
    <mergeCell ref="AUG146:AUI146"/>
    <mergeCell ref="AUK146:AUM146"/>
    <mergeCell ref="AUO146:AUQ146"/>
    <mergeCell ref="AUS146:AUU146"/>
    <mergeCell ref="AUW146:AUY146"/>
    <mergeCell ref="ATM146:ATO146"/>
    <mergeCell ref="ATQ146:ATS146"/>
    <mergeCell ref="ATU146:ATW146"/>
    <mergeCell ref="ATY146:AUA146"/>
    <mergeCell ref="AUC146:AUE146"/>
    <mergeCell ref="ASS146:ASU146"/>
    <mergeCell ref="ASW146:ASY146"/>
    <mergeCell ref="ATA146:ATC146"/>
    <mergeCell ref="ATE146:ATG146"/>
    <mergeCell ref="ATI146:ATK146"/>
    <mergeCell ref="AYC146:AYE146"/>
    <mergeCell ref="AYG146:AYI146"/>
    <mergeCell ref="AYK146:AYM146"/>
    <mergeCell ref="AYO146:AYQ146"/>
    <mergeCell ref="AYS146:AYU146"/>
    <mergeCell ref="AXI146:AXK146"/>
    <mergeCell ref="AXM146:AXO146"/>
    <mergeCell ref="AXQ146:AXS146"/>
    <mergeCell ref="AXU146:AXW146"/>
    <mergeCell ref="AXY146:AYA146"/>
    <mergeCell ref="AWO146:AWQ146"/>
    <mergeCell ref="AWS146:AWU146"/>
    <mergeCell ref="AWW146:AWY146"/>
    <mergeCell ref="AXA146:AXC146"/>
    <mergeCell ref="AXE146:AXG146"/>
    <mergeCell ref="AVU146:AVW146"/>
    <mergeCell ref="AVY146:AWA146"/>
    <mergeCell ref="AWC146:AWE146"/>
    <mergeCell ref="AWG146:AWI146"/>
    <mergeCell ref="AWK146:AWM146"/>
    <mergeCell ref="BBE146:BBG146"/>
    <mergeCell ref="BBI146:BBK146"/>
    <mergeCell ref="BBM146:BBO146"/>
    <mergeCell ref="BBQ146:BBS146"/>
    <mergeCell ref="BBU146:BBW146"/>
    <mergeCell ref="BAK146:BAM146"/>
    <mergeCell ref="BAO146:BAQ146"/>
    <mergeCell ref="BAS146:BAU146"/>
    <mergeCell ref="BAW146:BAY146"/>
    <mergeCell ref="BBA146:BBC146"/>
    <mergeCell ref="AZQ146:AZS146"/>
    <mergeCell ref="AZU146:AZW146"/>
    <mergeCell ref="AZY146:BAA146"/>
    <mergeCell ref="BAC146:BAE146"/>
    <mergeCell ref="BAG146:BAI146"/>
    <mergeCell ref="AYW146:AYY146"/>
    <mergeCell ref="AZA146:AZC146"/>
    <mergeCell ref="AZE146:AZG146"/>
    <mergeCell ref="AZI146:AZK146"/>
    <mergeCell ref="AZM146:AZO146"/>
    <mergeCell ref="BEG146:BEI146"/>
    <mergeCell ref="BEK146:BEM146"/>
    <mergeCell ref="BEO146:BEQ146"/>
    <mergeCell ref="BES146:BEU146"/>
    <mergeCell ref="BEW146:BEY146"/>
    <mergeCell ref="BDM146:BDO146"/>
    <mergeCell ref="BDQ146:BDS146"/>
    <mergeCell ref="BDU146:BDW146"/>
    <mergeCell ref="BDY146:BEA146"/>
    <mergeCell ref="BEC146:BEE146"/>
    <mergeCell ref="BCS146:BCU146"/>
    <mergeCell ref="BCW146:BCY146"/>
    <mergeCell ref="BDA146:BDC146"/>
    <mergeCell ref="BDE146:BDG146"/>
    <mergeCell ref="BDI146:BDK146"/>
    <mergeCell ref="BBY146:BCA146"/>
    <mergeCell ref="BCC146:BCE146"/>
    <mergeCell ref="BCG146:BCI146"/>
    <mergeCell ref="BCK146:BCM146"/>
    <mergeCell ref="BCO146:BCQ146"/>
    <mergeCell ref="BHI146:BHK146"/>
    <mergeCell ref="BHM146:BHO146"/>
    <mergeCell ref="BHQ146:BHS146"/>
    <mergeCell ref="BHU146:BHW146"/>
    <mergeCell ref="BHY146:BIA146"/>
    <mergeCell ref="BGO146:BGQ146"/>
    <mergeCell ref="BGS146:BGU146"/>
    <mergeCell ref="BGW146:BGY146"/>
    <mergeCell ref="BHA146:BHC146"/>
    <mergeCell ref="BHE146:BHG146"/>
    <mergeCell ref="BFU146:BFW146"/>
    <mergeCell ref="BFY146:BGA146"/>
    <mergeCell ref="BGC146:BGE146"/>
    <mergeCell ref="BGG146:BGI146"/>
    <mergeCell ref="BGK146:BGM146"/>
    <mergeCell ref="BFA146:BFC146"/>
    <mergeCell ref="BFE146:BFG146"/>
    <mergeCell ref="BFI146:BFK146"/>
    <mergeCell ref="BFM146:BFO146"/>
    <mergeCell ref="BFQ146:BFS146"/>
    <mergeCell ref="BKK146:BKM146"/>
    <mergeCell ref="BKO146:BKQ146"/>
    <mergeCell ref="BKS146:BKU146"/>
    <mergeCell ref="BKW146:BKY146"/>
    <mergeCell ref="BLA146:BLC146"/>
    <mergeCell ref="BJQ146:BJS146"/>
    <mergeCell ref="BJU146:BJW146"/>
    <mergeCell ref="BJY146:BKA146"/>
    <mergeCell ref="BKC146:BKE146"/>
    <mergeCell ref="BKG146:BKI146"/>
    <mergeCell ref="BIW146:BIY146"/>
    <mergeCell ref="BJA146:BJC146"/>
    <mergeCell ref="BJE146:BJG146"/>
    <mergeCell ref="BJI146:BJK146"/>
    <mergeCell ref="BJM146:BJO146"/>
    <mergeCell ref="BIC146:BIE146"/>
    <mergeCell ref="BIG146:BII146"/>
    <mergeCell ref="BIK146:BIM146"/>
    <mergeCell ref="BIO146:BIQ146"/>
    <mergeCell ref="BIS146:BIU146"/>
    <mergeCell ref="BNM146:BNO146"/>
    <mergeCell ref="BNQ146:BNS146"/>
    <mergeCell ref="BNU146:BNW146"/>
    <mergeCell ref="BNY146:BOA146"/>
    <mergeCell ref="BOC146:BOE146"/>
    <mergeCell ref="BMS146:BMU146"/>
    <mergeCell ref="BMW146:BMY146"/>
    <mergeCell ref="BNA146:BNC146"/>
    <mergeCell ref="BNE146:BNG146"/>
    <mergeCell ref="BNI146:BNK146"/>
    <mergeCell ref="BLY146:BMA146"/>
    <mergeCell ref="BMC146:BME146"/>
    <mergeCell ref="BMG146:BMI146"/>
    <mergeCell ref="BMK146:BMM146"/>
    <mergeCell ref="BMO146:BMQ146"/>
    <mergeCell ref="BLE146:BLG146"/>
    <mergeCell ref="BLI146:BLK146"/>
    <mergeCell ref="BLM146:BLO146"/>
    <mergeCell ref="BLQ146:BLS146"/>
    <mergeCell ref="BLU146:BLW146"/>
    <mergeCell ref="BQO146:BQQ146"/>
    <mergeCell ref="BQS146:BQU146"/>
    <mergeCell ref="BQW146:BQY146"/>
    <mergeCell ref="BRA146:BRC146"/>
    <mergeCell ref="BRE146:BRG146"/>
    <mergeCell ref="BPU146:BPW146"/>
    <mergeCell ref="BPY146:BQA146"/>
    <mergeCell ref="BQC146:BQE146"/>
    <mergeCell ref="BQG146:BQI146"/>
    <mergeCell ref="BQK146:BQM146"/>
    <mergeCell ref="BPA146:BPC146"/>
    <mergeCell ref="BPE146:BPG146"/>
    <mergeCell ref="BPI146:BPK146"/>
    <mergeCell ref="BPM146:BPO146"/>
    <mergeCell ref="BPQ146:BPS146"/>
    <mergeCell ref="BOG146:BOI146"/>
    <mergeCell ref="BOK146:BOM146"/>
    <mergeCell ref="BOO146:BOQ146"/>
    <mergeCell ref="BOS146:BOU146"/>
    <mergeCell ref="BOW146:BOY146"/>
    <mergeCell ref="BTQ146:BTS146"/>
    <mergeCell ref="BTU146:BTW146"/>
    <mergeCell ref="BTY146:BUA146"/>
    <mergeCell ref="BUC146:BUE146"/>
    <mergeCell ref="BUG146:BUI146"/>
    <mergeCell ref="BSW146:BSY146"/>
    <mergeCell ref="BTA146:BTC146"/>
    <mergeCell ref="BTE146:BTG146"/>
    <mergeCell ref="BTI146:BTK146"/>
    <mergeCell ref="BTM146:BTO146"/>
    <mergeCell ref="BSC146:BSE146"/>
    <mergeCell ref="BSG146:BSI146"/>
    <mergeCell ref="BSK146:BSM146"/>
    <mergeCell ref="BSO146:BSQ146"/>
    <mergeCell ref="BSS146:BSU146"/>
    <mergeCell ref="BRI146:BRK146"/>
    <mergeCell ref="BRM146:BRO146"/>
    <mergeCell ref="BRQ146:BRS146"/>
    <mergeCell ref="BRU146:BRW146"/>
    <mergeCell ref="BRY146:BSA146"/>
    <mergeCell ref="BWS146:BWU146"/>
    <mergeCell ref="BWW146:BWY146"/>
    <mergeCell ref="BXA146:BXC146"/>
    <mergeCell ref="BXE146:BXG146"/>
    <mergeCell ref="BXI146:BXK146"/>
    <mergeCell ref="BVY146:BWA146"/>
    <mergeCell ref="BWC146:BWE146"/>
    <mergeCell ref="BWG146:BWI146"/>
    <mergeCell ref="BWK146:BWM146"/>
    <mergeCell ref="BWO146:BWQ146"/>
    <mergeCell ref="BVE146:BVG146"/>
    <mergeCell ref="BVI146:BVK146"/>
    <mergeCell ref="BVM146:BVO146"/>
    <mergeCell ref="BVQ146:BVS146"/>
    <mergeCell ref="BVU146:BVW146"/>
    <mergeCell ref="BUK146:BUM146"/>
    <mergeCell ref="BUO146:BUQ146"/>
    <mergeCell ref="BUS146:BUU146"/>
    <mergeCell ref="BUW146:BUY146"/>
    <mergeCell ref="BVA146:BVC146"/>
    <mergeCell ref="BZU146:BZW146"/>
    <mergeCell ref="BZY146:CAA146"/>
    <mergeCell ref="CAC146:CAE146"/>
    <mergeCell ref="CAG146:CAI146"/>
    <mergeCell ref="CAK146:CAM146"/>
    <mergeCell ref="BZA146:BZC146"/>
    <mergeCell ref="BZE146:BZG146"/>
    <mergeCell ref="BZI146:BZK146"/>
    <mergeCell ref="BZM146:BZO146"/>
    <mergeCell ref="BZQ146:BZS146"/>
    <mergeCell ref="BYG146:BYI146"/>
    <mergeCell ref="BYK146:BYM146"/>
    <mergeCell ref="BYO146:BYQ146"/>
    <mergeCell ref="BYS146:BYU146"/>
    <mergeCell ref="BYW146:BYY146"/>
    <mergeCell ref="BXM146:BXO146"/>
    <mergeCell ref="BXQ146:BXS146"/>
    <mergeCell ref="BXU146:BXW146"/>
    <mergeCell ref="BXY146:BYA146"/>
    <mergeCell ref="BYC146:BYE146"/>
    <mergeCell ref="CCW146:CCY146"/>
    <mergeCell ref="CDA146:CDC146"/>
    <mergeCell ref="CDE146:CDG146"/>
    <mergeCell ref="CDI146:CDK146"/>
    <mergeCell ref="CDM146:CDO146"/>
    <mergeCell ref="CCC146:CCE146"/>
    <mergeCell ref="CCG146:CCI146"/>
    <mergeCell ref="CCK146:CCM146"/>
    <mergeCell ref="CCO146:CCQ146"/>
    <mergeCell ref="CCS146:CCU146"/>
    <mergeCell ref="CBI146:CBK146"/>
    <mergeCell ref="CBM146:CBO146"/>
    <mergeCell ref="CBQ146:CBS146"/>
    <mergeCell ref="CBU146:CBW146"/>
    <mergeCell ref="CBY146:CCA146"/>
    <mergeCell ref="CAO146:CAQ146"/>
    <mergeCell ref="CAS146:CAU146"/>
    <mergeCell ref="CAW146:CAY146"/>
    <mergeCell ref="CBA146:CBC146"/>
    <mergeCell ref="CBE146:CBG146"/>
    <mergeCell ref="CFY146:CGA146"/>
    <mergeCell ref="CGC146:CGE146"/>
    <mergeCell ref="CGG146:CGI146"/>
    <mergeCell ref="CGK146:CGM146"/>
    <mergeCell ref="CGO146:CGQ146"/>
    <mergeCell ref="CFE146:CFG146"/>
    <mergeCell ref="CFI146:CFK146"/>
    <mergeCell ref="CFM146:CFO146"/>
    <mergeCell ref="CFQ146:CFS146"/>
    <mergeCell ref="CFU146:CFW146"/>
    <mergeCell ref="CEK146:CEM146"/>
    <mergeCell ref="CEO146:CEQ146"/>
    <mergeCell ref="CES146:CEU146"/>
    <mergeCell ref="CEW146:CEY146"/>
    <mergeCell ref="CFA146:CFC146"/>
    <mergeCell ref="CDQ146:CDS146"/>
    <mergeCell ref="CDU146:CDW146"/>
    <mergeCell ref="CDY146:CEA146"/>
    <mergeCell ref="CEC146:CEE146"/>
    <mergeCell ref="CEG146:CEI146"/>
    <mergeCell ref="CJA146:CJC146"/>
    <mergeCell ref="CJE146:CJG146"/>
    <mergeCell ref="CJI146:CJK146"/>
    <mergeCell ref="CJM146:CJO146"/>
    <mergeCell ref="CJQ146:CJS146"/>
    <mergeCell ref="CIG146:CII146"/>
    <mergeCell ref="CIK146:CIM146"/>
    <mergeCell ref="CIO146:CIQ146"/>
    <mergeCell ref="CIS146:CIU146"/>
    <mergeCell ref="CIW146:CIY146"/>
    <mergeCell ref="CHM146:CHO146"/>
    <mergeCell ref="CHQ146:CHS146"/>
    <mergeCell ref="CHU146:CHW146"/>
    <mergeCell ref="CHY146:CIA146"/>
    <mergeCell ref="CIC146:CIE146"/>
    <mergeCell ref="CGS146:CGU146"/>
    <mergeCell ref="CGW146:CGY146"/>
    <mergeCell ref="CHA146:CHC146"/>
    <mergeCell ref="CHE146:CHG146"/>
    <mergeCell ref="CHI146:CHK146"/>
    <mergeCell ref="CMC146:CME146"/>
    <mergeCell ref="CMG146:CMI146"/>
    <mergeCell ref="CMK146:CMM146"/>
    <mergeCell ref="CMO146:CMQ146"/>
    <mergeCell ref="CMS146:CMU146"/>
    <mergeCell ref="CLI146:CLK146"/>
    <mergeCell ref="CLM146:CLO146"/>
    <mergeCell ref="CLQ146:CLS146"/>
    <mergeCell ref="CLU146:CLW146"/>
    <mergeCell ref="CLY146:CMA146"/>
    <mergeCell ref="CKO146:CKQ146"/>
    <mergeCell ref="CKS146:CKU146"/>
    <mergeCell ref="CKW146:CKY146"/>
    <mergeCell ref="CLA146:CLC146"/>
    <mergeCell ref="CLE146:CLG146"/>
    <mergeCell ref="CJU146:CJW146"/>
    <mergeCell ref="CJY146:CKA146"/>
    <mergeCell ref="CKC146:CKE146"/>
    <mergeCell ref="CKG146:CKI146"/>
    <mergeCell ref="CKK146:CKM146"/>
    <mergeCell ref="CPE146:CPG146"/>
    <mergeCell ref="CPI146:CPK146"/>
    <mergeCell ref="CPM146:CPO146"/>
    <mergeCell ref="CPQ146:CPS146"/>
    <mergeCell ref="CPU146:CPW146"/>
    <mergeCell ref="COK146:COM146"/>
    <mergeCell ref="COO146:COQ146"/>
    <mergeCell ref="COS146:COU146"/>
    <mergeCell ref="COW146:COY146"/>
    <mergeCell ref="CPA146:CPC146"/>
    <mergeCell ref="CNQ146:CNS146"/>
    <mergeCell ref="CNU146:CNW146"/>
    <mergeCell ref="CNY146:COA146"/>
    <mergeCell ref="COC146:COE146"/>
    <mergeCell ref="COG146:COI146"/>
    <mergeCell ref="CMW146:CMY146"/>
    <mergeCell ref="CNA146:CNC146"/>
    <mergeCell ref="CNE146:CNG146"/>
    <mergeCell ref="CNI146:CNK146"/>
    <mergeCell ref="CNM146:CNO146"/>
    <mergeCell ref="CSG146:CSI146"/>
    <mergeCell ref="CSK146:CSM146"/>
    <mergeCell ref="CSO146:CSQ146"/>
    <mergeCell ref="CSS146:CSU146"/>
    <mergeCell ref="CSW146:CSY146"/>
    <mergeCell ref="CRM146:CRO146"/>
    <mergeCell ref="CRQ146:CRS146"/>
    <mergeCell ref="CRU146:CRW146"/>
    <mergeCell ref="CRY146:CSA146"/>
    <mergeCell ref="CSC146:CSE146"/>
    <mergeCell ref="CQS146:CQU146"/>
    <mergeCell ref="CQW146:CQY146"/>
    <mergeCell ref="CRA146:CRC146"/>
    <mergeCell ref="CRE146:CRG146"/>
    <mergeCell ref="CRI146:CRK146"/>
    <mergeCell ref="CPY146:CQA146"/>
    <mergeCell ref="CQC146:CQE146"/>
    <mergeCell ref="CQG146:CQI146"/>
    <mergeCell ref="CQK146:CQM146"/>
    <mergeCell ref="CQO146:CQQ146"/>
    <mergeCell ref="CVI146:CVK146"/>
    <mergeCell ref="CVM146:CVO146"/>
    <mergeCell ref="CVQ146:CVS146"/>
    <mergeCell ref="CVU146:CVW146"/>
    <mergeCell ref="CVY146:CWA146"/>
    <mergeCell ref="CUO146:CUQ146"/>
    <mergeCell ref="CUS146:CUU146"/>
    <mergeCell ref="CUW146:CUY146"/>
    <mergeCell ref="CVA146:CVC146"/>
    <mergeCell ref="CVE146:CVG146"/>
    <mergeCell ref="CTU146:CTW146"/>
    <mergeCell ref="CTY146:CUA146"/>
    <mergeCell ref="CUC146:CUE146"/>
    <mergeCell ref="CUG146:CUI146"/>
    <mergeCell ref="CUK146:CUM146"/>
    <mergeCell ref="CTA146:CTC146"/>
    <mergeCell ref="CTE146:CTG146"/>
    <mergeCell ref="CTI146:CTK146"/>
    <mergeCell ref="CTM146:CTO146"/>
    <mergeCell ref="CTQ146:CTS146"/>
    <mergeCell ref="CYK146:CYM146"/>
    <mergeCell ref="CYO146:CYQ146"/>
    <mergeCell ref="CYS146:CYU146"/>
    <mergeCell ref="CYW146:CYY146"/>
    <mergeCell ref="CZA146:CZC146"/>
    <mergeCell ref="CXQ146:CXS146"/>
    <mergeCell ref="CXU146:CXW146"/>
    <mergeCell ref="CXY146:CYA146"/>
    <mergeCell ref="CYC146:CYE146"/>
    <mergeCell ref="CYG146:CYI146"/>
    <mergeCell ref="CWW146:CWY146"/>
    <mergeCell ref="CXA146:CXC146"/>
    <mergeCell ref="CXE146:CXG146"/>
    <mergeCell ref="CXI146:CXK146"/>
    <mergeCell ref="CXM146:CXO146"/>
    <mergeCell ref="CWC146:CWE146"/>
    <mergeCell ref="CWG146:CWI146"/>
    <mergeCell ref="CWK146:CWM146"/>
    <mergeCell ref="CWO146:CWQ146"/>
    <mergeCell ref="CWS146:CWU146"/>
    <mergeCell ref="DBM146:DBO146"/>
    <mergeCell ref="DBQ146:DBS146"/>
    <mergeCell ref="DBU146:DBW146"/>
    <mergeCell ref="DBY146:DCA146"/>
    <mergeCell ref="DCC146:DCE146"/>
    <mergeCell ref="DAS146:DAU146"/>
    <mergeCell ref="DAW146:DAY146"/>
    <mergeCell ref="DBA146:DBC146"/>
    <mergeCell ref="DBE146:DBG146"/>
    <mergeCell ref="DBI146:DBK146"/>
    <mergeCell ref="CZY146:DAA146"/>
    <mergeCell ref="DAC146:DAE146"/>
    <mergeCell ref="DAG146:DAI146"/>
    <mergeCell ref="DAK146:DAM146"/>
    <mergeCell ref="DAO146:DAQ146"/>
    <mergeCell ref="CZE146:CZG146"/>
    <mergeCell ref="CZI146:CZK146"/>
    <mergeCell ref="CZM146:CZO146"/>
    <mergeCell ref="CZQ146:CZS146"/>
    <mergeCell ref="CZU146:CZW146"/>
    <mergeCell ref="DEO146:DEQ146"/>
    <mergeCell ref="DES146:DEU146"/>
    <mergeCell ref="DEW146:DEY146"/>
    <mergeCell ref="DFA146:DFC146"/>
    <mergeCell ref="DFE146:DFG146"/>
    <mergeCell ref="DDU146:DDW146"/>
    <mergeCell ref="DDY146:DEA146"/>
    <mergeCell ref="DEC146:DEE146"/>
    <mergeCell ref="DEG146:DEI146"/>
    <mergeCell ref="DEK146:DEM146"/>
    <mergeCell ref="DDA146:DDC146"/>
    <mergeCell ref="DDE146:DDG146"/>
    <mergeCell ref="DDI146:DDK146"/>
    <mergeCell ref="DDM146:DDO146"/>
    <mergeCell ref="DDQ146:DDS146"/>
    <mergeCell ref="DCG146:DCI146"/>
    <mergeCell ref="DCK146:DCM146"/>
    <mergeCell ref="DCO146:DCQ146"/>
    <mergeCell ref="DCS146:DCU146"/>
    <mergeCell ref="DCW146:DCY146"/>
    <mergeCell ref="DHQ146:DHS146"/>
    <mergeCell ref="DHU146:DHW146"/>
    <mergeCell ref="DHY146:DIA146"/>
    <mergeCell ref="DIC146:DIE146"/>
    <mergeCell ref="DIG146:DII146"/>
    <mergeCell ref="DGW146:DGY146"/>
    <mergeCell ref="DHA146:DHC146"/>
    <mergeCell ref="DHE146:DHG146"/>
    <mergeCell ref="DHI146:DHK146"/>
    <mergeCell ref="DHM146:DHO146"/>
    <mergeCell ref="DGC146:DGE146"/>
    <mergeCell ref="DGG146:DGI146"/>
    <mergeCell ref="DGK146:DGM146"/>
    <mergeCell ref="DGO146:DGQ146"/>
    <mergeCell ref="DGS146:DGU146"/>
    <mergeCell ref="DFI146:DFK146"/>
    <mergeCell ref="DFM146:DFO146"/>
    <mergeCell ref="DFQ146:DFS146"/>
    <mergeCell ref="DFU146:DFW146"/>
    <mergeCell ref="DFY146:DGA146"/>
    <mergeCell ref="DKS146:DKU146"/>
    <mergeCell ref="DKW146:DKY146"/>
    <mergeCell ref="DLA146:DLC146"/>
    <mergeCell ref="DLE146:DLG146"/>
    <mergeCell ref="DLI146:DLK146"/>
    <mergeCell ref="DJY146:DKA146"/>
    <mergeCell ref="DKC146:DKE146"/>
    <mergeCell ref="DKG146:DKI146"/>
    <mergeCell ref="DKK146:DKM146"/>
    <mergeCell ref="DKO146:DKQ146"/>
    <mergeCell ref="DJE146:DJG146"/>
    <mergeCell ref="DJI146:DJK146"/>
    <mergeCell ref="DJM146:DJO146"/>
    <mergeCell ref="DJQ146:DJS146"/>
    <mergeCell ref="DJU146:DJW146"/>
    <mergeCell ref="DIK146:DIM146"/>
    <mergeCell ref="DIO146:DIQ146"/>
    <mergeCell ref="DIS146:DIU146"/>
    <mergeCell ref="DIW146:DIY146"/>
    <mergeCell ref="DJA146:DJC146"/>
    <mergeCell ref="DNU146:DNW146"/>
    <mergeCell ref="DNY146:DOA146"/>
    <mergeCell ref="DOC146:DOE146"/>
    <mergeCell ref="DOG146:DOI146"/>
    <mergeCell ref="DOK146:DOM146"/>
    <mergeCell ref="DNA146:DNC146"/>
    <mergeCell ref="DNE146:DNG146"/>
    <mergeCell ref="DNI146:DNK146"/>
    <mergeCell ref="DNM146:DNO146"/>
    <mergeCell ref="DNQ146:DNS146"/>
    <mergeCell ref="DMG146:DMI146"/>
    <mergeCell ref="DMK146:DMM146"/>
    <mergeCell ref="DMO146:DMQ146"/>
    <mergeCell ref="DMS146:DMU146"/>
    <mergeCell ref="DMW146:DMY146"/>
    <mergeCell ref="DLM146:DLO146"/>
    <mergeCell ref="DLQ146:DLS146"/>
    <mergeCell ref="DLU146:DLW146"/>
    <mergeCell ref="DLY146:DMA146"/>
    <mergeCell ref="DMC146:DME146"/>
    <mergeCell ref="DQW146:DQY146"/>
    <mergeCell ref="DRA146:DRC146"/>
    <mergeCell ref="DRE146:DRG146"/>
    <mergeCell ref="DRI146:DRK146"/>
    <mergeCell ref="DRM146:DRO146"/>
    <mergeCell ref="DQC146:DQE146"/>
    <mergeCell ref="DQG146:DQI146"/>
    <mergeCell ref="DQK146:DQM146"/>
    <mergeCell ref="DQO146:DQQ146"/>
    <mergeCell ref="DQS146:DQU146"/>
    <mergeCell ref="DPI146:DPK146"/>
    <mergeCell ref="DPM146:DPO146"/>
    <mergeCell ref="DPQ146:DPS146"/>
    <mergeCell ref="DPU146:DPW146"/>
    <mergeCell ref="DPY146:DQA146"/>
    <mergeCell ref="DOO146:DOQ146"/>
    <mergeCell ref="DOS146:DOU146"/>
    <mergeCell ref="DOW146:DOY146"/>
    <mergeCell ref="DPA146:DPC146"/>
    <mergeCell ref="DPE146:DPG146"/>
    <mergeCell ref="DTY146:DUA146"/>
    <mergeCell ref="DUC146:DUE146"/>
    <mergeCell ref="DUG146:DUI146"/>
    <mergeCell ref="DUK146:DUM146"/>
    <mergeCell ref="DUO146:DUQ146"/>
    <mergeCell ref="DTE146:DTG146"/>
    <mergeCell ref="DTI146:DTK146"/>
    <mergeCell ref="DTM146:DTO146"/>
    <mergeCell ref="DTQ146:DTS146"/>
    <mergeCell ref="DTU146:DTW146"/>
    <mergeCell ref="DSK146:DSM146"/>
    <mergeCell ref="DSO146:DSQ146"/>
    <mergeCell ref="DSS146:DSU146"/>
    <mergeCell ref="DSW146:DSY146"/>
    <mergeCell ref="DTA146:DTC146"/>
    <mergeCell ref="DRQ146:DRS146"/>
    <mergeCell ref="DRU146:DRW146"/>
    <mergeCell ref="DRY146:DSA146"/>
    <mergeCell ref="DSC146:DSE146"/>
    <mergeCell ref="DSG146:DSI146"/>
    <mergeCell ref="DXA146:DXC146"/>
    <mergeCell ref="DXE146:DXG146"/>
    <mergeCell ref="DXI146:DXK146"/>
    <mergeCell ref="DXM146:DXO146"/>
    <mergeCell ref="DXQ146:DXS146"/>
    <mergeCell ref="DWG146:DWI146"/>
    <mergeCell ref="DWK146:DWM146"/>
    <mergeCell ref="DWO146:DWQ146"/>
    <mergeCell ref="DWS146:DWU146"/>
    <mergeCell ref="DWW146:DWY146"/>
    <mergeCell ref="DVM146:DVO146"/>
    <mergeCell ref="DVQ146:DVS146"/>
    <mergeCell ref="DVU146:DVW146"/>
    <mergeCell ref="DVY146:DWA146"/>
    <mergeCell ref="DWC146:DWE146"/>
    <mergeCell ref="DUS146:DUU146"/>
    <mergeCell ref="DUW146:DUY146"/>
    <mergeCell ref="DVA146:DVC146"/>
    <mergeCell ref="DVE146:DVG146"/>
    <mergeCell ref="DVI146:DVK146"/>
    <mergeCell ref="EAC146:EAE146"/>
    <mergeCell ref="EAG146:EAI146"/>
    <mergeCell ref="EAK146:EAM146"/>
    <mergeCell ref="EAO146:EAQ146"/>
    <mergeCell ref="EAS146:EAU146"/>
    <mergeCell ref="DZI146:DZK146"/>
    <mergeCell ref="DZM146:DZO146"/>
    <mergeCell ref="DZQ146:DZS146"/>
    <mergeCell ref="DZU146:DZW146"/>
    <mergeCell ref="DZY146:EAA146"/>
    <mergeCell ref="DYO146:DYQ146"/>
    <mergeCell ref="DYS146:DYU146"/>
    <mergeCell ref="DYW146:DYY146"/>
    <mergeCell ref="DZA146:DZC146"/>
    <mergeCell ref="DZE146:DZG146"/>
    <mergeCell ref="DXU146:DXW146"/>
    <mergeCell ref="DXY146:DYA146"/>
    <mergeCell ref="DYC146:DYE146"/>
    <mergeCell ref="DYG146:DYI146"/>
    <mergeCell ref="DYK146:DYM146"/>
    <mergeCell ref="EDE146:EDG146"/>
    <mergeCell ref="EDI146:EDK146"/>
    <mergeCell ref="EDM146:EDO146"/>
    <mergeCell ref="EDQ146:EDS146"/>
    <mergeCell ref="EDU146:EDW146"/>
    <mergeCell ref="ECK146:ECM146"/>
    <mergeCell ref="ECO146:ECQ146"/>
    <mergeCell ref="ECS146:ECU146"/>
    <mergeCell ref="ECW146:ECY146"/>
    <mergeCell ref="EDA146:EDC146"/>
    <mergeCell ref="EBQ146:EBS146"/>
    <mergeCell ref="EBU146:EBW146"/>
    <mergeCell ref="EBY146:ECA146"/>
    <mergeCell ref="ECC146:ECE146"/>
    <mergeCell ref="ECG146:ECI146"/>
    <mergeCell ref="EAW146:EAY146"/>
    <mergeCell ref="EBA146:EBC146"/>
    <mergeCell ref="EBE146:EBG146"/>
    <mergeCell ref="EBI146:EBK146"/>
    <mergeCell ref="EBM146:EBO146"/>
    <mergeCell ref="EGG146:EGI146"/>
    <mergeCell ref="EGK146:EGM146"/>
    <mergeCell ref="EGO146:EGQ146"/>
    <mergeCell ref="EGS146:EGU146"/>
    <mergeCell ref="EGW146:EGY146"/>
    <mergeCell ref="EFM146:EFO146"/>
    <mergeCell ref="EFQ146:EFS146"/>
    <mergeCell ref="EFU146:EFW146"/>
    <mergeCell ref="EFY146:EGA146"/>
    <mergeCell ref="EGC146:EGE146"/>
    <mergeCell ref="EES146:EEU146"/>
    <mergeCell ref="EEW146:EEY146"/>
    <mergeCell ref="EFA146:EFC146"/>
    <mergeCell ref="EFE146:EFG146"/>
    <mergeCell ref="EFI146:EFK146"/>
    <mergeCell ref="EDY146:EEA146"/>
    <mergeCell ref="EEC146:EEE146"/>
    <mergeCell ref="EEG146:EEI146"/>
    <mergeCell ref="EEK146:EEM146"/>
    <mergeCell ref="EEO146:EEQ146"/>
    <mergeCell ref="EJI146:EJK146"/>
    <mergeCell ref="EJM146:EJO146"/>
    <mergeCell ref="EJQ146:EJS146"/>
    <mergeCell ref="EJU146:EJW146"/>
    <mergeCell ref="EJY146:EKA146"/>
    <mergeCell ref="EIO146:EIQ146"/>
    <mergeCell ref="EIS146:EIU146"/>
    <mergeCell ref="EIW146:EIY146"/>
    <mergeCell ref="EJA146:EJC146"/>
    <mergeCell ref="EJE146:EJG146"/>
    <mergeCell ref="EHU146:EHW146"/>
    <mergeCell ref="EHY146:EIA146"/>
    <mergeCell ref="EIC146:EIE146"/>
    <mergeCell ref="EIG146:EII146"/>
    <mergeCell ref="EIK146:EIM146"/>
    <mergeCell ref="EHA146:EHC146"/>
    <mergeCell ref="EHE146:EHG146"/>
    <mergeCell ref="EHI146:EHK146"/>
    <mergeCell ref="EHM146:EHO146"/>
    <mergeCell ref="EHQ146:EHS146"/>
    <mergeCell ref="EMK146:EMM146"/>
    <mergeCell ref="EMO146:EMQ146"/>
    <mergeCell ref="EMS146:EMU146"/>
    <mergeCell ref="EMW146:EMY146"/>
    <mergeCell ref="ENA146:ENC146"/>
    <mergeCell ref="ELQ146:ELS146"/>
    <mergeCell ref="ELU146:ELW146"/>
    <mergeCell ref="ELY146:EMA146"/>
    <mergeCell ref="EMC146:EME146"/>
    <mergeCell ref="EMG146:EMI146"/>
    <mergeCell ref="EKW146:EKY146"/>
    <mergeCell ref="ELA146:ELC146"/>
    <mergeCell ref="ELE146:ELG146"/>
    <mergeCell ref="ELI146:ELK146"/>
    <mergeCell ref="ELM146:ELO146"/>
    <mergeCell ref="EKC146:EKE146"/>
    <mergeCell ref="EKG146:EKI146"/>
    <mergeCell ref="EKK146:EKM146"/>
    <mergeCell ref="EKO146:EKQ146"/>
    <mergeCell ref="EKS146:EKU146"/>
    <mergeCell ref="EPM146:EPO146"/>
    <mergeCell ref="EPQ146:EPS146"/>
    <mergeCell ref="EPU146:EPW146"/>
    <mergeCell ref="EPY146:EQA146"/>
    <mergeCell ref="EQC146:EQE146"/>
    <mergeCell ref="EOS146:EOU146"/>
    <mergeCell ref="EOW146:EOY146"/>
    <mergeCell ref="EPA146:EPC146"/>
    <mergeCell ref="EPE146:EPG146"/>
    <mergeCell ref="EPI146:EPK146"/>
    <mergeCell ref="ENY146:EOA146"/>
    <mergeCell ref="EOC146:EOE146"/>
    <mergeCell ref="EOG146:EOI146"/>
    <mergeCell ref="EOK146:EOM146"/>
    <mergeCell ref="EOO146:EOQ146"/>
    <mergeCell ref="ENE146:ENG146"/>
    <mergeCell ref="ENI146:ENK146"/>
    <mergeCell ref="ENM146:ENO146"/>
    <mergeCell ref="ENQ146:ENS146"/>
    <mergeCell ref="ENU146:ENW146"/>
    <mergeCell ref="ESO146:ESQ146"/>
    <mergeCell ref="ESS146:ESU146"/>
    <mergeCell ref="ESW146:ESY146"/>
    <mergeCell ref="ETA146:ETC146"/>
    <mergeCell ref="ETE146:ETG146"/>
    <mergeCell ref="ERU146:ERW146"/>
    <mergeCell ref="ERY146:ESA146"/>
    <mergeCell ref="ESC146:ESE146"/>
    <mergeCell ref="ESG146:ESI146"/>
    <mergeCell ref="ESK146:ESM146"/>
    <mergeCell ref="ERA146:ERC146"/>
    <mergeCell ref="ERE146:ERG146"/>
    <mergeCell ref="ERI146:ERK146"/>
    <mergeCell ref="ERM146:ERO146"/>
    <mergeCell ref="ERQ146:ERS146"/>
    <mergeCell ref="EQG146:EQI146"/>
    <mergeCell ref="EQK146:EQM146"/>
    <mergeCell ref="EQO146:EQQ146"/>
    <mergeCell ref="EQS146:EQU146"/>
    <mergeCell ref="EQW146:EQY146"/>
    <mergeCell ref="EVQ146:EVS146"/>
    <mergeCell ref="EVU146:EVW146"/>
    <mergeCell ref="EVY146:EWA146"/>
    <mergeCell ref="EWC146:EWE146"/>
    <mergeCell ref="EWG146:EWI146"/>
    <mergeCell ref="EUW146:EUY146"/>
    <mergeCell ref="EVA146:EVC146"/>
    <mergeCell ref="EVE146:EVG146"/>
    <mergeCell ref="EVI146:EVK146"/>
    <mergeCell ref="EVM146:EVO146"/>
    <mergeCell ref="EUC146:EUE146"/>
    <mergeCell ref="EUG146:EUI146"/>
    <mergeCell ref="EUK146:EUM146"/>
    <mergeCell ref="EUO146:EUQ146"/>
    <mergeCell ref="EUS146:EUU146"/>
    <mergeCell ref="ETI146:ETK146"/>
    <mergeCell ref="ETM146:ETO146"/>
    <mergeCell ref="ETQ146:ETS146"/>
    <mergeCell ref="ETU146:ETW146"/>
    <mergeCell ref="ETY146:EUA146"/>
    <mergeCell ref="EYS146:EYU146"/>
    <mergeCell ref="EYW146:EYY146"/>
    <mergeCell ref="EZA146:EZC146"/>
    <mergeCell ref="EZE146:EZG146"/>
    <mergeCell ref="EZI146:EZK146"/>
    <mergeCell ref="EXY146:EYA146"/>
    <mergeCell ref="EYC146:EYE146"/>
    <mergeCell ref="EYG146:EYI146"/>
    <mergeCell ref="EYK146:EYM146"/>
    <mergeCell ref="EYO146:EYQ146"/>
    <mergeCell ref="EXE146:EXG146"/>
    <mergeCell ref="EXI146:EXK146"/>
    <mergeCell ref="EXM146:EXO146"/>
    <mergeCell ref="EXQ146:EXS146"/>
    <mergeCell ref="EXU146:EXW146"/>
    <mergeCell ref="EWK146:EWM146"/>
    <mergeCell ref="EWO146:EWQ146"/>
    <mergeCell ref="EWS146:EWU146"/>
    <mergeCell ref="EWW146:EWY146"/>
    <mergeCell ref="EXA146:EXC146"/>
    <mergeCell ref="FBU146:FBW146"/>
    <mergeCell ref="FBY146:FCA146"/>
    <mergeCell ref="FCC146:FCE146"/>
    <mergeCell ref="FCG146:FCI146"/>
    <mergeCell ref="FCK146:FCM146"/>
    <mergeCell ref="FBA146:FBC146"/>
    <mergeCell ref="FBE146:FBG146"/>
    <mergeCell ref="FBI146:FBK146"/>
    <mergeCell ref="FBM146:FBO146"/>
    <mergeCell ref="FBQ146:FBS146"/>
    <mergeCell ref="FAG146:FAI146"/>
    <mergeCell ref="FAK146:FAM146"/>
    <mergeCell ref="FAO146:FAQ146"/>
    <mergeCell ref="FAS146:FAU146"/>
    <mergeCell ref="FAW146:FAY146"/>
    <mergeCell ref="EZM146:EZO146"/>
    <mergeCell ref="EZQ146:EZS146"/>
    <mergeCell ref="EZU146:EZW146"/>
    <mergeCell ref="EZY146:FAA146"/>
    <mergeCell ref="FAC146:FAE146"/>
    <mergeCell ref="FEW146:FEY146"/>
    <mergeCell ref="FFA146:FFC146"/>
    <mergeCell ref="FFE146:FFG146"/>
    <mergeCell ref="FFI146:FFK146"/>
    <mergeCell ref="FFM146:FFO146"/>
    <mergeCell ref="FEC146:FEE146"/>
    <mergeCell ref="FEG146:FEI146"/>
    <mergeCell ref="FEK146:FEM146"/>
    <mergeCell ref="FEO146:FEQ146"/>
    <mergeCell ref="FES146:FEU146"/>
    <mergeCell ref="FDI146:FDK146"/>
    <mergeCell ref="FDM146:FDO146"/>
    <mergeCell ref="FDQ146:FDS146"/>
    <mergeCell ref="FDU146:FDW146"/>
    <mergeCell ref="FDY146:FEA146"/>
    <mergeCell ref="FCO146:FCQ146"/>
    <mergeCell ref="FCS146:FCU146"/>
    <mergeCell ref="FCW146:FCY146"/>
    <mergeCell ref="FDA146:FDC146"/>
    <mergeCell ref="FDE146:FDG146"/>
    <mergeCell ref="FHY146:FIA146"/>
    <mergeCell ref="FIC146:FIE146"/>
    <mergeCell ref="FIG146:FII146"/>
    <mergeCell ref="FIK146:FIM146"/>
    <mergeCell ref="FIO146:FIQ146"/>
    <mergeCell ref="FHE146:FHG146"/>
    <mergeCell ref="FHI146:FHK146"/>
    <mergeCell ref="FHM146:FHO146"/>
    <mergeCell ref="FHQ146:FHS146"/>
    <mergeCell ref="FHU146:FHW146"/>
    <mergeCell ref="FGK146:FGM146"/>
    <mergeCell ref="FGO146:FGQ146"/>
    <mergeCell ref="FGS146:FGU146"/>
    <mergeCell ref="FGW146:FGY146"/>
    <mergeCell ref="FHA146:FHC146"/>
    <mergeCell ref="FFQ146:FFS146"/>
    <mergeCell ref="FFU146:FFW146"/>
    <mergeCell ref="FFY146:FGA146"/>
    <mergeCell ref="FGC146:FGE146"/>
    <mergeCell ref="FGG146:FGI146"/>
    <mergeCell ref="FLA146:FLC146"/>
    <mergeCell ref="FLE146:FLG146"/>
    <mergeCell ref="FLI146:FLK146"/>
    <mergeCell ref="FLM146:FLO146"/>
    <mergeCell ref="FLQ146:FLS146"/>
    <mergeCell ref="FKG146:FKI146"/>
    <mergeCell ref="FKK146:FKM146"/>
    <mergeCell ref="FKO146:FKQ146"/>
    <mergeCell ref="FKS146:FKU146"/>
    <mergeCell ref="FKW146:FKY146"/>
    <mergeCell ref="FJM146:FJO146"/>
    <mergeCell ref="FJQ146:FJS146"/>
    <mergeCell ref="FJU146:FJW146"/>
    <mergeCell ref="FJY146:FKA146"/>
    <mergeCell ref="FKC146:FKE146"/>
    <mergeCell ref="FIS146:FIU146"/>
    <mergeCell ref="FIW146:FIY146"/>
    <mergeCell ref="FJA146:FJC146"/>
    <mergeCell ref="FJE146:FJG146"/>
    <mergeCell ref="FJI146:FJK146"/>
    <mergeCell ref="FOC146:FOE146"/>
    <mergeCell ref="FOG146:FOI146"/>
    <mergeCell ref="FOK146:FOM146"/>
    <mergeCell ref="FOO146:FOQ146"/>
    <mergeCell ref="FOS146:FOU146"/>
    <mergeCell ref="FNI146:FNK146"/>
    <mergeCell ref="FNM146:FNO146"/>
    <mergeCell ref="FNQ146:FNS146"/>
    <mergeCell ref="FNU146:FNW146"/>
    <mergeCell ref="FNY146:FOA146"/>
    <mergeCell ref="FMO146:FMQ146"/>
    <mergeCell ref="FMS146:FMU146"/>
    <mergeCell ref="FMW146:FMY146"/>
    <mergeCell ref="FNA146:FNC146"/>
    <mergeCell ref="FNE146:FNG146"/>
    <mergeCell ref="FLU146:FLW146"/>
    <mergeCell ref="FLY146:FMA146"/>
    <mergeCell ref="FMC146:FME146"/>
    <mergeCell ref="FMG146:FMI146"/>
    <mergeCell ref="FMK146:FMM146"/>
    <mergeCell ref="FRE146:FRG146"/>
    <mergeCell ref="FRI146:FRK146"/>
    <mergeCell ref="FRM146:FRO146"/>
    <mergeCell ref="FRQ146:FRS146"/>
    <mergeCell ref="FRU146:FRW146"/>
    <mergeCell ref="FQK146:FQM146"/>
    <mergeCell ref="FQO146:FQQ146"/>
    <mergeCell ref="FQS146:FQU146"/>
    <mergeCell ref="FQW146:FQY146"/>
    <mergeCell ref="FRA146:FRC146"/>
    <mergeCell ref="FPQ146:FPS146"/>
    <mergeCell ref="FPU146:FPW146"/>
    <mergeCell ref="FPY146:FQA146"/>
    <mergeCell ref="FQC146:FQE146"/>
    <mergeCell ref="FQG146:FQI146"/>
    <mergeCell ref="FOW146:FOY146"/>
    <mergeCell ref="FPA146:FPC146"/>
    <mergeCell ref="FPE146:FPG146"/>
    <mergeCell ref="FPI146:FPK146"/>
    <mergeCell ref="FPM146:FPO146"/>
    <mergeCell ref="FUG146:FUI146"/>
    <mergeCell ref="FUK146:FUM146"/>
    <mergeCell ref="FUO146:FUQ146"/>
    <mergeCell ref="FUS146:FUU146"/>
    <mergeCell ref="FUW146:FUY146"/>
    <mergeCell ref="FTM146:FTO146"/>
    <mergeCell ref="FTQ146:FTS146"/>
    <mergeCell ref="FTU146:FTW146"/>
    <mergeCell ref="FTY146:FUA146"/>
    <mergeCell ref="FUC146:FUE146"/>
    <mergeCell ref="FSS146:FSU146"/>
    <mergeCell ref="FSW146:FSY146"/>
    <mergeCell ref="FTA146:FTC146"/>
    <mergeCell ref="FTE146:FTG146"/>
    <mergeCell ref="FTI146:FTK146"/>
    <mergeCell ref="FRY146:FSA146"/>
    <mergeCell ref="FSC146:FSE146"/>
    <mergeCell ref="FSG146:FSI146"/>
    <mergeCell ref="FSK146:FSM146"/>
    <mergeCell ref="FSO146:FSQ146"/>
    <mergeCell ref="FXI146:FXK146"/>
    <mergeCell ref="FXM146:FXO146"/>
    <mergeCell ref="FXQ146:FXS146"/>
    <mergeCell ref="FXU146:FXW146"/>
    <mergeCell ref="FXY146:FYA146"/>
    <mergeCell ref="FWO146:FWQ146"/>
    <mergeCell ref="FWS146:FWU146"/>
    <mergeCell ref="FWW146:FWY146"/>
    <mergeCell ref="FXA146:FXC146"/>
    <mergeCell ref="FXE146:FXG146"/>
    <mergeCell ref="FVU146:FVW146"/>
    <mergeCell ref="FVY146:FWA146"/>
    <mergeCell ref="FWC146:FWE146"/>
    <mergeCell ref="FWG146:FWI146"/>
    <mergeCell ref="FWK146:FWM146"/>
    <mergeCell ref="FVA146:FVC146"/>
    <mergeCell ref="FVE146:FVG146"/>
    <mergeCell ref="FVI146:FVK146"/>
    <mergeCell ref="FVM146:FVO146"/>
    <mergeCell ref="FVQ146:FVS146"/>
    <mergeCell ref="GAK146:GAM146"/>
    <mergeCell ref="GAO146:GAQ146"/>
    <mergeCell ref="GAS146:GAU146"/>
    <mergeCell ref="GAW146:GAY146"/>
    <mergeCell ref="GBA146:GBC146"/>
    <mergeCell ref="FZQ146:FZS146"/>
    <mergeCell ref="FZU146:FZW146"/>
    <mergeCell ref="FZY146:GAA146"/>
    <mergeCell ref="GAC146:GAE146"/>
    <mergeCell ref="GAG146:GAI146"/>
    <mergeCell ref="FYW146:FYY146"/>
    <mergeCell ref="FZA146:FZC146"/>
    <mergeCell ref="FZE146:FZG146"/>
    <mergeCell ref="FZI146:FZK146"/>
    <mergeCell ref="FZM146:FZO146"/>
    <mergeCell ref="FYC146:FYE146"/>
    <mergeCell ref="FYG146:FYI146"/>
    <mergeCell ref="FYK146:FYM146"/>
    <mergeCell ref="FYO146:FYQ146"/>
    <mergeCell ref="FYS146:FYU146"/>
    <mergeCell ref="GDM146:GDO146"/>
    <mergeCell ref="GDQ146:GDS146"/>
    <mergeCell ref="GDU146:GDW146"/>
    <mergeCell ref="GDY146:GEA146"/>
    <mergeCell ref="GEC146:GEE146"/>
    <mergeCell ref="GCS146:GCU146"/>
    <mergeCell ref="GCW146:GCY146"/>
    <mergeCell ref="GDA146:GDC146"/>
    <mergeCell ref="GDE146:GDG146"/>
    <mergeCell ref="GDI146:GDK146"/>
    <mergeCell ref="GBY146:GCA146"/>
    <mergeCell ref="GCC146:GCE146"/>
    <mergeCell ref="GCG146:GCI146"/>
    <mergeCell ref="GCK146:GCM146"/>
    <mergeCell ref="GCO146:GCQ146"/>
    <mergeCell ref="GBE146:GBG146"/>
    <mergeCell ref="GBI146:GBK146"/>
    <mergeCell ref="GBM146:GBO146"/>
    <mergeCell ref="GBQ146:GBS146"/>
    <mergeCell ref="GBU146:GBW146"/>
    <mergeCell ref="GGO146:GGQ146"/>
    <mergeCell ref="GGS146:GGU146"/>
    <mergeCell ref="GGW146:GGY146"/>
    <mergeCell ref="GHA146:GHC146"/>
    <mergeCell ref="GHE146:GHG146"/>
    <mergeCell ref="GFU146:GFW146"/>
    <mergeCell ref="GFY146:GGA146"/>
    <mergeCell ref="GGC146:GGE146"/>
    <mergeCell ref="GGG146:GGI146"/>
    <mergeCell ref="GGK146:GGM146"/>
    <mergeCell ref="GFA146:GFC146"/>
    <mergeCell ref="GFE146:GFG146"/>
    <mergeCell ref="GFI146:GFK146"/>
    <mergeCell ref="GFM146:GFO146"/>
    <mergeCell ref="GFQ146:GFS146"/>
    <mergeCell ref="GEG146:GEI146"/>
    <mergeCell ref="GEK146:GEM146"/>
    <mergeCell ref="GEO146:GEQ146"/>
    <mergeCell ref="GES146:GEU146"/>
    <mergeCell ref="GEW146:GEY146"/>
    <mergeCell ref="GJQ146:GJS146"/>
    <mergeCell ref="GJU146:GJW146"/>
    <mergeCell ref="GJY146:GKA146"/>
    <mergeCell ref="GKC146:GKE146"/>
    <mergeCell ref="GKG146:GKI146"/>
    <mergeCell ref="GIW146:GIY146"/>
    <mergeCell ref="GJA146:GJC146"/>
    <mergeCell ref="GJE146:GJG146"/>
    <mergeCell ref="GJI146:GJK146"/>
    <mergeCell ref="GJM146:GJO146"/>
    <mergeCell ref="GIC146:GIE146"/>
    <mergeCell ref="GIG146:GII146"/>
    <mergeCell ref="GIK146:GIM146"/>
    <mergeCell ref="GIO146:GIQ146"/>
    <mergeCell ref="GIS146:GIU146"/>
    <mergeCell ref="GHI146:GHK146"/>
    <mergeCell ref="GHM146:GHO146"/>
    <mergeCell ref="GHQ146:GHS146"/>
    <mergeCell ref="GHU146:GHW146"/>
    <mergeCell ref="GHY146:GIA146"/>
    <mergeCell ref="GMS146:GMU146"/>
    <mergeCell ref="GMW146:GMY146"/>
    <mergeCell ref="GNA146:GNC146"/>
    <mergeCell ref="GNE146:GNG146"/>
    <mergeCell ref="GNI146:GNK146"/>
    <mergeCell ref="GLY146:GMA146"/>
    <mergeCell ref="GMC146:GME146"/>
    <mergeCell ref="GMG146:GMI146"/>
    <mergeCell ref="GMK146:GMM146"/>
    <mergeCell ref="GMO146:GMQ146"/>
    <mergeCell ref="GLE146:GLG146"/>
    <mergeCell ref="GLI146:GLK146"/>
    <mergeCell ref="GLM146:GLO146"/>
    <mergeCell ref="GLQ146:GLS146"/>
    <mergeCell ref="GLU146:GLW146"/>
    <mergeCell ref="GKK146:GKM146"/>
    <mergeCell ref="GKO146:GKQ146"/>
    <mergeCell ref="GKS146:GKU146"/>
    <mergeCell ref="GKW146:GKY146"/>
    <mergeCell ref="GLA146:GLC146"/>
    <mergeCell ref="GPU146:GPW146"/>
    <mergeCell ref="GPY146:GQA146"/>
    <mergeCell ref="GQC146:GQE146"/>
    <mergeCell ref="GQG146:GQI146"/>
    <mergeCell ref="GQK146:GQM146"/>
    <mergeCell ref="GPA146:GPC146"/>
    <mergeCell ref="GPE146:GPG146"/>
    <mergeCell ref="GPI146:GPK146"/>
    <mergeCell ref="GPM146:GPO146"/>
    <mergeCell ref="GPQ146:GPS146"/>
    <mergeCell ref="GOG146:GOI146"/>
    <mergeCell ref="GOK146:GOM146"/>
    <mergeCell ref="GOO146:GOQ146"/>
    <mergeCell ref="GOS146:GOU146"/>
    <mergeCell ref="GOW146:GOY146"/>
    <mergeCell ref="GNM146:GNO146"/>
    <mergeCell ref="GNQ146:GNS146"/>
    <mergeCell ref="GNU146:GNW146"/>
    <mergeCell ref="GNY146:GOA146"/>
    <mergeCell ref="GOC146:GOE146"/>
    <mergeCell ref="GSW146:GSY146"/>
    <mergeCell ref="GTA146:GTC146"/>
    <mergeCell ref="GTE146:GTG146"/>
    <mergeCell ref="GTI146:GTK146"/>
    <mergeCell ref="GTM146:GTO146"/>
    <mergeCell ref="GSC146:GSE146"/>
    <mergeCell ref="GSG146:GSI146"/>
    <mergeCell ref="GSK146:GSM146"/>
    <mergeCell ref="GSO146:GSQ146"/>
    <mergeCell ref="GSS146:GSU146"/>
    <mergeCell ref="GRI146:GRK146"/>
    <mergeCell ref="GRM146:GRO146"/>
    <mergeCell ref="GRQ146:GRS146"/>
    <mergeCell ref="GRU146:GRW146"/>
    <mergeCell ref="GRY146:GSA146"/>
    <mergeCell ref="GQO146:GQQ146"/>
    <mergeCell ref="GQS146:GQU146"/>
    <mergeCell ref="GQW146:GQY146"/>
    <mergeCell ref="GRA146:GRC146"/>
    <mergeCell ref="GRE146:GRG146"/>
    <mergeCell ref="GVY146:GWA146"/>
    <mergeCell ref="GWC146:GWE146"/>
    <mergeCell ref="GWG146:GWI146"/>
    <mergeCell ref="GWK146:GWM146"/>
    <mergeCell ref="GWO146:GWQ146"/>
    <mergeCell ref="GVE146:GVG146"/>
    <mergeCell ref="GVI146:GVK146"/>
    <mergeCell ref="GVM146:GVO146"/>
    <mergeCell ref="GVQ146:GVS146"/>
    <mergeCell ref="GVU146:GVW146"/>
    <mergeCell ref="GUK146:GUM146"/>
    <mergeCell ref="GUO146:GUQ146"/>
    <mergeCell ref="GUS146:GUU146"/>
    <mergeCell ref="GUW146:GUY146"/>
    <mergeCell ref="GVA146:GVC146"/>
    <mergeCell ref="GTQ146:GTS146"/>
    <mergeCell ref="GTU146:GTW146"/>
    <mergeCell ref="GTY146:GUA146"/>
    <mergeCell ref="GUC146:GUE146"/>
    <mergeCell ref="GUG146:GUI146"/>
    <mergeCell ref="GZA146:GZC146"/>
    <mergeCell ref="GZE146:GZG146"/>
    <mergeCell ref="GZI146:GZK146"/>
    <mergeCell ref="GZM146:GZO146"/>
    <mergeCell ref="GZQ146:GZS146"/>
    <mergeCell ref="GYG146:GYI146"/>
    <mergeCell ref="GYK146:GYM146"/>
    <mergeCell ref="GYO146:GYQ146"/>
    <mergeCell ref="GYS146:GYU146"/>
    <mergeCell ref="GYW146:GYY146"/>
    <mergeCell ref="GXM146:GXO146"/>
    <mergeCell ref="GXQ146:GXS146"/>
    <mergeCell ref="GXU146:GXW146"/>
    <mergeCell ref="GXY146:GYA146"/>
    <mergeCell ref="GYC146:GYE146"/>
    <mergeCell ref="GWS146:GWU146"/>
    <mergeCell ref="GWW146:GWY146"/>
    <mergeCell ref="GXA146:GXC146"/>
    <mergeCell ref="GXE146:GXG146"/>
    <mergeCell ref="GXI146:GXK146"/>
    <mergeCell ref="HCC146:HCE146"/>
    <mergeCell ref="HCG146:HCI146"/>
    <mergeCell ref="HCK146:HCM146"/>
    <mergeCell ref="HCO146:HCQ146"/>
    <mergeCell ref="HCS146:HCU146"/>
    <mergeCell ref="HBI146:HBK146"/>
    <mergeCell ref="HBM146:HBO146"/>
    <mergeCell ref="HBQ146:HBS146"/>
    <mergeCell ref="HBU146:HBW146"/>
    <mergeCell ref="HBY146:HCA146"/>
    <mergeCell ref="HAO146:HAQ146"/>
    <mergeCell ref="HAS146:HAU146"/>
    <mergeCell ref="HAW146:HAY146"/>
    <mergeCell ref="HBA146:HBC146"/>
    <mergeCell ref="HBE146:HBG146"/>
    <mergeCell ref="GZU146:GZW146"/>
    <mergeCell ref="GZY146:HAA146"/>
    <mergeCell ref="HAC146:HAE146"/>
    <mergeCell ref="HAG146:HAI146"/>
    <mergeCell ref="HAK146:HAM146"/>
    <mergeCell ref="HFE146:HFG146"/>
    <mergeCell ref="HFI146:HFK146"/>
    <mergeCell ref="HFM146:HFO146"/>
    <mergeCell ref="HFQ146:HFS146"/>
    <mergeCell ref="HFU146:HFW146"/>
    <mergeCell ref="HEK146:HEM146"/>
    <mergeCell ref="HEO146:HEQ146"/>
    <mergeCell ref="HES146:HEU146"/>
    <mergeCell ref="HEW146:HEY146"/>
    <mergeCell ref="HFA146:HFC146"/>
    <mergeCell ref="HDQ146:HDS146"/>
    <mergeCell ref="HDU146:HDW146"/>
    <mergeCell ref="HDY146:HEA146"/>
    <mergeCell ref="HEC146:HEE146"/>
    <mergeCell ref="HEG146:HEI146"/>
    <mergeCell ref="HCW146:HCY146"/>
    <mergeCell ref="HDA146:HDC146"/>
    <mergeCell ref="HDE146:HDG146"/>
    <mergeCell ref="HDI146:HDK146"/>
    <mergeCell ref="HDM146:HDO146"/>
    <mergeCell ref="HIG146:HII146"/>
    <mergeCell ref="HIK146:HIM146"/>
    <mergeCell ref="HIO146:HIQ146"/>
    <mergeCell ref="HIS146:HIU146"/>
    <mergeCell ref="HIW146:HIY146"/>
    <mergeCell ref="HHM146:HHO146"/>
    <mergeCell ref="HHQ146:HHS146"/>
    <mergeCell ref="HHU146:HHW146"/>
    <mergeCell ref="HHY146:HIA146"/>
    <mergeCell ref="HIC146:HIE146"/>
    <mergeCell ref="HGS146:HGU146"/>
    <mergeCell ref="HGW146:HGY146"/>
    <mergeCell ref="HHA146:HHC146"/>
    <mergeCell ref="HHE146:HHG146"/>
    <mergeCell ref="HHI146:HHK146"/>
    <mergeCell ref="HFY146:HGA146"/>
    <mergeCell ref="HGC146:HGE146"/>
    <mergeCell ref="HGG146:HGI146"/>
    <mergeCell ref="HGK146:HGM146"/>
    <mergeCell ref="HGO146:HGQ146"/>
    <mergeCell ref="HLI146:HLK146"/>
    <mergeCell ref="HLM146:HLO146"/>
    <mergeCell ref="HLQ146:HLS146"/>
    <mergeCell ref="HLU146:HLW146"/>
    <mergeCell ref="HLY146:HMA146"/>
    <mergeCell ref="HKO146:HKQ146"/>
    <mergeCell ref="HKS146:HKU146"/>
    <mergeCell ref="HKW146:HKY146"/>
    <mergeCell ref="HLA146:HLC146"/>
    <mergeCell ref="HLE146:HLG146"/>
    <mergeCell ref="HJU146:HJW146"/>
    <mergeCell ref="HJY146:HKA146"/>
    <mergeCell ref="HKC146:HKE146"/>
    <mergeCell ref="HKG146:HKI146"/>
    <mergeCell ref="HKK146:HKM146"/>
    <mergeCell ref="HJA146:HJC146"/>
    <mergeCell ref="HJE146:HJG146"/>
    <mergeCell ref="HJI146:HJK146"/>
    <mergeCell ref="HJM146:HJO146"/>
    <mergeCell ref="HJQ146:HJS146"/>
    <mergeCell ref="HOK146:HOM146"/>
    <mergeCell ref="HOO146:HOQ146"/>
    <mergeCell ref="HOS146:HOU146"/>
    <mergeCell ref="HOW146:HOY146"/>
    <mergeCell ref="HPA146:HPC146"/>
    <mergeCell ref="HNQ146:HNS146"/>
    <mergeCell ref="HNU146:HNW146"/>
    <mergeCell ref="HNY146:HOA146"/>
    <mergeCell ref="HOC146:HOE146"/>
    <mergeCell ref="HOG146:HOI146"/>
    <mergeCell ref="HMW146:HMY146"/>
    <mergeCell ref="HNA146:HNC146"/>
    <mergeCell ref="HNE146:HNG146"/>
    <mergeCell ref="HNI146:HNK146"/>
    <mergeCell ref="HNM146:HNO146"/>
    <mergeCell ref="HMC146:HME146"/>
    <mergeCell ref="HMG146:HMI146"/>
    <mergeCell ref="HMK146:HMM146"/>
    <mergeCell ref="HMO146:HMQ146"/>
    <mergeCell ref="HMS146:HMU146"/>
    <mergeCell ref="HRM146:HRO146"/>
    <mergeCell ref="HRQ146:HRS146"/>
    <mergeCell ref="HRU146:HRW146"/>
    <mergeCell ref="HRY146:HSA146"/>
    <mergeCell ref="HSC146:HSE146"/>
    <mergeCell ref="HQS146:HQU146"/>
    <mergeCell ref="HQW146:HQY146"/>
    <mergeCell ref="HRA146:HRC146"/>
    <mergeCell ref="HRE146:HRG146"/>
    <mergeCell ref="HRI146:HRK146"/>
    <mergeCell ref="HPY146:HQA146"/>
    <mergeCell ref="HQC146:HQE146"/>
    <mergeCell ref="HQG146:HQI146"/>
    <mergeCell ref="HQK146:HQM146"/>
    <mergeCell ref="HQO146:HQQ146"/>
    <mergeCell ref="HPE146:HPG146"/>
    <mergeCell ref="HPI146:HPK146"/>
    <mergeCell ref="HPM146:HPO146"/>
    <mergeCell ref="HPQ146:HPS146"/>
    <mergeCell ref="HPU146:HPW146"/>
    <mergeCell ref="HUO146:HUQ146"/>
    <mergeCell ref="HUS146:HUU146"/>
    <mergeCell ref="HUW146:HUY146"/>
    <mergeCell ref="HVA146:HVC146"/>
    <mergeCell ref="HVE146:HVG146"/>
    <mergeCell ref="HTU146:HTW146"/>
    <mergeCell ref="HTY146:HUA146"/>
    <mergeCell ref="HUC146:HUE146"/>
    <mergeCell ref="HUG146:HUI146"/>
    <mergeCell ref="HUK146:HUM146"/>
    <mergeCell ref="HTA146:HTC146"/>
    <mergeCell ref="HTE146:HTG146"/>
    <mergeCell ref="HTI146:HTK146"/>
    <mergeCell ref="HTM146:HTO146"/>
    <mergeCell ref="HTQ146:HTS146"/>
    <mergeCell ref="HSG146:HSI146"/>
    <mergeCell ref="HSK146:HSM146"/>
    <mergeCell ref="HSO146:HSQ146"/>
    <mergeCell ref="HSS146:HSU146"/>
    <mergeCell ref="HSW146:HSY146"/>
    <mergeCell ref="HXQ146:HXS146"/>
    <mergeCell ref="HXU146:HXW146"/>
    <mergeCell ref="HXY146:HYA146"/>
    <mergeCell ref="HYC146:HYE146"/>
    <mergeCell ref="HYG146:HYI146"/>
    <mergeCell ref="HWW146:HWY146"/>
    <mergeCell ref="HXA146:HXC146"/>
    <mergeCell ref="HXE146:HXG146"/>
    <mergeCell ref="HXI146:HXK146"/>
    <mergeCell ref="HXM146:HXO146"/>
    <mergeCell ref="HWC146:HWE146"/>
    <mergeCell ref="HWG146:HWI146"/>
    <mergeCell ref="HWK146:HWM146"/>
    <mergeCell ref="HWO146:HWQ146"/>
    <mergeCell ref="HWS146:HWU146"/>
    <mergeCell ref="HVI146:HVK146"/>
    <mergeCell ref="HVM146:HVO146"/>
    <mergeCell ref="HVQ146:HVS146"/>
    <mergeCell ref="HVU146:HVW146"/>
    <mergeCell ref="HVY146:HWA146"/>
    <mergeCell ref="IAS146:IAU146"/>
    <mergeCell ref="IAW146:IAY146"/>
    <mergeCell ref="IBA146:IBC146"/>
    <mergeCell ref="IBE146:IBG146"/>
    <mergeCell ref="IBI146:IBK146"/>
    <mergeCell ref="HZY146:IAA146"/>
    <mergeCell ref="IAC146:IAE146"/>
    <mergeCell ref="IAG146:IAI146"/>
    <mergeCell ref="IAK146:IAM146"/>
    <mergeCell ref="IAO146:IAQ146"/>
    <mergeCell ref="HZE146:HZG146"/>
    <mergeCell ref="HZI146:HZK146"/>
    <mergeCell ref="HZM146:HZO146"/>
    <mergeCell ref="HZQ146:HZS146"/>
    <mergeCell ref="HZU146:HZW146"/>
    <mergeCell ref="HYK146:HYM146"/>
    <mergeCell ref="HYO146:HYQ146"/>
    <mergeCell ref="HYS146:HYU146"/>
    <mergeCell ref="HYW146:HYY146"/>
    <mergeCell ref="HZA146:HZC146"/>
    <mergeCell ref="IDU146:IDW146"/>
    <mergeCell ref="IDY146:IEA146"/>
    <mergeCell ref="IEC146:IEE146"/>
    <mergeCell ref="IEG146:IEI146"/>
    <mergeCell ref="IEK146:IEM146"/>
    <mergeCell ref="IDA146:IDC146"/>
    <mergeCell ref="IDE146:IDG146"/>
    <mergeCell ref="IDI146:IDK146"/>
    <mergeCell ref="IDM146:IDO146"/>
    <mergeCell ref="IDQ146:IDS146"/>
    <mergeCell ref="ICG146:ICI146"/>
    <mergeCell ref="ICK146:ICM146"/>
    <mergeCell ref="ICO146:ICQ146"/>
    <mergeCell ref="ICS146:ICU146"/>
    <mergeCell ref="ICW146:ICY146"/>
    <mergeCell ref="IBM146:IBO146"/>
    <mergeCell ref="IBQ146:IBS146"/>
    <mergeCell ref="IBU146:IBW146"/>
    <mergeCell ref="IBY146:ICA146"/>
    <mergeCell ref="ICC146:ICE146"/>
    <mergeCell ref="IGW146:IGY146"/>
    <mergeCell ref="IHA146:IHC146"/>
    <mergeCell ref="IHE146:IHG146"/>
    <mergeCell ref="IHI146:IHK146"/>
    <mergeCell ref="IHM146:IHO146"/>
    <mergeCell ref="IGC146:IGE146"/>
    <mergeCell ref="IGG146:IGI146"/>
    <mergeCell ref="IGK146:IGM146"/>
    <mergeCell ref="IGO146:IGQ146"/>
    <mergeCell ref="IGS146:IGU146"/>
    <mergeCell ref="IFI146:IFK146"/>
    <mergeCell ref="IFM146:IFO146"/>
    <mergeCell ref="IFQ146:IFS146"/>
    <mergeCell ref="IFU146:IFW146"/>
    <mergeCell ref="IFY146:IGA146"/>
    <mergeCell ref="IEO146:IEQ146"/>
    <mergeCell ref="IES146:IEU146"/>
    <mergeCell ref="IEW146:IEY146"/>
    <mergeCell ref="IFA146:IFC146"/>
    <mergeCell ref="IFE146:IFG146"/>
    <mergeCell ref="IJY146:IKA146"/>
    <mergeCell ref="IKC146:IKE146"/>
    <mergeCell ref="IKG146:IKI146"/>
    <mergeCell ref="IKK146:IKM146"/>
    <mergeCell ref="IKO146:IKQ146"/>
    <mergeCell ref="IJE146:IJG146"/>
    <mergeCell ref="IJI146:IJK146"/>
    <mergeCell ref="IJM146:IJO146"/>
    <mergeCell ref="IJQ146:IJS146"/>
    <mergeCell ref="IJU146:IJW146"/>
    <mergeCell ref="IIK146:IIM146"/>
    <mergeCell ref="IIO146:IIQ146"/>
    <mergeCell ref="IIS146:IIU146"/>
    <mergeCell ref="IIW146:IIY146"/>
    <mergeCell ref="IJA146:IJC146"/>
    <mergeCell ref="IHQ146:IHS146"/>
    <mergeCell ref="IHU146:IHW146"/>
    <mergeCell ref="IHY146:IIA146"/>
    <mergeCell ref="IIC146:IIE146"/>
    <mergeCell ref="IIG146:III146"/>
    <mergeCell ref="INA146:INC146"/>
    <mergeCell ref="INE146:ING146"/>
    <mergeCell ref="INI146:INK146"/>
    <mergeCell ref="INM146:INO146"/>
    <mergeCell ref="INQ146:INS146"/>
    <mergeCell ref="IMG146:IMI146"/>
    <mergeCell ref="IMK146:IMM146"/>
    <mergeCell ref="IMO146:IMQ146"/>
    <mergeCell ref="IMS146:IMU146"/>
    <mergeCell ref="IMW146:IMY146"/>
    <mergeCell ref="ILM146:ILO146"/>
    <mergeCell ref="ILQ146:ILS146"/>
    <mergeCell ref="ILU146:ILW146"/>
    <mergeCell ref="ILY146:IMA146"/>
    <mergeCell ref="IMC146:IME146"/>
    <mergeCell ref="IKS146:IKU146"/>
    <mergeCell ref="IKW146:IKY146"/>
    <mergeCell ref="ILA146:ILC146"/>
    <mergeCell ref="ILE146:ILG146"/>
    <mergeCell ref="ILI146:ILK146"/>
    <mergeCell ref="IQC146:IQE146"/>
    <mergeCell ref="IQG146:IQI146"/>
    <mergeCell ref="IQK146:IQM146"/>
    <mergeCell ref="IQO146:IQQ146"/>
    <mergeCell ref="IQS146:IQU146"/>
    <mergeCell ref="IPI146:IPK146"/>
    <mergeCell ref="IPM146:IPO146"/>
    <mergeCell ref="IPQ146:IPS146"/>
    <mergeCell ref="IPU146:IPW146"/>
    <mergeCell ref="IPY146:IQA146"/>
    <mergeCell ref="IOO146:IOQ146"/>
    <mergeCell ref="IOS146:IOU146"/>
    <mergeCell ref="IOW146:IOY146"/>
    <mergeCell ref="IPA146:IPC146"/>
    <mergeCell ref="IPE146:IPG146"/>
    <mergeCell ref="INU146:INW146"/>
    <mergeCell ref="INY146:IOA146"/>
    <mergeCell ref="IOC146:IOE146"/>
    <mergeCell ref="IOG146:IOI146"/>
    <mergeCell ref="IOK146:IOM146"/>
    <mergeCell ref="ITE146:ITG146"/>
    <mergeCell ref="ITI146:ITK146"/>
    <mergeCell ref="ITM146:ITO146"/>
    <mergeCell ref="ITQ146:ITS146"/>
    <mergeCell ref="ITU146:ITW146"/>
    <mergeCell ref="ISK146:ISM146"/>
    <mergeCell ref="ISO146:ISQ146"/>
    <mergeCell ref="ISS146:ISU146"/>
    <mergeCell ref="ISW146:ISY146"/>
    <mergeCell ref="ITA146:ITC146"/>
    <mergeCell ref="IRQ146:IRS146"/>
    <mergeCell ref="IRU146:IRW146"/>
    <mergeCell ref="IRY146:ISA146"/>
    <mergeCell ref="ISC146:ISE146"/>
    <mergeCell ref="ISG146:ISI146"/>
    <mergeCell ref="IQW146:IQY146"/>
    <mergeCell ref="IRA146:IRC146"/>
    <mergeCell ref="IRE146:IRG146"/>
    <mergeCell ref="IRI146:IRK146"/>
    <mergeCell ref="IRM146:IRO146"/>
    <mergeCell ref="IWG146:IWI146"/>
    <mergeCell ref="IWK146:IWM146"/>
    <mergeCell ref="IWO146:IWQ146"/>
    <mergeCell ref="IWS146:IWU146"/>
    <mergeCell ref="IWW146:IWY146"/>
    <mergeCell ref="IVM146:IVO146"/>
    <mergeCell ref="IVQ146:IVS146"/>
    <mergeCell ref="IVU146:IVW146"/>
    <mergeCell ref="IVY146:IWA146"/>
    <mergeCell ref="IWC146:IWE146"/>
    <mergeCell ref="IUS146:IUU146"/>
    <mergeCell ref="IUW146:IUY146"/>
    <mergeCell ref="IVA146:IVC146"/>
    <mergeCell ref="IVE146:IVG146"/>
    <mergeCell ref="IVI146:IVK146"/>
    <mergeCell ref="ITY146:IUA146"/>
    <mergeCell ref="IUC146:IUE146"/>
    <mergeCell ref="IUG146:IUI146"/>
    <mergeCell ref="IUK146:IUM146"/>
    <mergeCell ref="IUO146:IUQ146"/>
    <mergeCell ref="IZI146:IZK146"/>
    <mergeCell ref="IZM146:IZO146"/>
    <mergeCell ref="IZQ146:IZS146"/>
    <mergeCell ref="IZU146:IZW146"/>
    <mergeCell ref="IZY146:JAA146"/>
    <mergeCell ref="IYO146:IYQ146"/>
    <mergeCell ref="IYS146:IYU146"/>
    <mergeCell ref="IYW146:IYY146"/>
    <mergeCell ref="IZA146:IZC146"/>
    <mergeCell ref="IZE146:IZG146"/>
    <mergeCell ref="IXU146:IXW146"/>
    <mergeCell ref="IXY146:IYA146"/>
    <mergeCell ref="IYC146:IYE146"/>
    <mergeCell ref="IYG146:IYI146"/>
    <mergeCell ref="IYK146:IYM146"/>
    <mergeCell ref="IXA146:IXC146"/>
    <mergeCell ref="IXE146:IXG146"/>
    <mergeCell ref="IXI146:IXK146"/>
    <mergeCell ref="IXM146:IXO146"/>
    <mergeCell ref="IXQ146:IXS146"/>
    <mergeCell ref="JCK146:JCM146"/>
    <mergeCell ref="JCO146:JCQ146"/>
    <mergeCell ref="JCS146:JCU146"/>
    <mergeCell ref="JCW146:JCY146"/>
    <mergeCell ref="JDA146:JDC146"/>
    <mergeCell ref="JBQ146:JBS146"/>
    <mergeCell ref="JBU146:JBW146"/>
    <mergeCell ref="JBY146:JCA146"/>
    <mergeCell ref="JCC146:JCE146"/>
    <mergeCell ref="JCG146:JCI146"/>
    <mergeCell ref="JAW146:JAY146"/>
    <mergeCell ref="JBA146:JBC146"/>
    <mergeCell ref="JBE146:JBG146"/>
    <mergeCell ref="JBI146:JBK146"/>
    <mergeCell ref="JBM146:JBO146"/>
    <mergeCell ref="JAC146:JAE146"/>
    <mergeCell ref="JAG146:JAI146"/>
    <mergeCell ref="JAK146:JAM146"/>
    <mergeCell ref="JAO146:JAQ146"/>
    <mergeCell ref="JAS146:JAU146"/>
    <mergeCell ref="JFM146:JFO146"/>
    <mergeCell ref="JFQ146:JFS146"/>
    <mergeCell ref="JFU146:JFW146"/>
    <mergeCell ref="JFY146:JGA146"/>
    <mergeCell ref="JGC146:JGE146"/>
    <mergeCell ref="JES146:JEU146"/>
    <mergeCell ref="JEW146:JEY146"/>
    <mergeCell ref="JFA146:JFC146"/>
    <mergeCell ref="JFE146:JFG146"/>
    <mergeCell ref="JFI146:JFK146"/>
    <mergeCell ref="JDY146:JEA146"/>
    <mergeCell ref="JEC146:JEE146"/>
    <mergeCell ref="JEG146:JEI146"/>
    <mergeCell ref="JEK146:JEM146"/>
    <mergeCell ref="JEO146:JEQ146"/>
    <mergeCell ref="JDE146:JDG146"/>
    <mergeCell ref="JDI146:JDK146"/>
    <mergeCell ref="JDM146:JDO146"/>
    <mergeCell ref="JDQ146:JDS146"/>
    <mergeCell ref="JDU146:JDW146"/>
    <mergeCell ref="JIO146:JIQ146"/>
    <mergeCell ref="JIS146:JIU146"/>
    <mergeCell ref="JIW146:JIY146"/>
    <mergeCell ref="JJA146:JJC146"/>
    <mergeCell ref="JJE146:JJG146"/>
    <mergeCell ref="JHU146:JHW146"/>
    <mergeCell ref="JHY146:JIA146"/>
    <mergeCell ref="JIC146:JIE146"/>
    <mergeCell ref="JIG146:JII146"/>
    <mergeCell ref="JIK146:JIM146"/>
    <mergeCell ref="JHA146:JHC146"/>
    <mergeCell ref="JHE146:JHG146"/>
    <mergeCell ref="JHI146:JHK146"/>
    <mergeCell ref="JHM146:JHO146"/>
    <mergeCell ref="JHQ146:JHS146"/>
    <mergeCell ref="JGG146:JGI146"/>
    <mergeCell ref="JGK146:JGM146"/>
    <mergeCell ref="JGO146:JGQ146"/>
    <mergeCell ref="JGS146:JGU146"/>
    <mergeCell ref="JGW146:JGY146"/>
    <mergeCell ref="JLQ146:JLS146"/>
    <mergeCell ref="JLU146:JLW146"/>
    <mergeCell ref="JLY146:JMA146"/>
    <mergeCell ref="JMC146:JME146"/>
    <mergeCell ref="JMG146:JMI146"/>
    <mergeCell ref="JKW146:JKY146"/>
    <mergeCell ref="JLA146:JLC146"/>
    <mergeCell ref="JLE146:JLG146"/>
    <mergeCell ref="JLI146:JLK146"/>
    <mergeCell ref="JLM146:JLO146"/>
    <mergeCell ref="JKC146:JKE146"/>
    <mergeCell ref="JKG146:JKI146"/>
    <mergeCell ref="JKK146:JKM146"/>
    <mergeCell ref="JKO146:JKQ146"/>
    <mergeCell ref="JKS146:JKU146"/>
    <mergeCell ref="JJI146:JJK146"/>
    <mergeCell ref="JJM146:JJO146"/>
    <mergeCell ref="JJQ146:JJS146"/>
    <mergeCell ref="JJU146:JJW146"/>
    <mergeCell ref="JJY146:JKA146"/>
    <mergeCell ref="JOS146:JOU146"/>
    <mergeCell ref="JOW146:JOY146"/>
    <mergeCell ref="JPA146:JPC146"/>
    <mergeCell ref="JPE146:JPG146"/>
    <mergeCell ref="JPI146:JPK146"/>
    <mergeCell ref="JNY146:JOA146"/>
    <mergeCell ref="JOC146:JOE146"/>
    <mergeCell ref="JOG146:JOI146"/>
    <mergeCell ref="JOK146:JOM146"/>
    <mergeCell ref="JOO146:JOQ146"/>
    <mergeCell ref="JNE146:JNG146"/>
    <mergeCell ref="JNI146:JNK146"/>
    <mergeCell ref="JNM146:JNO146"/>
    <mergeCell ref="JNQ146:JNS146"/>
    <mergeCell ref="JNU146:JNW146"/>
    <mergeCell ref="JMK146:JMM146"/>
    <mergeCell ref="JMO146:JMQ146"/>
    <mergeCell ref="JMS146:JMU146"/>
    <mergeCell ref="JMW146:JMY146"/>
    <mergeCell ref="JNA146:JNC146"/>
    <mergeCell ref="JRU146:JRW146"/>
    <mergeCell ref="JRY146:JSA146"/>
    <mergeCell ref="JSC146:JSE146"/>
    <mergeCell ref="JSG146:JSI146"/>
    <mergeCell ref="JSK146:JSM146"/>
    <mergeCell ref="JRA146:JRC146"/>
    <mergeCell ref="JRE146:JRG146"/>
    <mergeCell ref="JRI146:JRK146"/>
    <mergeCell ref="JRM146:JRO146"/>
    <mergeCell ref="JRQ146:JRS146"/>
    <mergeCell ref="JQG146:JQI146"/>
    <mergeCell ref="JQK146:JQM146"/>
    <mergeCell ref="JQO146:JQQ146"/>
    <mergeCell ref="JQS146:JQU146"/>
    <mergeCell ref="JQW146:JQY146"/>
    <mergeCell ref="JPM146:JPO146"/>
    <mergeCell ref="JPQ146:JPS146"/>
    <mergeCell ref="JPU146:JPW146"/>
    <mergeCell ref="JPY146:JQA146"/>
    <mergeCell ref="JQC146:JQE146"/>
    <mergeCell ref="JUW146:JUY146"/>
    <mergeCell ref="JVA146:JVC146"/>
    <mergeCell ref="JVE146:JVG146"/>
    <mergeCell ref="JVI146:JVK146"/>
    <mergeCell ref="JVM146:JVO146"/>
    <mergeCell ref="JUC146:JUE146"/>
    <mergeCell ref="JUG146:JUI146"/>
    <mergeCell ref="JUK146:JUM146"/>
    <mergeCell ref="JUO146:JUQ146"/>
    <mergeCell ref="JUS146:JUU146"/>
    <mergeCell ref="JTI146:JTK146"/>
    <mergeCell ref="JTM146:JTO146"/>
    <mergeCell ref="JTQ146:JTS146"/>
    <mergeCell ref="JTU146:JTW146"/>
    <mergeCell ref="JTY146:JUA146"/>
    <mergeCell ref="JSO146:JSQ146"/>
    <mergeCell ref="JSS146:JSU146"/>
    <mergeCell ref="JSW146:JSY146"/>
    <mergeCell ref="JTA146:JTC146"/>
    <mergeCell ref="JTE146:JTG146"/>
    <mergeCell ref="JXY146:JYA146"/>
    <mergeCell ref="JYC146:JYE146"/>
    <mergeCell ref="JYG146:JYI146"/>
    <mergeCell ref="JYK146:JYM146"/>
    <mergeCell ref="JYO146:JYQ146"/>
    <mergeCell ref="JXE146:JXG146"/>
    <mergeCell ref="JXI146:JXK146"/>
    <mergeCell ref="JXM146:JXO146"/>
    <mergeCell ref="JXQ146:JXS146"/>
    <mergeCell ref="JXU146:JXW146"/>
    <mergeCell ref="JWK146:JWM146"/>
    <mergeCell ref="JWO146:JWQ146"/>
    <mergeCell ref="JWS146:JWU146"/>
    <mergeCell ref="JWW146:JWY146"/>
    <mergeCell ref="JXA146:JXC146"/>
    <mergeCell ref="JVQ146:JVS146"/>
    <mergeCell ref="JVU146:JVW146"/>
    <mergeCell ref="JVY146:JWA146"/>
    <mergeCell ref="JWC146:JWE146"/>
    <mergeCell ref="JWG146:JWI146"/>
    <mergeCell ref="KBA146:KBC146"/>
    <mergeCell ref="KBE146:KBG146"/>
    <mergeCell ref="KBI146:KBK146"/>
    <mergeCell ref="KBM146:KBO146"/>
    <mergeCell ref="KBQ146:KBS146"/>
    <mergeCell ref="KAG146:KAI146"/>
    <mergeCell ref="KAK146:KAM146"/>
    <mergeCell ref="KAO146:KAQ146"/>
    <mergeCell ref="KAS146:KAU146"/>
    <mergeCell ref="KAW146:KAY146"/>
    <mergeCell ref="JZM146:JZO146"/>
    <mergeCell ref="JZQ146:JZS146"/>
    <mergeCell ref="JZU146:JZW146"/>
    <mergeCell ref="JZY146:KAA146"/>
    <mergeCell ref="KAC146:KAE146"/>
    <mergeCell ref="JYS146:JYU146"/>
    <mergeCell ref="JYW146:JYY146"/>
    <mergeCell ref="JZA146:JZC146"/>
    <mergeCell ref="JZE146:JZG146"/>
    <mergeCell ref="JZI146:JZK146"/>
    <mergeCell ref="KEC146:KEE146"/>
    <mergeCell ref="KEG146:KEI146"/>
    <mergeCell ref="KEK146:KEM146"/>
    <mergeCell ref="KEO146:KEQ146"/>
    <mergeCell ref="KES146:KEU146"/>
    <mergeCell ref="KDI146:KDK146"/>
    <mergeCell ref="KDM146:KDO146"/>
    <mergeCell ref="KDQ146:KDS146"/>
    <mergeCell ref="KDU146:KDW146"/>
    <mergeCell ref="KDY146:KEA146"/>
    <mergeCell ref="KCO146:KCQ146"/>
    <mergeCell ref="KCS146:KCU146"/>
    <mergeCell ref="KCW146:KCY146"/>
    <mergeCell ref="KDA146:KDC146"/>
    <mergeCell ref="KDE146:KDG146"/>
    <mergeCell ref="KBU146:KBW146"/>
    <mergeCell ref="KBY146:KCA146"/>
    <mergeCell ref="KCC146:KCE146"/>
    <mergeCell ref="KCG146:KCI146"/>
    <mergeCell ref="KCK146:KCM146"/>
    <mergeCell ref="KHE146:KHG146"/>
    <mergeCell ref="KHI146:KHK146"/>
    <mergeCell ref="KHM146:KHO146"/>
    <mergeCell ref="KHQ146:KHS146"/>
    <mergeCell ref="KHU146:KHW146"/>
    <mergeCell ref="KGK146:KGM146"/>
    <mergeCell ref="KGO146:KGQ146"/>
    <mergeCell ref="KGS146:KGU146"/>
    <mergeCell ref="KGW146:KGY146"/>
    <mergeCell ref="KHA146:KHC146"/>
    <mergeCell ref="KFQ146:KFS146"/>
    <mergeCell ref="KFU146:KFW146"/>
    <mergeCell ref="KFY146:KGA146"/>
    <mergeCell ref="KGC146:KGE146"/>
    <mergeCell ref="KGG146:KGI146"/>
    <mergeCell ref="KEW146:KEY146"/>
    <mergeCell ref="KFA146:KFC146"/>
    <mergeCell ref="KFE146:KFG146"/>
    <mergeCell ref="KFI146:KFK146"/>
    <mergeCell ref="KFM146:KFO146"/>
    <mergeCell ref="KKG146:KKI146"/>
    <mergeCell ref="KKK146:KKM146"/>
    <mergeCell ref="KKO146:KKQ146"/>
    <mergeCell ref="KKS146:KKU146"/>
    <mergeCell ref="KKW146:KKY146"/>
    <mergeCell ref="KJM146:KJO146"/>
    <mergeCell ref="KJQ146:KJS146"/>
    <mergeCell ref="KJU146:KJW146"/>
    <mergeCell ref="KJY146:KKA146"/>
    <mergeCell ref="KKC146:KKE146"/>
    <mergeCell ref="KIS146:KIU146"/>
    <mergeCell ref="KIW146:KIY146"/>
    <mergeCell ref="KJA146:KJC146"/>
    <mergeCell ref="KJE146:KJG146"/>
    <mergeCell ref="KJI146:KJK146"/>
    <mergeCell ref="KHY146:KIA146"/>
    <mergeCell ref="KIC146:KIE146"/>
    <mergeCell ref="KIG146:KII146"/>
    <mergeCell ref="KIK146:KIM146"/>
    <mergeCell ref="KIO146:KIQ146"/>
    <mergeCell ref="KNI146:KNK146"/>
    <mergeCell ref="KNM146:KNO146"/>
    <mergeCell ref="KNQ146:KNS146"/>
    <mergeCell ref="KNU146:KNW146"/>
    <mergeCell ref="KNY146:KOA146"/>
    <mergeCell ref="KMO146:KMQ146"/>
    <mergeCell ref="KMS146:KMU146"/>
    <mergeCell ref="KMW146:KMY146"/>
    <mergeCell ref="KNA146:KNC146"/>
    <mergeCell ref="KNE146:KNG146"/>
    <mergeCell ref="KLU146:KLW146"/>
    <mergeCell ref="KLY146:KMA146"/>
    <mergeCell ref="KMC146:KME146"/>
    <mergeCell ref="KMG146:KMI146"/>
    <mergeCell ref="KMK146:KMM146"/>
    <mergeCell ref="KLA146:KLC146"/>
    <mergeCell ref="KLE146:KLG146"/>
    <mergeCell ref="KLI146:KLK146"/>
    <mergeCell ref="KLM146:KLO146"/>
    <mergeCell ref="KLQ146:KLS146"/>
    <mergeCell ref="KQK146:KQM146"/>
    <mergeCell ref="KQO146:KQQ146"/>
    <mergeCell ref="KQS146:KQU146"/>
    <mergeCell ref="KQW146:KQY146"/>
    <mergeCell ref="KRA146:KRC146"/>
    <mergeCell ref="KPQ146:KPS146"/>
    <mergeCell ref="KPU146:KPW146"/>
    <mergeCell ref="KPY146:KQA146"/>
    <mergeCell ref="KQC146:KQE146"/>
    <mergeCell ref="KQG146:KQI146"/>
    <mergeCell ref="KOW146:KOY146"/>
    <mergeCell ref="KPA146:KPC146"/>
    <mergeCell ref="KPE146:KPG146"/>
    <mergeCell ref="KPI146:KPK146"/>
    <mergeCell ref="KPM146:KPO146"/>
    <mergeCell ref="KOC146:KOE146"/>
    <mergeCell ref="KOG146:KOI146"/>
    <mergeCell ref="KOK146:KOM146"/>
    <mergeCell ref="KOO146:KOQ146"/>
    <mergeCell ref="KOS146:KOU146"/>
    <mergeCell ref="KTM146:KTO146"/>
    <mergeCell ref="KTQ146:KTS146"/>
    <mergeCell ref="KTU146:KTW146"/>
    <mergeCell ref="KTY146:KUA146"/>
    <mergeCell ref="KUC146:KUE146"/>
    <mergeCell ref="KSS146:KSU146"/>
    <mergeCell ref="KSW146:KSY146"/>
    <mergeCell ref="KTA146:KTC146"/>
    <mergeCell ref="KTE146:KTG146"/>
    <mergeCell ref="KTI146:KTK146"/>
    <mergeCell ref="KRY146:KSA146"/>
    <mergeCell ref="KSC146:KSE146"/>
    <mergeCell ref="KSG146:KSI146"/>
    <mergeCell ref="KSK146:KSM146"/>
    <mergeCell ref="KSO146:KSQ146"/>
    <mergeCell ref="KRE146:KRG146"/>
    <mergeCell ref="KRI146:KRK146"/>
    <mergeCell ref="KRM146:KRO146"/>
    <mergeCell ref="KRQ146:KRS146"/>
    <mergeCell ref="KRU146:KRW146"/>
    <mergeCell ref="KWO146:KWQ146"/>
    <mergeCell ref="KWS146:KWU146"/>
    <mergeCell ref="KWW146:KWY146"/>
    <mergeCell ref="KXA146:KXC146"/>
    <mergeCell ref="KXE146:KXG146"/>
    <mergeCell ref="KVU146:KVW146"/>
    <mergeCell ref="KVY146:KWA146"/>
    <mergeCell ref="KWC146:KWE146"/>
    <mergeCell ref="KWG146:KWI146"/>
    <mergeCell ref="KWK146:KWM146"/>
    <mergeCell ref="KVA146:KVC146"/>
    <mergeCell ref="KVE146:KVG146"/>
    <mergeCell ref="KVI146:KVK146"/>
    <mergeCell ref="KVM146:KVO146"/>
    <mergeCell ref="KVQ146:KVS146"/>
    <mergeCell ref="KUG146:KUI146"/>
    <mergeCell ref="KUK146:KUM146"/>
    <mergeCell ref="KUO146:KUQ146"/>
    <mergeCell ref="KUS146:KUU146"/>
    <mergeCell ref="KUW146:KUY146"/>
    <mergeCell ref="KZQ146:KZS146"/>
    <mergeCell ref="KZU146:KZW146"/>
    <mergeCell ref="KZY146:LAA146"/>
    <mergeCell ref="LAC146:LAE146"/>
    <mergeCell ref="LAG146:LAI146"/>
    <mergeCell ref="KYW146:KYY146"/>
    <mergeCell ref="KZA146:KZC146"/>
    <mergeCell ref="KZE146:KZG146"/>
    <mergeCell ref="KZI146:KZK146"/>
    <mergeCell ref="KZM146:KZO146"/>
    <mergeCell ref="KYC146:KYE146"/>
    <mergeCell ref="KYG146:KYI146"/>
    <mergeCell ref="KYK146:KYM146"/>
    <mergeCell ref="KYO146:KYQ146"/>
    <mergeCell ref="KYS146:KYU146"/>
    <mergeCell ref="KXI146:KXK146"/>
    <mergeCell ref="KXM146:KXO146"/>
    <mergeCell ref="KXQ146:KXS146"/>
    <mergeCell ref="KXU146:KXW146"/>
    <mergeCell ref="KXY146:KYA146"/>
    <mergeCell ref="LCS146:LCU146"/>
    <mergeCell ref="LCW146:LCY146"/>
    <mergeCell ref="LDA146:LDC146"/>
    <mergeCell ref="LDE146:LDG146"/>
    <mergeCell ref="LDI146:LDK146"/>
    <mergeCell ref="LBY146:LCA146"/>
    <mergeCell ref="LCC146:LCE146"/>
    <mergeCell ref="LCG146:LCI146"/>
    <mergeCell ref="LCK146:LCM146"/>
    <mergeCell ref="LCO146:LCQ146"/>
    <mergeCell ref="LBE146:LBG146"/>
    <mergeCell ref="LBI146:LBK146"/>
    <mergeCell ref="LBM146:LBO146"/>
    <mergeCell ref="LBQ146:LBS146"/>
    <mergeCell ref="LBU146:LBW146"/>
    <mergeCell ref="LAK146:LAM146"/>
    <mergeCell ref="LAO146:LAQ146"/>
    <mergeCell ref="LAS146:LAU146"/>
    <mergeCell ref="LAW146:LAY146"/>
    <mergeCell ref="LBA146:LBC146"/>
    <mergeCell ref="LFU146:LFW146"/>
    <mergeCell ref="LFY146:LGA146"/>
    <mergeCell ref="LGC146:LGE146"/>
    <mergeCell ref="LGG146:LGI146"/>
    <mergeCell ref="LGK146:LGM146"/>
    <mergeCell ref="LFA146:LFC146"/>
    <mergeCell ref="LFE146:LFG146"/>
    <mergeCell ref="LFI146:LFK146"/>
    <mergeCell ref="LFM146:LFO146"/>
    <mergeCell ref="LFQ146:LFS146"/>
    <mergeCell ref="LEG146:LEI146"/>
    <mergeCell ref="LEK146:LEM146"/>
    <mergeCell ref="LEO146:LEQ146"/>
    <mergeCell ref="LES146:LEU146"/>
    <mergeCell ref="LEW146:LEY146"/>
    <mergeCell ref="LDM146:LDO146"/>
    <mergeCell ref="LDQ146:LDS146"/>
    <mergeCell ref="LDU146:LDW146"/>
    <mergeCell ref="LDY146:LEA146"/>
    <mergeCell ref="LEC146:LEE146"/>
    <mergeCell ref="LIW146:LIY146"/>
    <mergeCell ref="LJA146:LJC146"/>
    <mergeCell ref="LJE146:LJG146"/>
    <mergeCell ref="LJI146:LJK146"/>
    <mergeCell ref="LJM146:LJO146"/>
    <mergeCell ref="LIC146:LIE146"/>
    <mergeCell ref="LIG146:LII146"/>
    <mergeCell ref="LIK146:LIM146"/>
    <mergeCell ref="LIO146:LIQ146"/>
    <mergeCell ref="LIS146:LIU146"/>
    <mergeCell ref="LHI146:LHK146"/>
    <mergeCell ref="LHM146:LHO146"/>
    <mergeCell ref="LHQ146:LHS146"/>
    <mergeCell ref="LHU146:LHW146"/>
    <mergeCell ref="LHY146:LIA146"/>
    <mergeCell ref="LGO146:LGQ146"/>
    <mergeCell ref="LGS146:LGU146"/>
    <mergeCell ref="LGW146:LGY146"/>
    <mergeCell ref="LHA146:LHC146"/>
    <mergeCell ref="LHE146:LHG146"/>
    <mergeCell ref="LLY146:LMA146"/>
    <mergeCell ref="LMC146:LME146"/>
    <mergeCell ref="LMG146:LMI146"/>
    <mergeCell ref="LMK146:LMM146"/>
    <mergeCell ref="LMO146:LMQ146"/>
    <mergeCell ref="LLE146:LLG146"/>
    <mergeCell ref="LLI146:LLK146"/>
    <mergeCell ref="LLM146:LLO146"/>
    <mergeCell ref="LLQ146:LLS146"/>
    <mergeCell ref="LLU146:LLW146"/>
    <mergeCell ref="LKK146:LKM146"/>
    <mergeCell ref="LKO146:LKQ146"/>
    <mergeCell ref="LKS146:LKU146"/>
    <mergeCell ref="LKW146:LKY146"/>
    <mergeCell ref="LLA146:LLC146"/>
    <mergeCell ref="LJQ146:LJS146"/>
    <mergeCell ref="LJU146:LJW146"/>
    <mergeCell ref="LJY146:LKA146"/>
    <mergeCell ref="LKC146:LKE146"/>
    <mergeCell ref="LKG146:LKI146"/>
    <mergeCell ref="LPA146:LPC146"/>
    <mergeCell ref="LPE146:LPG146"/>
    <mergeCell ref="LPI146:LPK146"/>
    <mergeCell ref="LPM146:LPO146"/>
    <mergeCell ref="LPQ146:LPS146"/>
    <mergeCell ref="LOG146:LOI146"/>
    <mergeCell ref="LOK146:LOM146"/>
    <mergeCell ref="LOO146:LOQ146"/>
    <mergeCell ref="LOS146:LOU146"/>
    <mergeCell ref="LOW146:LOY146"/>
    <mergeCell ref="LNM146:LNO146"/>
    <mergeCell ref="LNQ146:LNS146"/>
    <mergeCell ref="LNU146:LNW146"/>
    <mergeCell ref="LNY146:LOA146"/>
    <mergeCell ref="LOC146:LOE146"/>
    <mergeCell ref="LMS146:LMU146"/>
    <mergeCell ref="LMW146:LMY146"/>
    <mergeCell ref="LNA146:LNC146"/>
    <mergeCell ref="LNE146:LNG146"/>
    <mergeCell ref="LNI146:LNK146"/>
    <mergeCell ref="LSC146:LSE146"/>
    <mergeCell ref="LSG146:LSI146"/>
    <mergeCell ref="LSK146:LSM146"/>
    <mergeCell ref="LSO146:LSQ146"/>
    <mergeCell ref="LSS146:LSU146"/>
    <mergeCell ref="LRI146:LRK146"/>
    <mergeCell ref="LRM146:LRO146"/>
    <mergeCell ref="LRQ146:LRS146"/>
    <mergeCell ref="LRU146:LRW146"/>
    <mergeCell ref="LRY146:LSA146"/>
    <mergeCell ref="LQO146:LQQ146"/>
    <mergeCell ref="LQS146:LQU146"/>
    <mergeCell ref="LQW146:LQY146"/>
    <mergeCell ref="LRA146:LRC146"/>
    <mergeCell ref="LRE146:LRG146"/>
    <mergeCell ref="LPU146:LPW146"/>
    <mergeCell ref="LPY146:LQA146"/>
    <mergeCell ref="LQC146:LQE146"/>
    <mergeCell ref="LQG146:LQI146"/>
    <mergeCell ref="LQK146:LQM146"/>
    <mergeCell ref="LVE146:LVG146"/>
    <mergeCell ref="LVI146:LVK146"/>
    <mergeCell ref="LVM146:LVO146"/>
    <mergeCell ref="LVQ146:LVS146"/>
    <mergeCell ref="LVU146:LVW146"/>
    <mergeCell ref="LUK146:LUM146"/>
    <mergeCell ref="LUO146:LUQ146"/>
    <mergeCell ref="LUS146:LUU146"/>
    <mergeCell ref="LUW146:LUY146"/>
    <mergeCell ref="LVA146:LVC146"/>
    <mergeCell ref="LTQ146:LTS146"/>
    <mergeCell ref="LTU146:LTW146"/>
    <mergeCell ref="LTY146:LUA146"/>
    <mergeCell ref="LUC146:LUE146"/>
    <mergeCell ref="LUG146:LUI146"/>
    <mergeCell ref="LSW146:LSY146"/>
    <mergeCell ref="LTA146:LTC146"/>
    <mergeCell ref="LTE146:LTG146"/>
    <mergeCell ref="LTI146:LTK146"/>
    <mergeCell ref="LTM146:LTO146"/>
    <mergeCell ref="LYG146:LYI146"/>
    <mergeCell ref="LYK146:LYM146"/>
    <mergeCell ref="LYO146:LYQ146"/>
    <mergeCell ref="LYS146:LYU146"/>
    <mergeCell ref="LYW146:LYY146"/>
    <mergeCell ref="LXM146:LXO146"/>
    <mergeCell ref="LXQ146:LXS146"/>
    <mergeCell ref="LXU146:LXW146"/>
    <mergeCell ref="LXY146:LYA146"/>
    <mergeCell ref="LYC146:LYE146"/>
    <mergeCell ref="LWS146:LWU146"/>
    <mergeCell ref="LWW146:LWY146"/>
    <mergeCell ref="LXA146:LXC146"/>
    <mergeCell ref="LXE146:LXG146"/>
    <mergeCell ref="LXI146:LXK146"/>
    <mergeCell ref="LVY146:LWA146"/>
    <mergeCell ref="LWC146:LWE146"/>
    <mergeCell ref="LWG146:LWI146"/>
    <mergeCell ref="LWK146:LWM146"/>
    <mergeCell ref="LWO146:LWQ146"/>
    <mergeCell ref="MBI146:MBK146"/>
    <mergeCell ref="MBM146:MBO146"/>
    <mergeCell ref="MBQ146:MBS146"/>
    <mergeCell ref="MBU146:MBW146"/>
    <mergeCell ref="MBY146:MCA146"/>
    <mergeCell ref="MAO146:MAQ146"/>
    <mergeCell ref="MAS146:MAU146"/>
    <mergeCell ref="MAW146:MAY146"/>
    <mergeCell ref="MBA146:MBC146"/>
    <mergeCell ref="MBE146:MBG146"/>
    <mergeCell ref="LZU146:LZW146"/>
    <mergeCell ref="LZY146:MAA146"/>
    <mergeCell ref="MAC146:MAE146"/>
    <mergeCell ref="MAG146:MAI146"/>
    <mergeCell ref="MAK146:MAM146"/>
    <mergeCell ref="LZA146:LZC146"/>
    <mergeCell ref="LZE146:LZG146"/>
    <mergeCell ref="LZI146:LZK146"/>
    <mergeCell ref="LZM146:LZO146"/>
    <mergeCell ref="LZQ146:LZS146"/>
    <mergeCell ref="MEK146:MEM146"/>
    <mergeCell ref="MEO146:MEQ146"/>
    <mergeCell ref="MES146:MEU146"/>
    <mergeCell ref="MEW146:MEY146"/>
    <mergeCell ref="MFA146:MFC146"/>
    <mergeCell ref="MDQ146:MDS146"/>
    <mergeCell ref="MDU146:MDW146"/>
    <mergeCell ref="MDY146:MEA146"/>
    <mergeCell ref="MEC146:MEE146"/>
    <mergeCell ref="MEG146:MEI146"/>
    <mergeCell ref="MCW146:MCY146"/>
    <mergeCell ref="MDA146:MDC146"/>
    <mergeCell ref="MDE146:MDG146"/>
    <mergeCell ref="MDI146:MDK146"/>
    <mergeCell ref="MDM146:MDO146"/>
    <mergeCell ref="MCC146:MCE146"/>
    <mergeCell ref="MCG146:MCI146"/>
    <mergeCell ref="MCK146:MCM146"/>
    <mergeCell ref="MCO146:MCQ146"/>
    <mergeCell ref="MCS146:MCU146"/>
    <mergeCell ref="MHM146:MHO146"/>
    <mergeCell ref="MHQ146:MHS146"/>
    <mergeCell ref="MHU146:MHW146"/>
    <mergeCell ref="MHY146:MIA146"/>
    <mergeCell ref="MIC146:MIE146"/>
    <mergeCell ref="MGS146:MGU146"/>
    <mergeCell ref="MGW146:MGY146"/>
    <mergeCell ref="MHA146:MHC146"/>
    <mergeCell ref="MHE146:MHG146"/>
    <mergeCell ref="MHI146:MHK146"/>
    <mergeCell ref="MFY146:MGA146"/>
    <mergeCell ref="MGC146:MGE146"/>
    <mergeCell ref="MGG146:MGI146"/>
    <mergeCell ref="MGK146:MGM146"/>
    <mergeCell ref="MGO146:MGQ146"/>
    <mergeCell ref="MFE146:MFG146"/>
    <mergeCell ref="MFI146:MFK146"/>
    <mergeCell ref="MFM146:MFO146"/>
    <mergeCell ref="MFQ146:MFS146"/>
    <mergeCell ref="MFU146:MFW146"/>
    <mergeCell ref="MKO146:MKQ146"/>
    <mergeCell ref="MKS146:MKU146"/>
    <mergeCell ref="MKW146:MKY146"/>
    <mergeCell ref="MLA146:MLC146"/>
    <mergeCell ref="MLE146:MLG146"/>
    <mergeCell ref="MJU146:MJW146"/>
    <mergeCell ref="MJY146:MKA146"/>
    <mergeCell ref="MKC146:MKE146"/>
    <mergeCell ref="MKG146:MKI146"/>
    <mergeCell ref="MKK146:MKM146"/>
    <mergeCell ref="MJA146:MJC146"/>
    <mergeCell ref="MJE146:MJG146"/>
    <mergeCell ref="MJI146:MJK146"/>
    <mergeCell ref="MJM146:MJO146"/>
    <mergeCell ref="MJQ146:MJS146"/>
    <mergeCell ref="MIG146:MII146"/>
    <mergeCell ref="MIK146:MIM146"/>
    <mergeCell ref="MIO146:MIQ146"/>
    <mergeCell ref="MIS146:MIU146"/>
    <mergeCell ref="MIW146:MIY146"/>
    <mergeCell ref="MNQ146:MNS146"/>
    <mergeCell ref="MNU146:MNW146"/>
    <mergeCell ref="MNY146:MOA146"/>
    <mergeCell ref="MOC146:MOE146"/>
    <mergeCell ref="MOG146:MOI146"/>
    <mergeCell ref="MMW146:MMY146"/>
    <mergeCell ref="MNA146:MNC146"/>
    <mergeCell ref="MNE146:MNG146"/>
    <mergeCell ref="MNI146:MNK146"/>
    <mergeCell ref="MNM146:MNO146"/>
    <mergeCell ref="MMC146:MME146"/>
    <mergeCell ref="MMG146:MMI146"/>
    <mergeCell ref="MMK146:MMM146"/>
    <mergeCell ref="MMO146:MMQ146"/>
    <mergeCell ref="MMS146:MMU146"/>
    <mergeCell ref="MLI146:MLK146"/>
    <mergeCell ref="MLM146:MLO146"/>
    <mergeCell ref="MLQ146:MLS146"/>
    <mergeCell ref="MLU146:MLW146"/>
    <mergeCell ref="MLY146:MMA146"/>
    <mergeCell ref="MQS146:MQU146"/>
    <mergeCell ref="MQW146:MQY146"/>
    <mergeCell ref="MRA146:MRC146"/>
    <mergeCell ref="MRE146:MRG146"/>
    <mergeCell ref="MRI146:MRK146"/>
    <mergeCell ref="MPY146:MQA146"/>
    <mergeCell ref="MQC146:MQE146"/>
    <mergeCell ref="MQG146:MQI146"/>
    <mergeCell ref="MQK146:MQM146"/>
    <mergeCell ref="MQO146:MQQ146"/>
    <mergeCell ref="MPE146:MPG146"/>
    <mergeCell ref="MPI146:MPK146"/>
    <mergeCell ref="MPM146:MPO146"/>
    <mergeCell ref="MPQ146:MPS146"/>
    <mergeCell ref="MPU146:MPW146"/>
    <mergeCell ref="MOK146:MOM146"/>
    <mergeCell ref="MOO146:MOQ146"/>
    <mergeCell ref="MOS146:MOU146"/>
    <mergeCell ref="MOW146:MOY146"/>
    <mergeCell ref="MPA146:MPC146"/>
    <mergeCell ref="MTU146:MTW146"/>
    <mergeCell ref="MTY146:MUA146"/>
    <mergeCell ref="MUC146:MUE146"/>
    <mergeCell ref="MUG146:MUI146"/>
    <mergeCell ref="MUK146:MUM146"/>
    <mergeCell ref="MTA146:MTC146"/>
    <mergeCell ref="MTE146:MTG146"/>
    <mergeCell ref="MTI146:MTK146"/>
    <mergeCell ref="MTM146:MTO146"/>
    <mergeCell ref="MTQ146:MTS146"/>
    <mergeCell ref="MSG146:MSI146"/>
    <mergeCell ref="MSK146:MSM146"/>
    <mergeCell ref="MSO146:MSQ146"/>
    <mergeCell ref="MSS146:MSU146"/>
    <mergeCell ref="MSW146:MSY146"/>
    <mergeCell ref="MRM146:MRO146"/>
    <mergeCell ref="MRQ146:MRS146"/>
    <mergeCell ref="MRU146:MRW146"/>
    <mergeCell ref="MRY146:MSA146"/>
    <mergeCell ref="MSC146:MSE146"/>
    <mergeCell ref="MWW146:MWY146"/>
    <mergeCell ref="MXA146:MXC146"/>
    <mergeCell ref="MXE146:MXG146"/>
    <mergeCell ref="MXI146:MXK146"/>
    <mergeCell ref="MXM146:MXO146"/>
    <mergeCell ref="MWC146:MWE146"/>
    <mergeCell ref="MWG146:MWI146"/>
    <mergeCell ref="MWK146:MWM146"/>
    <mergeCell ref="MWO146:MWQ146"/>
    <mergeCell ref="MWS146:MWU146"/>
    <mergeCell ref="MVI146:MVK146"/>
    <mergeCell ref="MVM146:MVO146"/>
    <mergeCell ref="MVQ146:MVS146"/>
    <mergeCell ref="MVU146:MVW146"/>
    <mergeCell ref="MVY146:MWA146"/>
    <mergeCell ref="MUO146:MUQ146"/>
    <mergeCell ref="MUS146:MUU146"/>
    <mergeCell ref="MUW146:MUY146"/>
    <mergeCell ref="MVA146:MVC146"/>
    <mergeCell ref="MVE146:MVG146"/>
    <mergeCell ref="MZY146:NAA146"/>
    <mergeCell ref="NAC146:NAE146"/>
    <mergeCell ref="NAG146:NAI146"/>
    <mergeCell ref="NAK146:NAM146"/>
    <mergeCell ref="NAO146:NAQ146"/>
    <mergeCell ref="MZE146:MZG146"/>
    <mergeCell ref="MZI146:MZK146"/>
    <mergeCell ref="MZM146:MZO146"/>
    <mergeCell ref="MZQ146:MZS146"/>
    <mergeCell ref="MZU146:MZW146"/>
    <mergeCell ref="MYK146:MYM146"/>
    <mergeCell ref="MYO146:MYQ146"/>
    <mergeCell ref="MYS146:MYU146"/>
    <mergeCell ref="MYW146:MYY146"/>
    <mergeCell ref="MZA146:MZC146"/>
    <mergeCell ref="MXQ146:MXS146"/>
    <mergeCell ref="MXU146:MXW146"/>
    <mergeCell ref="MXY146:MYA146"/>
    <mergeCell ref="MYC146:MYE146"/>
    <mergeCell ref="MYG146:MYI146"/>
    <mergeCell ref="NDA146:NDC146"/>
    <mergeCell ref="NDE146:NDG146"/>
    <mergeCell ref="NDI146:NDK146"/>
    <mergeCell ref="NDM146:NDO146"/>
    <mergeCell ref="NDQ146:NDS146"/>
    <mergeCell ref="NCG146:NCI146"/>
    <mergeCell ref="NCK146:NCM146"/>
    <mergeCell ref="NCO146:NCQ146"/>
    <mergeCell ref="NCS146:NCU146"/>
    <mergeCell ref="NCW146:NCY146"/>
    <mergeCell ref="NBM146:NBO146"/>
    <mergeCell ref="NBQ146:NBS146"/>
    <mergeCell ref="NBU146:NBW146"/>
    <mergeCell ref="NBY146:NCA146"/>
    <mergeCell ref="NCC146:NCE146"/>
    <mergeCell ref="NAS146:NAU146"/>
    <mergeCell ref="NAW146:NAY146"/>
    <mergeCell ref="NBA146:NBC146"/>
    <mergeCell ref="NBE146:NBG146"/>
    <mergeCell ref="NBI146:NBK146"/>
    <mergeCell ref="NGC146:NGE146"/>
    <mergeCell ref="NGG146:NGI146"/>
    <mergeCell ref="NGK146:NGM146"/>
    <mergeCell ref="NGO146:NGQ146"/>
    <mergeCell ref="NGS146:NGU146"/>
    <mergeCell ref="NFI146:NFK146"/>
    <mergeCell ref="NFM146:NFO146"/>
    <mergeCell ref="NFQ146:NFS146"/>
    <mergeCell ref="NFU146:NFW146"/>
    <mergeCell ref="NFY146:NGA146"/>
    <mergeCell ref="NEO146:NEQ146"/>
    <mergeCell ref="NES146:NEU146"/>
    <mergeCell ref="NEW146:NEY146"/>
    <mergeCell ref="NFA146:NFC146"/>
    <mergeCell ref="NFE146:NFG146"/>
    <mergeCell ref="NDU146:NDW146"/>
    <mergeCell ref="NDY146:NEA146"/>
    <mergeCell ref="NEC146:NEE146"/>
    <mergeCell ref="NEG146:NEI146"/>
    <mergeCell ref="NEK146:NEM146"/>
    <mergeCell ref="NJE146:NJG146"/>
    <mergeCell ref="NJI146:NJK146"/>
    <mergeCell ref="NJM146:NJO146"/>
    <mergeCell ref="NJQ146:NJS146"/>
    <mergeCell ref="NJU146:NJW146"/>
    <mergeCell ref="NIK146:NIM146"/>
    <mergeCell ref="NIO146:NIQ146"/>
    <mergeCell ref="NIS146:NIU146"/>
    <mergeCell ref="NIW146:NIY146"/>
    <mergeCell ref="NJA146:NJC146"/>
    <mergeCell ref="NHQ146:NHS146"/>
    <mergeCell ref="NHU146:NHW146"/>
    <mergeCell ref="NHY146:NIA146"/>
    <mergeCell ref="NIC146:NIE146"/>
    <mergeCell ref="NIG146:NII146"/>
    <mergeCell ref="NGW146:NGY146"/>
    <mergeCell ref="NHA146:NHC146"/>
    <mergeCell ref="NHE146:NHG146"/>
    <mergeCell ref="NHI146:NHK146"/>
    <mergeCell ref="NHM146:NHO146"/>
    <mergeCell ref="NMG146:NMI146"/>
    <mergeCell ref="NMK146:NMM146"/>
    <mergeCell ref="NMO146:NMQ146"/>
    <mergeCell ref="NMS146:NMU146"/>
    <mergeCell ref="NMW146:NMY146"/>
    <mergeCell ref="NLM146:NLO146"/>
    <mergeCell ref="NLQ146:NLS146"/>
    <mergeCell ref="NLU146:NLW146"/>
    <mergeCell ref="NLY146:NMA146"/>
    <mergeCell ref="NMC146:NME146"/>
    <mergeCell ref="NKS146:NKU146"/>
    <mergeCell ref="NKW146:NKY146"/>
    <mergeCell ref="NLA146:NLC146"/>
    <mergeCell ref="NLE146:NLG146"/>
    <mergeCell ref="NLI146:NLK146"/>
    <mergeCell ref="NJY146:NKA146"/>
    <mergeCell ref="NKC146:NKE146"/>
    <mergeCell ref="NKG146:NKI146"/>
    <mergeCell ref="NKK146:NKM146"/>
    <mergeCell ref="NKO146:NKQ146"/>
    <mergeCell ref="NPI146:NPK146"/>
    <mergeCell ref="NPM146:NPO146"/>
    <mergeCell ref="NPQ146:NPS146"/>
    <mergeCell ref="NPU146:NPW146"/>
    <mergeCell ref="NPY146:NQA146"/>
    <mergeCell ref="NOO146:NOQ146"/>
    <mergeCell ref="NOS146:NOU146"/>
    <mergeCell ref="NOW146:NOY146"/>
    <mergeCell ref="NPA146:NPC146"/>
    <mergeCell ref="NPE146:NPG146"/>
    <mergeCell ref="NNU146:NNW146"/>
    <mergeCell ref="NNY146:NOA146"/>
    <mergeCell ref="NOC146:NOE146"/>
    <mergeCell ref="NOG146:NOI146"/>
    <mergeCell ref="NOK146:NOM146"/>
    <mergeCell ref="NNA146:NNC146"/>
    <mergeCell ref="NNE146:NNG146"/>
    <mergeCell ref="NNI146:NNK146"/>
    <mergeCell ref="NNM146:NNO146"/>
    <mergeCell ref="NNQ146:NNS146"/>
    <mergeCell ref="NSK146:NSM146"/>
    <mergeCell ref="NSO146:NSQ146"/>
    <mergeCell ref="NSS146:NSU146"/>
    <mergeCell ref="NSW146:NSY146"/>
    <mergeCell ref="NTA146:NTC146"/>
    <mergeCell ref="NRQ146:NRS146"/>
    <mergeCell ref="NRU146:NRW146"/>
    <mergeCell ref="NRY146:NSA146"/>
    <mergeCell ref="NSC146:NSE146"/>
    <mergeCell ref="NSG146:NSI146"/>
    <mergeCell ref="NQW146:NQY146"/>
    <mergeCell ref="NRA146:NRC146"/>
    <mergeCell ref="NRE146:NRG146"/>
    <mergeCell ref="NRI146:NRK146"/>
    <mergeCell ref="NRM146:NRO146"/>
    <mergeCell ref="NQC146:NQE146"/>
    <mergeCell ref="NQG146:NQI146"/>
    <mergeCell ref="NQK146:NQM146"/>
    <mergeCell ref="NQO146:NQQ146"/>
    <mergeCell ref="NQS146:NQU146"/>
    <mergeCell ref="NVM146:NVO146"/>
    <mergeCell ref="NVQ146:NVS146"/>
    <mergeCell ref="NVU146:NVW146"/>
    <mergeCell ref="NVY146:NWA146"/>
    <mergeCell ref="NWC146:NWE146"/>
    <mergeCell ref="NUS146:NUU146"/>
    <mergeCell ref="NUW146:NUY146"/>
    <mergeCell ref="NVA146:NVC146"/>
    <mergeCell ref="NVE146:NVG146"/>
    <mergeCell ref="NVI146:NVK146"/>
    <mergeCell ref="NTY146:NUA146"/>
    <mergeCell ref="NUC146:NUE146"/>
    <mergeCell ref="NUG146:NUI146"/>
    <mergeCell ref="NUK146:NUM146"/>
    <mergeCell ref="NUO146:NUQ146"/>
    <mergeCell ref="NTE146:NTG146"/>
    <mergeCell ref="NTI146:NTK146"/>
    <mergeCell ref="NTM146:NTO146"/>
    <mergeCell ref="NTQ146:NTS146"/>
    <mergeCell ref="NTU146:NTW146"/>
    <mergeCell ref="NYO146:NYQ146"/>
    <mergeCell ref="NYS146:NYU146"/>
    <mergeCell ref="NYW146:NYY146"/>
    <mergeCell ref="NZA146:NZC146"/>
    <mergeCell ref="NZE146:NZG146"/>
    <mergeCell ref="NXU146:NXW146"/>
    <mergeCell ref="NXY146:NYA146"/>
    <mergeCell ref="NYC146:NYE146"/>
    <mergeCell ref="NYG146:NYI146"/>
    <mergeCell ref="NYK146:NYM146"/>
    <mergeCell ref="NXA146:NXC146"/>
    <mergeCell ref="NXE146:NXG146"/>
    <mergeCell ref="NXI146:NXK146"/>
    <mergeCell ref="NXM146:NXO146"/>
    <mergeCell ref="NXQ146:NXS146"/>
    <mergeCell ref="NWG146:NWI146"/>
    <mergeCell ref="NWK146:NWM146"/>
    <mergeCell ref="NWO146:NWQ146"/>
    <mergeCell ref="NWS146:NWU146"/>
    <mergeCell ref="NWW146:NWY146"/>
    <mergeCell ref="OBQ146:OBS146"/>
    <mergeCell ref="OBU146:OBW146"/>
    <mergeCell ref="OBY146:OCA146"/>
    <mergeCell ref="OCC146:OCE146"/>
    <mergeCell ref="OCG146:OCI146"/>
    <mergeCell ref="OAW146:OAY146"/>
    <mergeCell ref="OBA146:OBC146"/>
    <mergeCell ref="OBE146:OBG146"/>
    <mergeCell ref="OBI146:OBK146"/>
    <mergeCell ref="OBM146:OBO146"/>
    <mergeCell ref="OAC146:OAE146"/>
    <mergeCell ref="OAG146:OAI146"/>
    <mergeCell ref="OAK146:OAM146"/>
    <mergeCell ref="OAO146:OAQ146"/>
    <mergeCell ref="OAS146:OAU146"/>
    <mergeCell ref="NZI146:NZK146"/>
    <mergeCell ref="NZM146:NZO146"/>
    <mergeCell ref="NZQ146:NZS146"/>
    <mergeCell ref="NZU146:NZW146"/>
    <mergeCell ref="NZY146:OAA146"/>
    <mergeCell ref="OES146:OEU146"/>
    <mergeCell ref="OEW146:OEY146"/>
    <mergeCell ref="OFA146:OFC146"/>
    <mergeCell ref="OFE146:OFG146"/>
    <mergeCell ref="OFI146:OFK146"/>
    <mergeCell ref="ODY146:OEA146"/>
    <mergeCell ref="OEC146:OEE146"/>
    <mergeCell ref="OEG146:OEI146"/>
    <mergeCell ref="OEK146:OEM146"/>
    <mergeCell ref="OEO146:OEQ146"/>
    <mergeCell ref="ODE146:ODG146"/>
    <mergeCell ref="ODI146:ODK146"/>
    <mergeCell ref="ODM146:ODO146"/>
    <mergeCell ref="ODQ146:ODS146"/>
    <mergeCell ref="ODU146:ODW146"/>
    <mergeCell ref="OCK146:OCM146"/>
    <mergeCell ref="OCO146:OCQ146"/>
    <mergeCell ref="OCS146:OCU146"/>
    <mergeCell ref="OCW146:OCY146"/>
    <mergeCell ref="ODA146:ODC146"/>
    <mergeCell ref="OHU146:OHW146"/>
    <mergeCell ref="OHY146:OIA146"/>
    <mergeCell ref="OIC146:OIE146"/>
    <mergeCell ref="OIG146:OII146"/>
    <mergeCell ref="OIK146:OIM146"/>
    <mergeCell ref="OHA146:OHC146"/>
    <mergeCell ref="OHE146:OHG146"/>
    <mergeCell ref="OHI146:OHK146"/>
    <mergeCell ref="OHM146:OHO146"/>
    <mergeCell ref="OHQ146:OHS146"/>
    <mergeCell ref="OGG146:OGI146"/>
    <mergeCell ref="OGK146:OGM146"/>
    <mergeCell ref="OGO146:OGQ146"/>
    <mergeCell ref="OGS146:OGU146"/>
    <mergeCell ref="OGW146:OGY146"/>
    <mergeCell ref="OFM146:OFO146"/>
    <mergeCell ref="OFQ146:OFS146"/>
    <mergeCell ref="OFU146:OFW146"/>
    <mergeCell ref="OFY146:OGA146"/>
    <mergeCell ref="OGC146:OGE146"/>
    <mergeCell ref="OKW146:OKY146"/>
    <mergeCell ref="OLA146:OLC146"/>
    <mergeCell ref="OLE146:OLG146"/>
    <mergeCell ref="OLI146:OLK146"/>
    <mergeCell ref="OLM146:OLO146"/>
    <mergeCell ref="OKC146:OKE146"/>
    <mergeCell ref="OKG146:OKI146"/>
    <mergeCell ref="OKK146:OKM146"/>
    <mergeCell ref="OKO146:OKQ146"/>
    <mergeCell ref="OKS146:OKU146"/>
    <mergeCell ref="OJI146:OJK146"/>
    <mergeCell ref="OJM146:OJO146"/>
    <mergeCell ref="OJQ146:OJS146"/>
    <mergeCell ref="OJU146:OJW146"/>
    <mergeCell ref="OJY146:OKA146"/>
    <mergeCell ref="OIO146:OIQ146"/>
    <mergeCell ref="OIS146:OIU146"/>
    <mergeCell ref="OIW146:OIY146"/>
    <mergeCell ref="OJA146:OJC146"/>
    <mergeCell ref="OJE146:OJG146"/>
    <mergeCell ref="ONY146:OOA146"/>
    <mergeCell ref="OOC146:OOE146"/>
    <mergeCell ref="OOG146:OOI146"/>
    <mergeCell ref="OOK146:OOM146"/>
    <mergeCell ref="OOO146:OOQ146"/>
    <mergeCell ref="ONE146:ONG146"/>
    <mergeCell ref="ONI146:ONK146"/>
    <mergeCell ref="ONM146:ONO146"/>
    <mergeCell ref="ONQ146:ONS146"/>
    <mergeCell ref="ONU146:ONW146"/>
    <mergeCell ref="OMK146:OMM146"/>
    <mergeCell ref="OMO146:OMQ146"/>
    <mergeCell ref="OMS146:OMU146"/>
    <mergeCell ref="OMW146:OMY146"/>
    <mergeCell ref="ONA146:ONC146"/>
    <mergeCell ref="OLQ146:OLS146"/>
    <mergeCell ref="OLU146:OLW146"/>
    <mergeCell ref="OLY146:OMA146"/>
    <mergeCell ref="OMC146:OME146"/>
    <mergeCell ref="OMG146:OMI146"/>
    <mergeCell ref="ORA146:ORC146"/>
    <mergeCell ref="ORE146:ORG146"/>
    <mergeCell ref="ORI146:ORK146"/>
    <mergeCell ref="ORM146:ORO146"/>
    <mergeCell ref="ORQ146:ORS146"/>
    <mergeCell ref="OQG146:OQI146"/>
    <mergeCell ref="OQK146:OQM146"/>
    <mergeCell ref="OQO146:OQQ146"/>
    <mergeCell ref="OQS146:OQU146"/>
    <mergeCell ref="OQW146:OQY146"/>
    <mergeCell ref="OPM146:OPO146"/>
    <mergeCell ref="OPQ146:OPS146"/>
    <mergeCell ref="OPU146:OPW146"/>
    <mergeCell ref="OPY146:OQA146"/>
    <mergeCell ref="OQC146:OQE146"/>
    <mergeCell ref="OOS146:OOU146"/>
    <mergeCell ref="OOW146:OOY146"/>
    <mergeCell ref="OPA146:OPC146"/>
    <mergeCell ref="OPE146:OPG146"/>
    <mergeCell ref="OPI146:OPK146"/>
    <mergeCell ref="OUC146:OUE146"/>
    <mergeCell ref="OUG146:OUI146"/>
    <mergeCell ref="OUK146:OUM146"/>
    <mergeCell ref="OUO146:OUQ146"/>
    <mergeCell ref="OUS146:OUU146"/>
    <mergeCell ref="OTI146:OTK146"/>
    <mergeCell ref="OTM146:OTO146"/>
    <mergeCell ref="OTQ146:OTS146"/>
    <mergeCell ref="OTU146:OTW146"/>
    <mergeCell ref="OTY146:OUA146"/>
    <mergeCell ref="OSO146:OSQ146"/>
    <mergeCell ref="OSS146:OSU146"/>
    <mergeCell ref="OSW146:OSY146"/>
    <mergeCell ref="OTA146:OTC146"/>
    <mergeCell ref="OTE146:OTG146"/>
    <mergeCell ref="ORU146:ORW146"/>
    <mergeCell ref="ORY146:OSA146"/>
    <mergeCell ref="OSC146:OSE146"/>
    <mergeCell ref="OSG146:OSI146"/>
    <mergeCell ref="OSK146:OSM146"/>
    <mergeCell ref="OXE146:OXG146"/>
    <mergeCell ref="OXI146:OXK146"/>
    <mergeCell ref="OXM146:OXO146"/>
    <mergeCell ref="OXQ146:OXS146"/>
    <mergeCell ref="OXU146:OXW146"/>
    <mergeCell ref="OWK146:OWM146"/>
    <mergeCell ref="OWO146:OWQ146"/>
    <mergeCell ref="OWS146:OWU146"/>
    <mergeCell ref="OWW146:OWY146"/>
    <mergeCell ref="OXA146:OXC146"/>
    <mergeCell ref="OVQ146:OVS146"/>
    <mergeCell ref="OVU146:OVW146"/>
    <mergeCell ref="OVY146:OWA146"/>
    <mergeCell ref="OWC146:OWE146"/>
    <mergeCell ref="OWG146:OWI146"/>
    <mergeCell ref="OUW146:OUY146"/>
    <mergeCell ref="OVA146:OVC146"/>
    <mergeCell ref="OVE146:OVG146"/>
    <mergeCell ref="OVI146:OVK146"/>
    <mergeCell ref="OVM146:OVO146"/>
    <mergeCell ref="PAG146:PAI146"/>
    <mergeCell ref="PAK146:PAM146"/>
    <mergeCell ref="PAO146:PAQ146"/>
    <mergeCell ref="PAS146:PAU146"/>
    <mergeCell ref="PAW146:PAY146"/>
    <mergeCell ref="OZM146:OZO146"/>
    <mergeCell ref="OZQ146:OZS146"/>
    <mergeCell ref="OZU146:OZW146"/>
    <mergeCell ref="OZY146:PAA146"/>
    <mergeCell ref="PAC146:PAE146"/>
    <mergeCell ref="OYS146:OYU146"/>
    <mergeCell ref="OYW146:OYY146"/>
    <mergeCell ref="OZA146:OZC146"/>
    <mergeCell ref="OZE146:OZG146"/>
    <mergeCell ref="OZI146:OZK146"/>
    <mergeCell ref="OXY146:OYA146"/>
    <mergeCell ref="OYC146:OYE146"/>
    <mergeCell ref="OYG146:OYI146"/>
    <mergeCell ref="OYK146:OYM146"/>
    <mergeCell ref="OYO146:OYQ146"/>
    <mergeCell ref="PDI146:PDK146"/>
    <mergeCell ref="PDM146:PDO146"/>
    <mergeCell ref="PDQ146:PDS146"/>
    <mergeCell ref="PDU146:PDW146"/>
    <mergeCell ref="PDY146:PEA146"/>
    <mergeCell ref="PCO146:PCQ146"/>
    <mergeCell ref="PCS146:PCU146"/>
    <mergeCell ref="PCW146:PCY146"/>
    <mergeCell ref="PDA146:PDC146"/>
    <mergeCell ref="PDE146:PDG146"/>
    <mergeCell ref="PBU146:PBW146"/>
    <mergeCell ref="PBY146:PCA146"/>
    <mergeCell ref="PCC146:PCE146"/>
    <mergeCell ref="PCG146:PCI146"/>
    <mergeCell ref="PCK146:PCM146"/>
    <mergeCell ref="PBA146:PBC146"/>
    <mergeCell ref="PBE146:PBG146"/>
    <mergeCell ref="PBI146:PBK146"/>
    <mergeCell ref="PBM146:PBO146"/>
    <mergeCell ref="PBQ146:PBS146"/>
    <mergeCell ref="PGK146:PGM146"/>
    <mergeCell ref="PGO146:PGQ146"/>
    <mergeCell ref="PGS146:PGU146"/>
    <mergeCell ref="PGW146:PGY146"/>
    <mergeCell ref="PHA146:PHC146"/>
    <mergeCell ref="PFQ146:PFS146"/>
    <mergeCell ref="PFU146:PFW146"/>
    <mergeCell ref="PFY146:PGA146"/>
    <mergeCell ref="PGC146:PGE146"/>
    <mergeCell ref="PGG146:PGI146"/>
    <mergeCell ref="PEW146:PEY146"/>
    <mergeCell ref="PFA146:PFC146"/>
    <mergeCell ref="PFE146:PFG146"/>
    <mergeCell ref="PFI146:PFK146"/>
    <mergeCell ref="PFM146:PFO146"/>
    <mergeCell ref="PEC146:PEE146"/>
    <mergeCell ref="PEG146:PEI146"/>
    <mergeCell ref="PEK146:PEM146"/>
    <mergeCell ref="PEO146:PEQ146"/>
    <mergeCell ref="PES146:PEU146"/>
    <mergeCell ref="PJM146:PJO146"/>
    <mergeCell ref="PJQ146:PJS146"/>
    <mergeCell ref="PJU146:PJW146"/>
    <mergeCell ref="PJY146:PKA146"/>
    <mergeCell ref="PKC146:PKE146"/>
    <mergeCell ref="PIS146:PIU146"/>
    <mergeCell ref="PIW146:PIY146"/>
    <mergeCell ref="PJA146:PJC146"/>
    <mergeCell ref="PJE146:PJG146"/>
    <mergeCell ref="PJI146:PJK146"/>
    <mergeCell ref="PHY146:PIA146"/>
    <mergeCell ref="PIC146:PIE146"/>
    <mergeCell ref="PIG146:PII146"/>
    <mergeCell ref="PIK146:PIM146"/>
    <mergeCell ref="PIO146:PIQ146"/>
    <mergeCell ref="PHE146:PHG146"/>
    <mergeCell ref="PHI146:PHK146"/>
    <mergeCell ref="PHM146:PHO146"/>
    <mergeCell ref="PHQ146:PHS146"/>
    <mergeCell ref="PHU146:PHW146"/>
    <mergeCell ref="PMO146:PMQ146"/>
    <mergeCell ref="PMS146:PMU146"/>
    <mergeCell ref="PMW146:PMY146"/>
    <mergeCell ref="PNA146:PNC146"/>
    <mergeCell ref="PNE146:PNG146"/>
    <mergeCell ref="PLU146:PLW146"/>
    <mergeCell ref="PLY146:PMA146"/>
    <mergeCell ref="PMC146:PME146"/>
    <mergeCell ref="PMG146:PMI146"/>
    <mergeCell ref="PMK146:PMM146"/>
    <mergeCell ref="PLA146:PLC146"/>
    <mergeCell ref="PLE146:PLG146"/>
    <mergeCell ref="PLI146:PLK146"/>
    <mergeCell ref="PLM146:PLO146"/>
    <mergeCell ref="PLQ146:PLS146"/>
    <mergeCell ref="PKG146:PKI146"/>
    <mergeCell ref="PKK146:PKM146"/>
    <mergeCell ref="PKO146:PKQ146"/>
    <mergeCell ref="PKS146:PKU146"/>
    <mergeCell ref="PKW146:PKY146"/>
    <mergeCell ref="PPQ146:PPS146"/>
    <mergeCell ref="PPU146:PPW146"/>
    <mergeCell ref="PPY146:PQA146"/>
    <mergeCell ref="PQC146:PQE146"/>
    <mergeCell ref="PQG146:PQI146"/>
    <mergeCell ref="POW146:POY146"/>
    <mergeCell ref="PPA146:PPC146"/>
    <mergeCell ref="PPE146:PPG146"/>
    <mergeCell ref="PPI146:PPK146"/>
    <mergeCell ref="PPM146:PPO146"/>
    <mergeCell ref="POC146:POE146"/>
    <mergeCell ref="POG146:POI146"/>
    <mergeCell ref="POK146:POM146"/>
    <mergeCell ref="POO146:POQ146"/>
    <mergeCell ref="POS146:POU146"/>
    <mergeCell ref="PNI146:PNK146"/>
    <mergeCell ref="PNM146:PNO146"/>
    <mergeCell ref="PNQ146:PNS146"/>
    <mergeCell ref="PNU146:PNW146"/>
    <mergeCell ref="PNY146:POA146"/>
    <mergeCell ref="PSS146:PSU146"/>
    <mergeCell ref="PSW146:PSY146"/>
    <mergeCell ref="PTA146:PTC146"/>
    <mergeCell ref="PTE146:PTG146"/>
    <mergeCell ref="PTI146:PTK146"/>
    <mergeCell ref="PRY146:PSA146"/>
    <mergeCell ref="PSC146:PSE146"/>
    <mergeCell ref="PSG146:PSI146"/>
    <mergeCell ref="PSK146:PSM146"/>
    <mergeCell ref="PSO146:PSQ146"/>
    <mergeCell ref="PRE146:PRG146"/>
    <mergeCell ref="PRI146:PRK146"/>
    <mergeCell ref="PRM146:PRO146"/>
    <mergeCell ref="PRQ146:PRS146"/>
    <mergeCell ref="PRU146:PRW146"/>
    <mergeCell ref="PQK146:PQM146"/>
    <mergeCell ref="PQO146:PQQ146"/>
    <mergeCell ref="PQS146:PQU146"/>
    <mergeCell ref="PQW146:PQY146"/>
    <mergeCell ref="PRA146:PRC146"/>
    <mergeCell ref="PVU146:PVW146"/>
    <mergeCell ref="PVY146:PWA146"/>
    <mergeCell ref="PWC146:PWE146"/>
    <mergeCell ref="PWG146:PWI146"/>
    <mergeCell ref="PWK146:PWM146"/>
    <mergeCell ref="PVA146:PVC146"/>
    <mergeCell ref="PVE146:PVG146"/>
    <mergeCell ref="PVI146:PVK146"/>
    <mergeCell ref="PVM146:PVO146"/>
    <mergeCell ref="PVQ146:PVS146"/>
    <mergeCell ref="PUG146:PUI146"/>
    <mergeCell ref="PUK146:PUM146"/>
    <mergeCell ref="PUO146:PUQ146"/>
    <mergeCell ref="PUS146:PUU146"/>
    <mergeCell ref="PUW146:PUY146"/>
    <mergeCell ref="PTM146:PTO146"/>
    <mergeCell ref="PTQ146:PTS146"/>
    <mergeCell ref="PTU146:PTW146"/>
    <mergeCell ref="PTY146:PUA146"/>
    <mergeCell ref="PUC146:PUE146"/>
    <mergeCell ref="PYW146:PYY146"/>
    <mergeCell ref="PZA146:PZC146"/>
    <mergeCell ref="PZE146:PZG146"/>
    <mergeCell ref="PZI146:PZK146"/>
    <mergeCell ref="PZM146:PZO146"/>
    <mergeCell ref="PYC146:PYE146"/>
    <mergeCell ref="PYG146:PYI146"/>
    <mergeCell ref="PYK146:PYM146"/>
    <mergeCell ref="PYO146:PYQ146"/>
    <mergeCell ref="PYS146:PYU146"/>
    <mergeCell ref="PXI146:PXK146"/>
    <mergeCell ref="PXM146:PXO146"/>
    <mergeCell ref="PXQ146:PXS146"/>
    <mergeCell ref="PXU146:PXW146"/>
    <mergeCell ref="PXY146:PYA146"/>
    <mergeCell ref="PWO146:PWQ146"/>
    <mergeCell ref="PWS146:PWU146"/>
    <mergeCell ref="PWW146:PWY146"/>
    <mergeCell ref="PXA146:PXC146"/>
    <mergeCell ref="PXE146:PXG146"/>
    <mergeCell ref="QBY146:QCA146"/>
    <mergeCell ref="QCC146:QCE146"/>
    <mergeCell ref="QCG146:QCI146"/>
    <mergeCell ref="QCK146:QCM146"/>
    <mergeCell ref="QCO146:QCQ146"/>
    <mergeCell ref="QBE146:QBG146"/>
    <mergeCell ref="QBI146:QBK146"/>
    <mergeCell ref="QBM146:QBO146"/>
    <mergeCell ref="QBQ146:QBS146"/>
    <mergeCell ref="QBU146:QBW146"/>
    <mergeCell ref="QAK146:QAM146"/>
    <mergeCell ref="QAO146:QAQ146"/>
    <mergeCell ref="QAS146:QAU146"/>
    <mergeCell ref="QAW146:QAY146"/>
    <mergeCell ref="QBA146:QBC146"/>
    <mergeCell ref="PZQ146:PZS146"/>
    <mergeCell ref="PZU146:PZW146"/>
    <mergeCell ref="PZY146:QAA146"/>
    <mergeCell ref="QAC146:QAE146"/>
    <mergeCell ref="QAG146:QAI146"/>
    <mergeCell ref="QFA146:QFC146"/>
    <mergeCell ref="QFE146:QFG146"/>
    <mergeCell ref="QFI146:QFK146"/>
    <mergeCell ref="QFM146:QFO146"/>
    <mergeCell ref="QFQ146:QFS146"/>
    <mergeCell ref="QEG146:QEI146"/>
    <mergeCell ref="QEK146:QEM146"/>
    <mergeCell ref="QEO146:QEQ146"/>
    <mergeCell ref="QES146:QEU146"/>
    <mergeCell ref="QEW146:QEY146"/>
    <mergeCell ref="QDM146:QDO146"/>
    <mergeCell ref="QDQ146:QDS146"/>
    <mergeCell ref="QDU146:QDW146"/>
    <mergeCell ref="QDY146:QEA146"/>
    <mergeCell ref="QEC146:QEE146"/>
    <mergeCell ref="QCS146:QCU146"/>
    <mergeCell ref="QCW146:QCY146"/>
    <mergeCell ref="QDA146:QDC146"/>
    <mergeCell ref="QDE146:QDG146"/>
    <mergeCell ref="QDI146:QDK146"/>
    <mergeCell ref="QIC146:QIE146"/>
    <mergeCell ref="QIG146:QII146"/>
    <mergeCell ref="QIK146:QIM146"/>
    <mergeCell ref="QIO146:QIQ146"/>
    <mergeCell ref="QIS146:QIU146"/>
    <mergeCell ref="QHI146:QHK146"/>
    <mergeCell ref="QHM146:QHO146"/>
    <mergeCell ref="QHQ146:QHS146"/>
    <mergeCell ref="QHU146:QHW146"/>
    <mergeCell ref="QHY146:QIA146"/>
    <mergeCell ref="QGO146:QGQ146"/>
    <mergeCell ref="QGS146:QGU146"/>
    <mergeCell ref="QGW146:QGY146"/>
    <mergeCell ref="QHA146:QHC146"/>
    <mergeCell ref="QHE146:QHG146"/>
    <mergeCell ref="QFU146:QFW146"/>
    <mergeCell ref="QFY146:QGA146"/>
    <mergeCell ref="QGC146:QGE146"/>
    <mergeCell ref="QGG146:QGI146"/>
    <mergeCell ref="QGK146:QGM146"/>
    <mergeCell ref="QLE146:QLG146"/>
    <mergeCell ref="QLI146:QLK146"/>
    <mergeCell ref="QLM146:QLO146"/>
    <mergeCell ref="QLQ146:QLS146"/>
    <mergeCell ref="QLU146:QLW146"/>
    <mergeCell ref="QKK146:QKM146"/>
    <mergeCell ref="QKO146:QKQ146"/>
    <mergeCell ref="QKS146:QKU146"/>
    <mergeCell ref="QKW146:QKY146"/>
    <mergeCell ref="QLA146:QLC146"/>
    <mergeCell ref="QJQ146:QJS146"/>
    <mergeCell ref="QJU146:QJW146"/>
    <mergeCell ref="QJY146:QKA146"/>
    <mergeCell ref="QKC146:QKE146"/>
    <mergeCell ref="QKG146:QKI146"/>
    <mergeCell ref="QIW146:QIY146"/>
    <mergeCell ref="QJA146:QJC146"/>
    <mergeCell ref="QJE146:QJG146"/>
    <mergeCell ref="QJI146:QJK146"/>
    <mergeCell ref="QJM146:QJO146"/>
    <mergeCell ref="QOG146:QOI146"/>
    <mergeCell ref="QOK146:QOM146"/>
    <mergeCell ref="QOO146:QOQ146"/>
    <mergeCell ref="QOS146:QOU146"/>
    <mergeCell ref="QOW146:QOY146"/>
    <mergeCell ref="QNM146:QNO146"/>
    <mergeCell ref="QNQ146:QNS146"/>
    <mergeCell ref="QNU146:QNW146"/>
    <mergeCell ref="QNY146:QOA146"/>
    <mergeCell ref="QOC146:QOE146"/>
    <mergeCell ref="QMS146:QMU146"/>
    <mergeCell ref="QMW146:QMY146"/>
    <mergeCell ref="QNA146:QNC146"/>
    <mergeCell ref="QNE146:QNG146"/>
    <mergeCell ref="QNI146:QNK146"/>
    <mergeCell ref="QLY146:QMA146"/>
    <mergeCell ref="QMC146:QME146"/>
    <mergeCell ref="QMG146:QMI146"/>
    <mergeCell ref="QMK146:QMM146"/>
    <mergeCell ref="QMO146:QMQ146"/>
    <mergeCell ref="QRI146:QRK146"/>
    <mergeCell ref="QRM146:QRO146"/>
    <mergeCell ref="QRQ146:QRS146"/>
    <mergeCell ref="QRU146:QRW146"/>
    <mergeCell ref="QRY146:QSA146"/>
    <mergeCell ref="QQO146:QQQ146"/>
    <mergeCell ref="QQS146:QQU146"/>
    <mergeCell ref="QQW146:QQY146"/>
    <mergeCell ref="QRA146:QRC146"/>
    <mergeCell ref="QRE146:QRG146"/>
    <mergeCell ref="QPU146:QPW146"/>
    <mergeCell ref="QPY146:QQA146"/>
    <mergeCell ref="QQC146:QQE146"/>
    <mergeCell ref="QQG146:QQI146"/>
    <mergeCell ref="QQK146:QQM146"/>
    <mergeCell ref="QPA146:QPC146"/>
    <mergeCell ref="QPE146:QPG146"/>
    <mergeCell ref="QPI146:QPK146"/>
    <mergeCell ref="QPM146:QPO146"/>
    <mergeCell ref="QPQ146:QPS146"/>
    <mergeCell ref="QUK146:QUM146"/>
    <mergeCell ref="QUO146:QUQ146"/>
    <mergeCell ref="QUS146:QUU146"/>
    <mergeCell ref="QUW146:QUY146"/>
    <mergeCell ref="QVA146:QVC146"/>
    <mergeCell ref="QTQ146:QTS146"/>
    <mergeCell ref="QTU146:QTW146"/>
    <mergeCell ref="QTY146:QUA146"/>
    <mergeCell ref="QUC146:QUE146"/>
    <mergeCell ref="QUG146:QUI146"/>
    <mergeCell ref="QSW146:QSY146"/>
    <mergeCell ref="QTA146:QTC146"/>
    <mergeCell ref="QTE146:QTG146"/>
    <mergeCell ref="QTI146:QTK146"/>
    <mergeCell ref="QTM146:QTO146"/>
    <mergeCell ref="QSC146:QSE146"/>
    <mergeCell ref="QSG146:QSI146"/>
    <mergeCell ref="QSK146:QSM146"/>
    <mergeCell ref="QSO146:QSQ146"/>
    <mergeCell ref="QSS146:QSU146"/>
    <mergeCell ref="QXM146:QXO146"/>
    <mergeCell ref="QXQ146:QXS146"/>
    <mergeCell ref="QXU146:QXW146"/>
    <mergeCell ref="QXY146:QYA146"/>
    <mergeCell ref="QYC146:QYE146"/>
    <mergeCell ref="QWS146:QWU146"/>
    <mergeCell ref="QWW146:QWY146"/>
    <mergeCell ref="QXA146:QXC146"/>
    <mergeCell ref="QXE146:QXG146"/>
    <mergeCell ref="QXI146:QXK146"/>
    <mergeCell ref="QVY146:QWA146"/>
    <mergeCell ref="QWC146:QWE146"/>
    <mergeCell ref="QWG146:QWI146"/>
    <mergeCell ref="QWK146:QWM146"/>
    <mergeCell ref="QWO146:QWQ146"/>
    <mergeCell ref="QVE146:QVG146"/>
    <mergeCell ref="QVI146:QVK146"/>
    <mergeCell ref="QVM146:QVO146"/>
    <mergeCell ref="QVQ146:QVS146"/>
    <mergeCell ref="QVU146:QVW146"/>
    <mergeCell ref="RAO146:RAQ146"/>
    <mergeCell ref="RAS146:RAU146"/>
    <mergeCell ref="RAW146:RAY146"/>
    <mergeCell ref="RBA146:RBC146"/>
    <mergeCell ref="RBE146:RBG146"/>
    <mergeCell ref="QZU146:QZW146"/>
    <mergeCell ref="QZY146:RAA146"/>
    <mergeCell ref="RAC146:RAE146"/>
    <mergeCell ref="RAG146:RAI146"/>
    <mergeCell ref="RAK146:RAM146"/>
    <mergeCell ref="QZA146:QZC146"/>
    <mergeCell ref="QZE146:QZG146"/>
    <mergeCell ref="QZI146:QZK146"/>
    <mergeCell ref="QZM146:QZO146"/>
    <mergeCell ref="QZQ146:QZS146"/>
    <mergeCell ref="QYG146:QYI146"/>
    <mergeCell ref="QYK146:QYM146"/>
    <mergeCell ref="QYO146:QYQ146"/>
    <mergeCell ref="QYS146:QYU146"/>
    <mergeCell ref="QYW146:QYY146"/>
    <mergeCell ref="RDQ146:RDS146"/>
    <mergeCell ref="RDU146:RDW146"/>
    <mergeCell ref="RDY146:REA146"/>
    <mergeCell ref="REC146:REE146"/>
    <mergeCell ref="REG146:REI146"/>
    <mergeCell ref="RCW146:RCY146"/>
    <mergeCell ref="RDA146:RDC146"/>
    <mergeCell ref="RDE146:RDG146"/>
    <mergeCell ref="RDI146:RDK146"/>
    <mergeCell ref="RDM146:RDO146"/>
    <mergeCell ref="RCC146:RCE146"/>
    <mergeCell ref="RCG146:RCI146"/>
    <mergeCell ref="RCK146:RCM146"/>
    <mergeCell ref="RCO146:RCQ146"/>
    <mergeCell ref="RCS146:RCU146"/>
    <mergeCell ref="RBI146:RBK146"/>
    <mergeCell ref="RBM146:RBO146"/>
    <mergeCell ref="RBQ146:RBS146"/>
    <mergeCell ref="RBU146:RBW146"/>
    <mergeCell ref="RBY146:RCA146"/>
    <mergeCell ref="RGS146:RGU146"/>
    <mergeCell ref="RGW146:RGY146"/>
    <mergeCell ref="RHA146:RHC146"/>
    <mergeCell ref="RHE146:RHG146"/>
    <mergeCell ref="RHI146:RHK146"/>
    <mergeCell ref="RFY146:RGA146"/>
    <mergeCell ref="RGC146:RGE146"/>
    <mergeCell ref="RGG146:RGI146"/>
    <mergeCell ref="RGK146:RGM146"/>
    <mergeCell ref="RGO146:RGQ146"/>
    <mergeCell ref="RFE146:RFG146"/>
    <mergeCell ref="RFI146:RFK146"/>
    <mergeCell ref="RFM146:RFO146"/>
    <mergeCell ref="RFQ146:RFS146"/>
    <mergeCell ref="RFU146:RFW146"/>
    <mergeCell ref="REK146:REM146"/>
    <mergeCell ref="REO146:REQ146"/>
    <mergeCell ref="RES146:REU146"/>
    <mergeCell ref="REW146:REY146"/>
    <mergeCell ref="RFA146:RFC146"/>
    <mergeCell ref="RJU146:RJW146"/>
    <mergeCell ref="RJY146:RKA146"/>
    <mergeCell ref="RKC146:RKE146"/>
    <mergeCell ref="RKG146:RKI146"/>
    <mergeCell ref="RKK146:RKM146"/>
    <mergeCell ref="RJA146:RJC146"/>
    <mergeCell ref="RJE146:RJG146"/>
    <mergeCell ref="RJI146:RJK146"/>
    <mergeCell ref="RJM146:RJO146"/>
    <mergeCell ref="RJQ146:RJS146"/>
    <mergeCell ref="RIG146:RII146"/>
    <mergeCell ref="RIK146:RIM146"/>
    <mergeCell ref="RIO146:RIQ146"/>
    <mergeCell ref="RIS146:RIU146"/>
    <mergeCell ref="RIW146:RIY146"/>
    <mergeCell ref="RHM146:RHO146"/>
    <mergeCell ref="RHQ146:RHS146"/>
    <mergeCell ref="RHU146:RHW146"/>
    <mergeCell ref="RHY146:RIA146"/>
    <mergeCell ref="RIC146:RIE146"/>
    <mergeCell ref="RMW146:RMY146"/>
    <mergeCell ref="RNA146:RNC146"/>
    <mergeCell ref="RNE146:RNG146"/>
    <mergeCell ref="RNI146:RNK146"/>
    <mergeCell ref="RNM146:RNO146"/>
    <mergeCell ref="RMC146:RME146"/>
    <mergeCell ref="RMG146:RMI146"/>
    <mergeCell ref="RMK146:RMM146"/>
    <mergeCell ref="RMO146:RMQ146"/>
    <mergeCell ref="RMS146:RMU146"/>
    <mergeCell ref="RLI146:RLK146"/>
    <mergeCell ref="RLM146:RLO146"/>
    <mergeCell ref="RLQ146:RLS146"/>
    <mergeCell ref="RLU146:RLW146"/>
    <mergeCell ref="RLY146:RMA146"/>
    <mergeCell ref="RKO146:RKQ146"/>
    <mergeCell ref="RKS146:RKU146"/>
    <mergeCell ref="RKW146:RKY146"/>
    <mergeCell ref="RLA146:RLC146"/>
    <mergeCell ref="RLE146:RLG146"/>
    <mergeCell ref="RPY146:RQA146"/>
    <mergeCell ref="RQC146:RQE146"/>
    <mergeCell ref="RQG146:RQI146"/>
    <mergeCell ref="RQK146:RQM146"/>
    <mergeCell ref="RQO146:RQQ146"/>
    <mergeCell ref="RPE146:RPG146"/>
    <mergeCell ref="RPI146:RPK146"/>
    <mergeCell ref="RPM146:RPO146"/>
    <mergeCell ref="RPQ146:RPS146"/>
    <mergeCell ref="RPU146:RPW146"/>
    <mergeCell ref="ROK146:ROM146"/>
    <mergeCell ref="ROO146:ROQ146"/>
    <mergeCell ref="ROS146:ROU146"/>
    <mergeCell ref="ROW146:ROY146"/>
    <mergeCell ref="RPA146:RPC146"/>
    <mergeCell ref="RNQ146:RNS146"/>
    <mergeCell ref="RNU146:RNW146"/>
    <mergeCell ref="RNY146:ROA146"/>
    <mergeCell ref="ROC146:ROE146"/>
    <mergeCell ref="ROG146:ROI146"/>
    <mergeCell ref="RTA146:RTC146"/>
    <mergeCell ref="RTE146:RTG146"/>
    <mergeCell ref="RTI146:RTK146"/>
    <mergeCell ref="RTM146:RTO146"/>
    <mergeCell ref="RTQ146:RTS146"/>
    <mergeCell ref="RSG146:RSI146"/>
    <mergeCell ref="RSK146:RSM146"/>
    <mergeCell ref="RSO146:RSQ146"/>
    <mergeCell ref="RSS146:RSU146"/>
    <mergeCell ref="RSW146:RSY146"/>
    <mergeCell ref="RRM146:RRO146"/>
    <mergeCell ref="RRQ146:RRS146"/>
    <mergeCell ref="RRU146:RRW146"/>
    <mergeCell ref="RRY146:RSA146"/>
    <mergeCell ref="RSC146:RSE146"/>
    <mergeCell ref="RQS146:RQU146"/>
    <mergeCell ref="RQW146:RQY146"/>
    <mergeCell ref="RRA146:RRC146"/>
    <mergeCell ref="RRE146:RRG146"/>
    <mergeCell ref="RRI146:RRK146"/>
    <mergeCell ref="RWC146:RWE146"/>
    <mergeCell ref="RWG146:RWI146"/>
    <mergeCell ref="RWK146:RWM146"/>
    <mergeCell ref="RWO146:RWQ146"/>
    <mergeCell ref="RWS146:RWU146"/>
    <mergeCell ref="RVI146:RVK146"/>
    <mergeCell ref="RVM146:RVO146"/>
    <mergeCell ref="RVQ146:RVS146"/>
    <mergeCell ref="RVU146:RVW146"/>
    <mergeCell ref="RVY146:RWA146"/>
    <mergeCell ref="RUO146:RUQ146"/>
    <mergeCell ref="RUS146:RUU146"/>
    <mergeCell ref="RUW146:RUY146"/>
    <mergeCell ref="RVA146:RVC146"/>
    <mergeCell ref="RVE146:RVG146"/>
    <mergeCell ref="RTU146:RTW146"/>
    <mergeCell ref="RTY146:RUA146"/>
    <mergeCell ref="RUC146:RUE146"/>
    <mergeCell ref="RUG146:RUI146"/>
    <mergeCell ref="RUK146:RUM146"/>
    <mergeCell ref="RZE146:RZG146"/>
    <mergeCell ref="RZI146:RZK146"/>
    <mergeCell ref="RZM146:RZO146"/>
    <mergeCell ref="RZQ146:RZS146"/>
    <mergeCell ref="RZU146:RZW146"/>
    <mergeCell ref="RYK146:RYM146"/>
    <mergeCell ref="RYO146:RYQ146"/>
    <mergeCell ref="RYS146:RYU146"/>
    <mergeCell ref="RYW146:RYY146"/>
    <mergeCell ref="RZA146:RZC146"/>
    <mergeCell ref="RXQ146:RXS146"/>
    <mergeCell ref="RXU146:RXW146"/>
    <mergeCell ref="RXY146:RYA146"/>
    <mergeCell ref="RYC146:RYE146"/>
    <mergeCell ref="RYG146:RYI146"/>
    <mergeCell ref="RWW146:RWY146"/>
    <mergeCell ref="RXA146:RXC146"/>
    <mergeCell ref="RXE146:RXG146"/>
    <mergeCell ref="RXI146:RXK146"/>
    <mergeCell ref="RXM146:RXO146"/>
    <mergeCell ref="SCG146:SCI146"/>
    <mergeCell ref="SCK146:SCM146"/>
    <mergeCell ref="SCO146:SCQ146"/>
    <mergeCell ref="SCS146:SCU146"/>
    <mergeCell ref="SCW146:SCY146"/>
    <mergeCell ref="SBM146:SBO146"/>
    <mergeCell ref="SBQ146:SBS146"/>
    <mergeCell ref="SBU146:SBW146"/>
    <mergeCell ref="SBY146:SCA146"/>
    <mergeCell ref="SCC146:SCE146"/>
    <mergeCell ref="SAS146:SAU146"/>
    <mergeCell ref="SAW146:SAY146"/>
    <mergeCell ref="SBA146:SBC146"/>
    <mergeCell ref="SBE146:SBG146"/>
    <mergeCell ref="SBI146:SBK146"/>
    <mergeCell ref="RZY146:SAA146"/>
    <mergeCell ref="SAC146:SAE146"/>
    <mergeCell ref="SAG146:SAI146"/>
    <mergeCell ref="SAK146:SAM146"/>
    <mergeCell ref="SAO146:SAQ146"/>
    <mergeCell ref="SFI146:SFK146"/>
    <mergeCell ref="SFM146:SFO146"/>
    <mergeCell ref="SFQ146:SFS146"/>
    <mergeCell ref="SFU146:SFW146"/>
    <mergeCell ref="SFY146:SGA146"/>
    <mergeCell ref="SEO146:SEQ146"/>
    <mergeCell ref="SES146:SEU146"/>
    <mergeCell ref="SEW146:SEY146"/>
    <mergeCell ref="SFA146:SFC146"/>
    <mergeCell ref="SFE146:SFG146"/>
    <mergeCell ref="SDU146:SDW146"/>
    <mergeCell ref="SDY146:SEA146"/>
    <mergeCell ref="SEC146:SEE146"/>
    <mergeCell ref="SEG146:SEI146"/>
    <mergeCell ref="SEK146:SEM146"/>
    <mergeCell ref="SDA146:SDC146"/>
    <mergeCell ref="SDE146:SDG146"/>
    <mergeCell ref="SDI146:SDK146"/>
    <mergeCell ref="SDM146:SDO146"/>
    <mergeCell ref="SDQ146:SDS146"/>
    <mergeCell ref="SIK146:SIM146"/>
    <mergeCell ref="SIO146:SIQ146"/>
    <mergeCell ref="SIS146:SIU146"/>
    <mergeCell ref="SIW146:SIY146"/>
    <mergeCell ref="SJA146:SJC146"/>
    <mergeCell ref="SHQ146:SHS146"/>
    <mergeCell ref="SHU146:SHW146"/>
    <mergeCell ref="SHY146:SIA146"/>
    <mergeCell ref="SIC146:SIE146"/>
    <mergeCell ref="SIG146:SII146"/>
    <mergeCell ref="SGW146:SGY146"/>
    <mergeCell ref="SHA146:SHC146"/>
    <mergeCell ref="SHE146:SHG146"/>
    <mergeCell ref="SHI146:SHK146"/>
    <mergeCell ref="SHM146:SHO146"/>
    <mergeCell ref="SGC146:SGE146"/>
    <mergeCell ref="SGG146:SGI146"/>
    <mergeCell ref="SGK146:SGM146"/>
    <mergeCell ref="SGO146:SGQ146"/>
    <mergeCell ref="SGS146:SGU146"/>
    <mergeCell ref="SLM146:SLO146"/>
    <mergeCell ref="SLQ146:SLS146"/>
    <mergeCell ref="SLU146:SLW146"/>
    <mergeCell ref="SLY146:SMA146"/>
    <mergeCell ref="SMC146:SME146"/>
    <mergeCell ref="SKS146:SKU146"/>
    <mergeCell ref="SKW146:SKY146"/>
    <mergeCell ref="SLA146:SLC146"/>
    <mergeCell ref="SLE146:SLG146"/>
    <mergeCell ref="SLI146:SLK146"/>
    <mergeCell ref="SJY146:SKA146"/>
    <mergeCell ref="SKC146:SKE146"/>
    <mergeCell ref="SKG146:SKI146"/>
    <mergeCell ref="SKK146:SKM146"/>
    <mergeCell ref="SKO146:SKQ146"/>
    <mergeCell ref="SJE146:SJG146"/>
    <mergeCell ref="SJI146:SJK146"/>
    <mergeCell ref="SJM146:SJO146"/>
    <mergeCell ref="SJQ146:SJS146"/>
    <mergeCell ref="SJU146:SJW146"/>
    <mergeCell ref="SOO146:SOQ146"/>
    <mergeCell ref="SOS146:SOU146"/>
    <mergeCell ref="SOW146:SOY146"/>
    <mergeCell ref="SPA146:SPC146"/>
    <mergeCell ref="SPE146:SPG146"/>
    <mergeCell ref="SNU146:SNW146"/>
    <mergeCell ref="SNY146:SOA146"/>
    <mergeCell ref="SOC146:SOE146"/>
    <mergeCell ref="SOG146:SOI146"/>
    <mergeCell ref="SOK146:SOM146"/>
    <mergeCell ref="SNA146:SNC146"/>
    <mergeCell ref="SNE146:SNG146"/>
    <mergeCell ref="SNI146:SNK146"/>
    <mergeCell ref="SNM146:SNO146"/>
    <mergeCell ref="SNQ146:SNS146"/>
    <mergeCell ref="SMG146:SMI146"/>
    <mergeCell ref="SMK146:SMM146"/>
    <mergeCell ref="SMO146:SMQ146"/>
    <mergeCell ref="SMS146:SMU146"/>
    <mergeCell ref="SMW146:SMY146"/>
    <mergeCell ref="SRQ146:SRS146"/>
    <mergeCell ref="SRU146:SRW146"/>
    <mergeCell ref="SRY146:SSA146"/>
    <mergeCell ref="SSC146:SSE146"/>
    <mergeCell ref="SSG146:SSI146"/>
    <mergeCell ref="SQW146:SQY146"/>
    <mergeCell ref="SRA146:SRC146"/>
    <mergeCell ref="SRE146:SRG146"/>
    <mergeCell ref="SRI146:SRK146"/>
    <mergeCell ref="SRM146:SRO146"/>
    <mergeCell ref="SQC146:SQE146"/>
    <mergeCell ref="SQG146:SQI146"/>
    <mergeCell ref="SQK146:SQM146"/>
    <mergeCell ref="SQO146:SQQ146"/>
    <mergeCell ref="SQS146:SQU146"/>
    <mergeCell ref="SPI146:SPK146"/>
    <mergeCell ref="SPM146:SPO146"/>
    <mergeCell ref="SPQ146:SPS146"/>
    <mergeCell ref="SPU146:SPW146"/>
    <mergeCell ref="SPY146:SQA146"/>
    <mergeCell ref="SUS146:SUU146"/>
    <mergeCell ref="SUW146:SUY146"/>
    <mergeCell ref="SVA146:SVC146"/>
    <mergeCell ref="SVE146:SVG146"/>
    <mergeCell ref="SVI146:SVK146"/>
    <mergeCell ref="STY146:SUA146"/>
    <mergeCell ref="SUC146:SUE146"/>
    <mergeCell ref="SUG146:SUI146"/>
    <mergeCell ref="SUK146:SUM146"/>
    <mergeCell ref="SUO146:SUQ146"/>
    <mergeCell ref="STE146:STG146"/>
    <mergeCell ref="STI146:STK146"/>
    <mergeCell ref="STM146:STO146"/>
    <mergeCell ref="STQ146:STS146"/>
    <mergeCell ref="STU146:STW146"/>
    <mergeCell ref="SSK146:SSM146"/>
    <mergeCell ref="SSO146:SSQ146"/>
    <mergeCell ref="SSS146:SSU146"/>
    <mergeCell ref="SSW146:SSY146"/>
    <mergeCell ref="STA146:STC146"/>
    <mergeCell ref="SXU146:SXW146"/>
    <mergeCell ref="SXY146:SYA146"/>
    <mergeCell ref="SYC146:SYE146"/>
    <mergeCell ref="SYG146:SYI146"/>
    <mergeCell ref="SYK146:SYM146"/>
    <mergeCell ref="SXA146:SXC146"/>
    <mergeCell ref="SXE146:SXG146"/>
    <mergeCell ref="SXI146:SXK146"/>
    <mergeCell ref="SXM146:SXO146"/>
    <mergeCell ref="SXQ146:SXS146"/>
    <mergeCell ref="SWG146:SWI146"/>
    <mergeCell ref="SWK146:SWM146"/>
    <mergeCell ref="SWO146:SWQ146"/>
    <mergeCell ref="SWS146:SWU146"/>
    <mergeCell ref="SWW146:SWY146"/>
    <mergeCell ref="SVM146:SVO146"/>
    <mergeCell ref="SVQ146:SVS146"/>
    <mergeCell ref="SVU146:SVW146"/>
    <mergeCell ref="SVY146:SWA146"/>
    <mergeCell ref="SWC146:SWE146"/>
    <mergeCell ref="TAW146:TAY146"/>
    <mergeCell ref="TBA146:TBC146"/>
    <mergeCell ref="TBE146:TBG146"/>
    <mergeCell ref="TBI146:TBK146"/>
    <mergeCell ref="TBM146:TBO146"/>
    <mergeCell ref="TAC146:TAE146"/>
    <mergeCell ref="TAG146:TAI146"/>
    <mergeCell ref="TAK146:TAM146"/>
    <mergeCell ref="TAO146:TAQ146"/>
    <mergeCell ref="TAS146:TAU146"/>
    <mergeCell ref="SZI146:SZK146"/>
    <mergeCell ref="SZM146:SZO146"/>
    <mergeCell ref="SZQ146:SZS146"/>
    <mergeCell ref="SZU146:SZW146"/>
    <mergeCell ref="SZY146:TAA146"/>
    <mergeCell ref="SYO146:SYQ146"/>
    <mergeCell ref="SYS146:SYU146"/>
    <mergeCell ref="SYW146:SYY146"/>
    <mergeCell ref="SZA146:SZC146"/>
    <mergeCell ref="SZE146:SZG146"/>
    <mergeCell ref="TDY146:TEA146"/>
    <mergeCell ref="TEC146:TEE146"/>
    <mergeCell ref="TEG146:TEI146"/>
    <mergeCell ref="TEK146:TEM146"/>
    <mergeCell ref="TEO146:TEQ146"/>
    <mergeCell ref="TDE146:TDG146"/>
    <mergeCell ref="TDI146:TDK146"/>
    <mergeCell ref="TDM146:TDO146"/>
    <mergeCell ref="TDQ146:TDS146"/>
    <mergeCell ref="TDU146:TDW146"/>
    <mergeCell ref="TCK146:TCM146"/>
    <mergeCell ref="TCO146:TCQ146"/>
    <mergeCell ref="TCS146:TCU146"/>
    <mergeCell ref="TCW146:TCY146"/>
    <mergeCell ref="TDA146:TDC146"/>
    <mergeCell ref="TBQ146:TBS146"/>
    <mergeCell ref="TBU146:TBW146"/>
    <mergeCell ref="TBY146:TCA146"/>
    <mergeCell ref="TCC146:TCE146"/>
    <mergeCell ref="TCG146:TCI146"/>
    <mergeCell ref="THA146:THC146"/>
    <mergeCell ref="THE146:THG146"/>
    <mergeCell ref="THI146:THK146"/>
    <mergeCell ref="THM146:THO146"/>
    <mergeCell ref="THQ146:THS146"/>
    <mergeCell ref="TGG146:TGI146"/>
    <mergeCell ref="TGK146:TGM146"/>
    <mergeCell ref="TGO146:TGQ146"/>
    <mergeCell ref="TGS146:TGU146"/>
    <mergeCell ref="TGW146:TGY146"/>
    <mergeCell ref="TFM146:TFO146"/>
    <mergeCell ref="TFQ146:TFS146"/>
    <mergeCell ref="TFU146:TFW146"/>
    <mergeCell ref="TFY146:TGA146"/>
    <mergeCell ref="TGC146:TGE146"/>
    <mergeCell ref="TES146:TEU146"/>
    <mergeCell ref="TEW146:TEY146"/>
    <mergeCell ref="TFA146:TFC146"/>
    <mergeCell ref="TFE146:TFG146"/>
    <mergeCell ref="TFI146:TFK146"/>
    <mergeCell ref="TKC146:TKE146"/>
    <mergeCell ref="TKG146:TKI146"/>
    <mergeCell ref="TKK146:TKM146"/>
    <mergeCell ref="TKO146:TKQ146"/>
    <mergeCell ref="TKS146:TKU146"/>
    <mergeCell ref="TJI146:TJK146"/>
    <mergeCell ref="TJM146:TJO146"/>
    <mergeCell ref="TJQ146:TJS146"/>
    <mergeCell ref="TJU146:TJW146"/>
    <mergeCell ref="TJY146:TKA146"/>
    <mergeCell ref="TIO146:TIQ146"/>
    <mergeCell ref="TIS146:TIU146"/>
    <mergeCell ref="TIW146:TIY146"/>
    <mergeCell ref="TJA146:TJC146"/>
    <mergeCell ref="TJE146:TJG146"/>
    <mergeCell ref="THU146:THW146"/>
    <mergeCell ref="THY146:TIA146"/>
    <mergeCell ref="TIC146:TIE146"/>
    <mergeCell ref="TIG146:TII146"/>
    <mergeCell ref="TIK146:TIM146"/>
    <mergeCell ref="TNE146:TNG146"/>
    <mergeCell ref="TNI146:TNK146"/>
    <mergeCell ref="TNM146:TNO146"/>
    <mergeCell ref="TNQ146:TNS146"/>
    <mergeCell ref="TNU146:TNW146"/>
    <mergeCell ref="TMK146:TMM146"/>
    <mergeCell ref="TMO146:TMQ146"/>
    <mergeCell ref="TMS146:TMU146"/>
    <mergeCell ref="TMW146:TMY146"/>
    <mergeCell ref="TNA146:TNC146"/>
    <mergeCell ref="TLQ146:TLS146"/>
    <mergeCell ref="TLU146:TLW146"/>
    <mergeCell ref="TLY146:TMA146"/>
    <mergeCell ref="TMC146:TME146"/>
    <mergeCell ref="TMG146:TMI146"/>
    <mergeCell ref="TKW146:TKY146"/>
    <mergeCell ref="TLA146:TLC146"/>
    <mergeCell ref="TLE146:TLG146"/>
    <mergeCell ref="TLI146:TLK146"/>
    <mergeCell ref="TLM146:TLO146"/>
    <mergeCell ref="TQG146:TQI146"/>
    <mergeCell ref="TQK146:TQM146"/>
    <mergeCell ref="TQO146:TQQ146"/>
    <mergeCell ref="TQS146:TQU146"/>
    <mergeCell ref="TQW146:TQY146"/>
    <mergeCell ref="TPM146:TPO146"/>
    <mergeCell ref="TPQ146:TPS146"/>
    <mergeCell ref="TPU146:TPW146"/>
    <mergeCell ref="TPY146:TQA146"/>
    <mergeCell ref="TQC146:TQE146"/>
    <mergeCell ref="TOS146:TOU146"/>
    <mergeCell ref="TOW146:TOY146"/>
    <mergeCell ref="TPA146:TPC146"/>
    <mergeCell ref="TPE146:TPG146"/>
    <mergeCell ref="TPI146:TPK146"/>
    <mergeCell ref="TNY146:TOA146"/>
    <mergeCell ref="TOC146:TOE146"/>
    <mergeCell ref="TOG146:TOI146"/>
    <mergeCell ref="TOK146:TOM146"/>
    <mergeCell ref="TOO146:TOQ146"/>
    <mergeCell ref="TTI146:TTK146"/>
    <mergeCell ref="TTM146:TTO146"/>
    <mergeCell ref="TTQ146:TTS146"/>
    <mergeCell ref="TTU146:TTW146"/>
    <mergeCell ref="TTY146:TUA146"/>
    <mergeCell ref="TSO146:TSQ146"/>
    <mergeCell ref="TSS146:TSU146"/>
    <mergeCell ref="TSW146:TSY146"/>
    <mergeCell ref="TTA146:TTC146"/>
    <mergeCell ref="TTE146:TTG146"/>
    <mergeCell ref="TRU146:TRW146"/>
    <mergeCell ref="TRY146:TSA146"/>
    <mergeCell ref="TSC146:TSE146"/>
    <mergeCell ref="TSG146:TSI146"/>
    <mergeCell ref="TSK146:TSM146"/>
    <mergeCell ref="TRA146:TRC146"/>
    <mergeCell ref="TRE146:TRG146"/>
    <mergeCell ref="TRI146:TRK146"/>
    <mergeCell ref="TRM146:TRO146"/>
    <mergeCell ref="TRQ146:TRS146"/>
    <mergeCell ref="TWK146:TWM146"/>
    <mergeCell ref="TWO146:TWQ146"/>
    <mergeCell ref="TWS146:TWU146"/>
    <mergeCell ref="TWW146:TWY146"/>
    <mergeCell ref="TXA146:TXC146"/>
    <mergeCell ref="TVQ146:TVS146"/>
    <mergeCell ref="TVU146:TVW146"/>
    <mergeCell ref="TVY146:TWA146"/>
    <mergeCell ref="TWC146:TWE146"/>
    <mergeCell ref="TWG146:TWI146"/>
    <mergeCell ref="TUW146:TUY146"/>
    <mergeCell ref="TVA146:TVC146"/>
    <mergeCell ref="TVE146:TVG146"/>
    <mergeCell ref="TVI146:TVK146"/>
    <mergeCell ref="TVM146:TVO146"/>
    <mergeCell ref="TUC146:TUE146"/>
    <mergeCell ref="TUG146:TUI146"/>
    <mergeCell ref="TUK146:TUM146"/>
    <mergeCell ref="TUO146:TUQ146"/>
    <mergeCell ref="TUS146:TUU146"/>
    <mergeCell ref="TZM146:TZO146"/>
    <mergeCell ref="TZQ146:TZS146"/>
    <mergeCell ref="TZU146:TZW146"/>
    <mergeCell ref="TZY146:UAA146"/>
    <mergeCell ref="UAC146:UAE146"/>
    <mergeCell ref="TYS146:TYU146"/>
    <mergeCell ref="TYW146:TYY146"/>
    <mergeCell ref="TZA146:TZC146"/>
    <mergeCell ref="TZE146:TZG146"/>
    <mergeCell ref="TZI146:TZK146"/>
    <mergeCell ref="TXY146:TYA146"/>
    <mergeCell ref="TYC146:TYE146"/>
    <mergeCell ref="TYG146:TYI146"/>
    <mergeCell ref="TYK146:TYM146"/>
    <mergeCell ref="TYO146:TYQ146"/>
    <mergeCell ref="TXE146:TXG146"/>
    <mergeCell ref="TXI146:TXK146"/>
    <mergeCell ref="TXM146:TXO146"/>
    <mergeCell ref="TXQ146:TXS146"/>
    <mergeCell ref="TXU146:TXW146"/>
    <mergeCell ref="UCO146:UCQ146"/>
    <mergeCell ref="UCS146:UCU146"/>
    <mergeCell ref="UCW146:UCY146"/>
    <mergeCell ref="UDA146:UDC146"/>
    <mergeCell ref="UDE146:UDG146"/>
    <mergeCell ref="UBU146:UBW146"/>
    <mergeCell ref="UBY146:UCA146"/>
    <mergeCell ref="UCC146:UCE146"/>
    <mergeCell ref="UCG146:UCI146"/>
    <mergeCell ref="UCK146:UCM146"/>
    <mergeCell ref="UBA146:UBC146"/>
    <mergeCell ref="UBE146:UBG146"/>
    <mergeCell ref="UBI146:UBK146"/>
    <mergeCell ref="UBM146:UBO146"/>
    <mergeCell ref="UBQ146:UBS146"/>
    <mergeCell ref="UAG146:UAI146"/>
    <mergeCell ref="UAK146:UAM146"/>
    <mergeCell ref="UAO146:UAQ146"/>
    <mergeCell ref="UAS146:UAU146"/>
    <mergeCell ref="UAW146:UAY146"/>
    <mergeCell ref="UFQ146:UFS146"/>
    <mergeCell ref="UFU146:UFW146"/>
    <mergeCell ref="UFY146:UGA146"/>
    <mergeCell ref="UGC146:UGE146"/>
    <mergeCell ref="UGG146:UGI146"/>
    <mergeCell ref="UEW146:UEY146"/>
    <mergeCell ref="UFA146:UFC146"/>
    <mergeCell ref="UFE146:UFG146"/>
    <mergeCell ref="UFI146:UFK146"/>
    <mergeCell ref="UFM146:UFO146"/>
    <mergeCell ref="UEC146:UEE146"/>
    <mergeCell ref="UEG146:UEI146"/>
    <mergeCell ref="UEK146:UEM146"/>
    <mergeCell ref="UEO146:UEQ146"/>
    <mergeCell ref="UES146:UEU146"/>
    <mergeCell ref="UDI146:UDK146"/>
    <mergeCell ref="UDM146:UDO146"/>
    <mergeCell ref="UDQ146:UDS146"/>
    <mergeCell ref="UDU146:UDW146"/>
    <mergeCell ref="UDY146:UEA146"/>
    <mergeCell ref="UIS146:UIU146"/>
    <mergeCell ref="UIW146:UIY146"/>
    <mergeCell ref="UJA146:UJC146"/>
    <mergeCell ref="UJE146:UJG146"/>
    <mergeCell ref="UJI146:UJK146"/>
    <mergeCell ref="UHY146:UIA146"/>
    <mergeCell ref="UIC146:UIE146"/>
    <mergeCell ref="UIG146:UII146"/>
    <mergeCell ref="UIK146:UIM146"/>
    <mergeCell ref="UIO146:UIQ146"/>
    <mergeCell ref="UHE146:UHG146"/>
    <mergeCell ref="UHI146:UHK146"/>
    <mergeCell ref="UHM146:UHO146"/>
    <mergeCell ref="UHQ146:UHS146"/>
    <mergeCell ref="UHU146:UHW146"/>
    <mergeCell ref="UGK146:UGM146"/>
    <mergeCell ref="UGO146:UGQ146"/>
    <mergeCell ref="UGS146:UGU146"/>
    <mergeCell ref="UGW146:UGY146"/>
    <mergeCell ref="UHA146:UHC146"/>
    <mergeCell ref="ULU146:ULW146"/>
    <mergeCell ref="ULY146:UMA146"/>
    <mergeCell ref="UMC146:UME146"/>
    <mergeCell ref="UMG146:UMI146"/>
    <mergeCell ref="UMK146:UMM146"/>
    <mergeCell ref="ULA146:ULC146"/>
    <mergeCell ref="ULE146:ULG146"/>
    <mergeCell ref="ULI146:ULK146"/>
    <mergeCell ref="ULM146:ULO146"/>
    <mergeCell ref="ULQ146:ULS146"/>
    <mergeCell ref="UKG146:UKI146"/>
    <mergeCell ref="UKK146:UKM146"/>
    <mergeCell ref="UKO146:UKQ146"/>
    <mergeCell ref="UKS146:UKU146"/>
    <mergeCell ref="UKW146:UKY146"/>
    <mergeCell ref="UJM146:UJO146"/>
    <mergeCell ref="UJQ146:UJS146"/>
    <mergeCell ref="UJU146:UJW146"/>
    <mergeCell ref="UJY146:UKA146"/>
    <mergeCell ref="UKC146:UKE146"/>
    <mergeCell ref="UOW146:UOY146"/>
    <mergeCell ref="UPA146:UPC146"/>
    <mergeCell ref="UPE146:UPG146"/>
    <mergeCell ref="UPI146:UPK146"/>
    <mergeCell ref="UPM146:UPO146"/>
    <mergeCell ref="UOC146:UOE146"/>
    <mergeCell ref="UOG146:UOI146"/>
    <mergeCell ref="UOK146:UOM146"/>
    <mergeCell ref="UOO146:UOQ146"/>
    <mergeCell ref="UOS146:UOU146"/>
    <mergeCell ref="UNI146:UNK146"/>
    <mergeCell ref="UNM146:UNO146"/>
    <mergeCell ref="UNQ146:UNS146"/>
    <mergeCell ref="UNU146:UNW146"/>
    <mergeCell ref="UNY146:UOA146"/>
    <mergeCell ref="UMO146:UMQ146"/>
    <mergeCell ref="UMS146:UMU146"/>
    <mergeCell ref="UMW146:UMY146"/>
    <mergeCell ref="UNA146:UNC146"/>
    <mergeCell ref="UNE146:UNG146"/>
    <mergeCell ref="URY146:USA146"/>
    <mergeCell ref="USC146:USE146"/>
    <mergeCell ref="USG146:USI146"/>
    <mergeCell ref="USK146:USM146"/>
    <mergeCell ref="USO146:USQ146"/>
    <mergeCell ref="URE146:URG146"/>
    <mergeCell ref="URI146:URK146"/>
    <mergeCell ref="URM146:URO146"/>
    <mergeCell ref="URQ146:URS146"/>
    <mergeCell ref="URU146:URW146"/>
    <mergeCell ref="UQK146:UQM146"/>
    <mergeCell ref="UQO146:UQQ146"/>
    <mergeCell ref="UQS146:UQU146"/>
    <mergeCell ref="UQW146:UQY146"/>
    <mergeCell ref="URA146:URC146"/>
    <mergeCell ref="UPQ146:UPS146"/>
    <mergeCell ref="UPU146:UPW146"/>
    <mergeCell ref="UPY146:UQA146"/>
    <mergeCell ref="UQC146:UQE146"/>
    <mergeCell ref="UQG146:UQI146"/>
    <mergeCell ref="UVA146:UVC146"/>
    <mergeCell ref="UVE146:UVG146"/>
    <mergeCell ref="UVI146:UVK146"/>
    <mergeCell ref="UVM146:UVO146"/>
    <mergeCell ref="UVQ146:UVS146"/>
    <mergeCell ref="UUG146:UUI146"/>
    <mergeCell ref="UUK146:UUM146"/>
    <mergeCell ref="UUO146:UUQ146"/>
    <mergeCell ref="UUS146:UUU146"/>
    <mergeCell ref="UUW146:UUY146"/>
    <mergeCell ref="UTM146:UTO146"/>
    <mergeCell ref="UTQ146:UTS146"/>
    <mergeCell ref="UTU146:UTW146"/>
    <mergeCell ref="UTY146:UUA146"/>
    <mergeCell ref="UUC146:UUE146"/>
    <mergeCell ref="USS146:USU146"/>
    <mergeCell ref="USW146:USY146"/>
    <mergeCell ref="UTA146:UTC146"/>
    <mergeCell ref="UTE146:UTG146"/>
    <mergeCell ref="UTI146:UTK146"/>
    <mergeCell ref="UYC146:UYE146"/>
    <mergeCell ref="UYG146:UYI146"/>
    <mergeCell ref="UYK146:UYM146"/>
    <mergeCell ref="UYO146:UYQ146"/>
    <mergeCell ref="UYS146:UYU146"/>
    <mergeCell ref="UXI146:UXK146"/>
    <mergeCell ref="UXM146:UXO146"/>
    <mergeCell ref="UXQ146:UXS146"/>
    <mergeCell ref="UXU146:UXW146"/>
    <mergeCell ref="UXY146:UYA146"/>
    <mergeCell ref="UWO146:UWQ146"/>
    <mergeCell ref="UWS146:UWU146"/>
    <mergeCell ref="UWW146:UWY146"/>
    <mergeCell ref="UXA146:UXC146"/>
    <mergeCell ref="UXE146:UXG146"/>
    <mergeCell ref="UVU146:UVW146"/>
    <mergeCell ref="UVY146:UWA146"/>
    <mergeCell ref="UWC146:UWE146"/>
    <mergeCell ref="UWG146:UWI146"/>
    <mergeCell ref="UWK146:UWM146"/>
    <mergeCell ref="VBE146:VBG146"/>
    <mergeCell ref="VBI146:VBK146"/>
    <mergeCell ref="VBM146:VBO146"/>
    <mergeCell ref="VBQ146:VBS146"/>
    <mergeCell ref="VBU146:VBW146"/>
    <mergeCell ref="VAK146:VAM146"/>
    <mergeCell ref="VAO146:VAQ146"/>
    <mergeCell ref="VAS146:VAU146"/>
    <mergeCell ref="VAW146:VAY146"/>
    <mergeCell ref="VBA146:VBC146"/>
    <mergeCell ref="UZQ146:UZS146"/>
    <mergeCell ref="UZU146:UZW146"/>
    <mergeCell ref="UZY146:VAA146"/>
    <mergeCell ref="VAC146:VAE146"/>
    <mergeCell ref="VAG146:VAI146"/>
    <mergeCell ref="UYW146:UYY146"/>
    <mergeCell ref="UZA146:UZC146"/>
    <mergeCell ref="UZE146:UZG146"/>
    <mergeCell ref="UZI146:UZK146"/>
    <mergeCell ref="UZM146:UZO146"/>
    <mergeCell ref="VEG146:VEI146"/>
    <mergeCell ref="VEK146:VEM146"/>
    <mergeCell ref="VEO146:VEQ146"/>
    <mergeCell ref="VES146:VEU146"/>
    <mergeCell ref="VEW146:VEY146"/>
    <mergeCell ref="VDM146:VDO146"/>
    <mergeCell ref="VDQ146:VDS146"/>
    <mergeCell ref="VDU146:VDW146"/>
    <mergeCell ref="VDY146:VEA146"/>
    <mergeCell ref="VEC146:VEE146"/>
    <mergeCell ref="VCS146:VCU146"/>
    <mergeCell ref="VCW146:VCY146"/>
    <mergeCell ref="VDA146:VDC146"/>
    <mergeCell ref="VDE146:VDG146"/>
    <mergeCell ref="VDI146:VDK146"/>
    <mergeCell ref="VBY146:VCA146"/>
    <mergeCell ref="VCC146:VCE146"/>
    <mergeCell ref="VCG146:VCI146"/>
    <mergeCell ref="VCK146:VCM146"/>
    <mergeCell ref="VCO146:VCQ146"/>
    <mergeCell ref="VHI146:VHK146"/>
    <mergeCell ref="VHM146:VHO146"/>
    <mergeCell ref="VHQ146:VHS146"/>
    <mergeCell ref="VHU146:VHW146"/>
    <mergeCell ref="VHY146:VIA146"/>
    <mergeCell ref="VGO146:VGQ146"/>
    <mergeCell ref="VGS146:VGU146"/>
    <mergeCell ref="VGW146:VGY146"/>
    <mergeCell ref="VHA146:VHC146"/>
    <mergeCell ref="VHE146:VHG146"/>
    <mergeCell ref="VFU146:VFW146"/>
    <mergeCell ref="VFY146:VGA146"/>
    <mergeCell ref="VGC146:VGE146"/>
    <mergeCell ref="VGG146:VGI146"/>
    <mergeCell ref="VGK146:VGM146"/>
    <mergeCell ref="VFA146:VFC146"/>
    <mergeCell ref="VFE146:VFG146"/>
    <mergeCell ref="VFI146:VFK146"/>
    <mergeCell ref="VFM146:VFO146"/>
    <mergeCell ref="VFQ146:VFS146"/>
    <mergeCell ref="VKK146:VKM146"/>
    <mergeCell ref="VKO146:VKQ146"/>
    <mergeCell ref="VKS146:VKU146"/>
    <mergeCell ref="VKW146:VKY146"/>
    <mergeCell ref="VLA146:VLC146"/>
    <mergeCell ref="VJQ146:VJS146"/>
    <mergeCell ref="VJU146:VJW146"/>
    <mergeCell ref="VJY146:VKA146"/>
    <mergeCell ref="VKC146:VKE146"/>
    <mergeCell ref="VKG146:VKI146"/>
    <mergeCell ref="VIW146:VIY146"/>
    <mergeCell ref="VJA146:VJC146"/>
    <mergeCell ref="VJE146:VJG146"/>
    <mergeCell ref="VJI146:VJK146"/>
    <mergeCell ref="VJM146:VJO146"/>
    <mergeCell ref="VIC146:VIE146"/>
    <mergeCell ref="VIG146:VII146"/>
    <mergeCell ref="VIK146:VIM146"/>
    <mergeCell ref="VIO146:VIQ146"/>
    <mergeCell ref="VIS146:VIU146"/>
    <mergeCell ref="VNM146:VNO146"/>
    <mergeCell ref="VNQ146:VNS146"/>
    <mergeCell ref="VNU146:VNW146"/>
    <mergeCell ref="VNY146:VOA146"/>
    <mergeCell ref="VOC146:VOE146"/>
    <mergeCell ref="VMS146:VMU146"/>
    <mergeCell ref="VMW146:VMY146"/>
    <mergeCell ref="VNA146:VNC146"/>
    <mergeCell ref="VNE146:VNG146"/>
    <mergeCell ref="VNI146:VNK146"/>
    <mergeCell ref="VLY146:VMA146"/>
    <mergeCell ref="VMC146:VME146"/>
    <mergeCell ref="VMG146:VMI146"/>
    <mergeCell ref="VMK146:VMM146"/>
    <mergeCell ref="VMO146:VMQ146"/>
    <mergeCell ref="VLE146:VLG146"/>
    <mergeCell ref="VLI146:VLK146"/>
    <mergeCell ref="VLM146:VLO146"/>
    <mergeCell ref="VLQ146:VLS146"/>
    <mergeCell ref="VLU146:VLW146"/>
    <mergeCell ref="VQO146:VQQ146"/>
    <mergeCell ref="VQS146:VQU146"/>
    <mergeCell ref="VQW146:VQY146"/>
    <mergeCell ref="VRA146:VRC146"/>
    <mergeCell ref="VRE146:VRG146"/>
    <mergeCell ref="VPU146:VPW146"/>
    <mergeCell ref="VPY146:VQA146"/>
    <mergeCell ref="VQC146:VQE146"/>
    <mergeCell ref="VQG146:VQI146"/>
    <mergeCell ref="VQK146:VQM146"/>
    <mergeCell ref="VPA146:VPC146"/>
    <mergeCell ref="VPE146:VPG146"/>
    <mergeCell ref="VPI146:VPK146"/>
    <mergeCell ref="VPM146:VPO146"/>
    <mergeCell ref="VPQ146:VPS146"/>
    <mergeCell ref="VOG146:VOI146"/>
    <mergeCell ref="VOK146:VOM146"/>
    <mergeCell ref="VOO146:VOQ146"/>
    <mergeCell ref="VOS146:VOU146"/>
    <mergeCell ref="VOW146:VOY146"/>
    <mergeCell ref="VTQ146:VTS146"/>
    <mergeCell ref="VTU146:VTW146"/>
    <mergeCell ref="VTY146:VUA146"/>
    <mergeCell ref="VUC146:VUE146"/>
    <mergeCell ref="VUG146:VUI146"/>
    <mergeCell ref="VSW146:VSY146"/>
    <mergeCell ref="VTA146:VTC146"/>
    <mergeCell ref="VTE146:VTG146"/>
    <mergeCell ref="VTI146:VTK146"/>
    <mergeCell ref="VTM146:VTO146"/>
    <mergeCell ref="VSC146:VSE146"/>
    <mergeCell ref="VSG146:VSI146"/>
    <mergeCell ref="VSK146:VSM146"/>
    <mergeCell ref="VSO146:VSQ146"/>
    <mergeCell ref="VSS146:VSU146"/>
    <mergeCell ref="VRI146:VRK146"/>
    <mergeCell ref="VRM146:VRO146"/>
    <mergeCell ref="VRQ146:VRS146"/>
    <mergeCell ref="VRU146:VRW146"/>
    <mergeCell ref="VRY146:VSA146"/>
    <mergeCell ref="VWS146:VWU146"/>
    <mergeCell ref="VWW146:VWY146"/>
    <mergeCell ref="VXA146:VXC146"/>
    <mergeCell ref="VXE146:VXG146"/>
    <mergeCell ref="VXI146:VXK146"/>
    <mergeCell ref="VVY146:VWA146"/>
    <mergeCell ref="VWC146:VWE146"/>
    <mergeCell ref="VWG146:VWI146"/>
    <mergeCell ref="VWK146:VWM146"/>
    <mergeCell ref="VWO146:VWQ146"/>
    <mergeCell ref="VVE146:VVG146"/>
    <mergeCell ref="VVI146:VVK146"/>
    <mergeCell ref="VVM146:VVO146"/>
    <mergeCell ref="VVQ146:VVS146"/>
    <mergeCell ref="VVU146:VVW146"/>
    <mergeCell ref="VUK146:VUM146"/>
    <mergeCell ref="VUO146:VUQ146"/>
    <mergeCell ref="VUS146:VUU146"/>
    <mergeCell ref="VUW146:VUY146"/>
    <mergeCell ref="VVA146:VVC146"/>
    <mergeCell ref="VZU146:VZW146"/>
    <mergeCell ref="VZY146:WAA146"/>
    <mergeCell ref="WAC146:WAE146"/>
    <mergeCell ref="WAG146:WAI146"/>
    <mergeCell ref="WAK146:WAM146"/>
    <mergeCell ref="VZA146:VZC146"/>
    <mergeCell ref="VZE146:VZG146"/>
    <mergeCell ref="VZI146:VZK146"/>
    <mergeCell ref="VZM146:VZO146"/>
    <mergeCell ref="VZQ146:VZS146"/>
    <mergeCell ref="VYG146:VYI146"/>
    <mergeCell ref="VYK146:VYM146"/>
    <mergeCell ref="VYO146:VYQ146"/>
    <mergeCell ref="VYS146:VYU146"/>
    <mergeCell ref="VYW146:VYY146"/>
    <mergeCell ref="VXM146:VXO146"/>
    <mergeCell ref="VXQ146:VXS146"/>
    <mergeCell ref="VXU146:VXW146"/>
    <mergeCell ref="VXY146:VYA146"/>
    <mergeCell ref="VYC146:VYE146"/>
    <mergeCell ref="WCW146:WCY146"/>
    <mergeCell ref="WDA146:WDC146"/>
    <mergeCell ref="WDE146:WDG146"/>
    <mergeCell ref="WDI146:WDK146"/>
    <mergeCell ref="WDM146:WDO146"/>
    <mergeCell ref="WCC146:WCE146"/>
    <mergeCell ref="WCG146:WCI146"/>
    <mergeCell ref="WCK146:WCM146"/>
    <mergeCell ref="WCO146:WCQ146"/>
    <mergeCell ref="WCS146:WCU146"/>
    <mergeCell ref="WBI146:WBK146"/>
    <mergeCell ref="WBM146:WBO146"/>
    <mergeCell ref="WBQ146:WBS146"/>
    <mergeCell ref="WBU146:WBW146"/>
    <mergeCell ref="WBY146:WCA146"/>
    <mergeCell ref="WAO146:WAQ146"/>
    <mergeCell ref="WAS146:WAU146"/>
    <mergeCell ref="WAW146:WAY146"/>
    <mergeCell ref="WBA146:WBC146"/>
    <mergeCell ref="WBE146:WBG146"/>
    <mergeCell ref="WFY146:WGA146"/>
    <mergeCell ref="WGC146:WGE146"/>
    <mergeCell ref="WGG146:WGI146"/>
    <mergeCell ref="WGK146:WGM146"/>
    <mergeCell ref="WGO146:WGQ146"/>
    <mergeCell ref="WFE146:WFG146"/>
    <mergeCell ref="WFI146:WFK146"/>
    <mergeCell ref="WFM146:WFO146"/>
    <mergeCell ref="WFQ146:WFS146"/>
    <mergeCell ref="WFU146:WFW146"/>
    <mergeCell ref="WEK146:WEM146"/>
    <mergeCell ref="WEO146:WEQ146"/>
    <mergeCell ref="WES146:WEU146"/>
    <mergeCell ref="WEW146:WEY146"/>
    <mergeCell ref="WFA146:WFC146"/>
    <mergeCell ref="WDQ146:WDS146"/>
    <mergeCell ref="WDU146:WDW146"/>
    <mergeCell ref="WDY146:WEA146"/>
    <mergeCell ref="WEC146:WEE146"/>
    <mergeCell ref="WEG146:WEI146"/>
    <mergeCell ref="WJA146:WJC146"/>
    <mergeCell ref="WJE146:WJG146"/>
    <mergeCell ref="WJI146:WJK146"/>
    <mergeCell ref="WJM146:WJO146"/>
    <mergeCell ref="WJQ146:WJS146"/>
    <mergeCell ref="WIG146:WII146"/>
    <mergeCell ref="WIK146:WIM146"/>
    <mergeCell ref="WIO146:WIQ146"/>
    <mergeCell ref="WIS146:WIU146"/>
    <mergeCell ref="WIW146:WIY146"/>
    <mergeCell ref="WHM146:WHO146"/>
    <mergeCell ref="WHQ146:WHS146"/>
    <mergeCell ref="WHU146:WHW146"/>
    <mergeCell ref="WHY146:WIA146"/>
    <mergeCell ref="WIC146:WIE146"/>
    <mergeCell ref="WGS146:WGU146"/>
    <mergeCell ref="WGW146:WGY146"/>
    <mergeCell ref="WHA146:WHC146"/>
    <mergeCell ref="WHE146:WHG146"/>
    <mergeCell ref="WHI146:WHK146"/>
    <mergeCell ref="WMC146:WME146"/>
    <mergeCell ref="WMG146:WMI146"/>
    <mergeCell ref="WMK146:WMM146"/>
    <mergeCell ref="WMO146:WMQ146"/>
    <mergeCell ref="WMS146:WMU146"/>
    <mergeCell ref="WLI146:WLK146"/>
    <mergeCell ref="WLM146:WLO146"/>
    <mergeCell ref="WLQ146:WLS146"/>
    <mergeCell ref="WLU146:WLW146"/>
    <mergeCell ref="WLY146:WMA146"/>
    <mergeCell ref="WKO146:WKQ146"/>
    <mergeCell ref="WKS146:WKU146"/>
    <mergeCell ref="WKW146:WKY146"/>
    <mergeCell ref="WLA146:WLC146"/>
    <mergeCell ref="WLE146:WLG146"/>
    <mergeCell ref="WJU146:WJW146"/>
    <mergeCell ref="WJY146:WKA146"/>
    <mergeCell ref="WKC146:WKE146"/>
    <mergeCell ref="WKG146:WKI146"/>
    <mergeCell ref="WKK146:WKM146"/>
    <mergeCell ref="WPE146:WPG146"/>
    <mergeCell ref="WPI146:WPK146"/>
    <mergeCell ref="WPM146:WPO146"/>
    <mergeCell ref="WPQ146:WPS146"/>
    <mergeCell ref="WPU146:WPW146"/>
    <mergeCell ref="WOK146:WOM146"/>
    <mergeCell ref="WOO146:WOQ146"/>
    <mergeCell ref="WOS146:WOU146"/>
    <mergeCell ref="WOW146:WOY146"/>
    <mergeCell ref="WPA146:WPC146"/>
    <mergeCell ref="WNQ146:WNS146"/>
    <mergeCell ref="WNU146:WNW146"/>
    <mergeCell ref="WNY146:WOA146"/>
    <mergeCell ref="WOC146:WOE146"/>
    <mergeCell ref="WOG146:WOI146"/>
    <mergeCell ref="WMW146:WMY146"/>
    <mergeCell ref="WNA146:WNC146"/>
    <mergeCell ref="WNE146:WNG146"/>
    <mergeCell ref="WNI146:WNK146"/>
    <mergeCell ref="WNM146:WNO146"/>
    <mergeCell ref="WSG146:WSI146"/>
    <mergeCell ref="WSK146:WSM146"/>
    <mergeCell ref="WSO146:WSQ146"/>
    <mergeCell ref="WSS146:WSU146"/>
    <mergeCell ref="WSW146:WSY146"/>
    <mergeCell ref="WRM146:WRO146"/>
    <mergeCell ref="WRQ146:WRS146"/>
    <mergeCell ref="WRU146:WRW146"/>
    <mergeCell ref="WRY146:WSA146"/>
    <mergeCell ref="WSC146:WSE146"/>
    <mergeCell ref="WQS146:WQU146"/>
    <mergeCell ref="WQW146:WQY146"/>
    <mergeCell ref="WRA146:WRC146"/>
    <mergeCell ref="WRE146:WRG146"/>
    <mergeCell ref="WRI146:WRK146"/>
    <mergeCell ref="WPY146:WQA146"/>
    <mergeCell ref="WQC146:WQE146"/>
    <mergeCell ref="WQG146:WQI146"/>
    <mergeCell ref="WQK146:WQM146"/>
    <mergeCell ref="WQO146:WQQ146"/>
    <mergeCell ref="WVI146:WVK146"/>
    <mergeCell ref="WVM146:WVO146"/>
    <mergeCell ref="WVQ146:WVS146"/>
    <mergeCell ref="WVU146:WVW146"/>
    <mergeCell ref="WVY146:WWA146"/>
    <mergeCell ref="WUO146:WUQ146"/>
    <mergeCell ref="WUS146:WUU146"/>
    <mergeCell ref="WUW146:WUY146"/>
    <mergeCell ref="WVA146:WVC146"/>
    <mergeCell ref="WVE146:WVG146"/>
    <mergeCell ref="WTU146:WTW146"/>
    <mergeCell ref="WTY146:WUA146"/>
    <mergeCell ref="WUC146:WUE146"/>
    <mergeCell ref="WUG146:WUI146"/>
    <mergeCell ref="WUK146:WUM146"/>
    <mergeCell ref="WTA146:WTC146"/>
    <mergeCell ref="WTE146:WTG146"/>
    <mergeCell ref="WTI146:WTK146"/>
    <mergeCell ref="WTM146:WTO146"/>
    <mergeCell ref="WTQ146:WTS146"/>
    <mergeCell ref="WYK146:WYM146"/>
    <mergeCell ref="WYO146:WYQ146"/>
    <mergeCell ref="WYS146:WYU146"/>
    <mergeCell ref="WYW146:WYY146"/>
    <mergeCell ref="WZA146:WZC146"/>
    <mergeCell ref="WXQ146:WXS146"/>
    <mergeCell ref="WXU146:WXW146"/>
    <mergeCell ref="WXY146:WYA146"/>
    <mergeCell ref="WYC146:WYE146"/>
    <mergeCell ref="WYG146:WYI146"/>
    <mergeCell ref="WWW146:WWY146"/>
    <mergeCell ref="WXA146:WXC146"/>
    <mergeCell ref="WXE146:WXG146"/>
    <mergeCell ref="WXI146:WXK146"/>
    <mergeCell ref="WXM146:WXO146"/>
    <mergeCell ref="WWC146:WWE146"/>
    <mergeCell ref="WWG146:WWI146"/>
    <mergeCell ref="WWK146:WWM146"/>
    <mergeCell ref="WWO146:WWQ146"/>
    <mergeCell ref="WWS146:WWU146"/>
    <mergeCell ref="XBM146:XBO146"/>
    <mergeCell ref="XBQ146:XBS146"/>
    <mergeCell ref="XBU146:XBW146"/>
    <mergeCell ref="XBY146:XCA146"/>
    <mergeCell ref="XCC146:XCE146"/>
    <mergeCell ref="XAS146:XAU146"/>
    <mergeCell ref="XAW146:XAY146"/>
    <mergeCell ref="XBA146:XBC146"/>
    <mergeCell ref="XBE146:XBG146"/>
    <mergeCell ref="XBI146:XBK146"/>
    <mergeCell ref="WZY146:XAA146"/>
    <mergeCell ref="XAC146:XAE146"/>
    <mergeCell ref="XAG146:XAI146"/>
    <mergeCell ref="XAK146:XAM146"/>
    <mergeCell ref="XAO146:XAQ146"/>
    <mergeCell ref="WZE146:WZG146"/>
    <mergeCell ref="WZI146:WZK146"/>
    <mergeCell ref="WZM146:WZO146"/>
    <mergeCell ref="WZQ146:WZS146"/>
    <mergeCell ref="WZU146:WZW146"/>
    <mergeCell ref="XEO146:XEQ146"/>
    <mergeCell ref="XES146:XEU146"/>
    <mergeCell ref="XEW146:XEY146"/>
    <mergeCell ref="XDU146:XDW146"/>
    <mergeCell ref="XDY146:XEA146"/>
    <mergeCell ref="XEC146:XEE146"/>
    <mergeCell ref="XEG146:XEI146"/>
    <mergeCell ref="XEK146:XEM146"/>
    <mergeCell ref="XDA146:XDC146"/>
    <mergeCell ref="XDE146:XDG146"/>
    <mergeCell ref="XDI146:XDK146"/>
    <mergeCell ref="XDM146:XDO146"/>
    <mergeCell ref="XDQ146:XDS146"/>
    <mergeCell ref="XCG146:XCI146"/>
    <mergeCell ref="XCK146:XCM146"/>
    <mergeCell ref="XCO146:XCQ146"/>
    <mergeCell ref="XCS146:XCU146"/>
    <mergeCell ref="XCW146:XCY146"/>
  </mergeCells>
  <phoneticPr fontId="22" type="noConversion"/>
  <conditionalFormatting sqref="E1048574:E1048576 A9:H15 A8:D8 F8:H8 A17:H18 A16:D16 F16:H16 A19:D19 F19:H19 A29:H30 A28:D28 F28:H28 A31:D31 F31:H31 A52:H52 A51:D51 F51:H51 A54:H142 A53:D53 F53:H53 A20:H27 A32:H50">
    <cfRule type="expression" dxfId="19" priority="3860">
      <formula>$C$3="Yes, section requirements are not applicable"</formula>
    </cfRule>
  </conditionalFormatting>
  <conditionalFormatting sqref="A9:H15">
    <cfRule type="expression" dxfId="18" priority="8">
      <formula>$E$8="N/A"</formula>
    </cfRule>
  </conditionalFormatting>
  <conditionalFormatting sqref="A17:H18">
    <cfRule type="expression" dxfId="17" priority="7">
      <formula>$E$16="N/A"</formula>
    </cfRule>
  </conditionalFormatting>
  <conditionalFormatting sqref="A20:H27">
    <cfRule type="expression" dxfId="16" priority="6">
      <formula>$E$19="N/A"</formula>
    </cfRule>
  </conditionalFormatting>
  <conditionalFormatting sqref="A29:H30">
    <cfRule type="expression" dxfId="15" priority="5">
      <formula>$E$28="N/A"</formula>
    </cfRule>
  </conditionalFormatting>
  <conditionalFormatting sqref="A32:H50">
    <cfRule type="expression" dxfId="14" priority="4">
      <formula>$E$31="N/A"</formula>
    </cfRule>
  </conditionalFormatting>
  <conditionalFormatting sqref="A52:H52">
    <cfRule type="expression" dxfId="13" priority="3">
      <formula>$E$51="N/A"</formula>
    </cfRule>
  </conditionalFormatting>
  <conditionalFormatting sqref="A54:H59">
    <cfRule type="expression" dxfId="12" priority="2">
      <formula>$E$53="N/A"</formula>
    </cfRule>
  </conditionalFormatting>
  <conditionalFormatting sqref="A9:H59">
    <cfRule type="expression" dxfId="11" priority="1">
      <formula>$X9=TRUE</formula>
    </cfRule>
  </conditionalFormatting>
  <conditionalFormatting sqref="E8 E16 E19 E28 E31 E51 E53">
    <cfRule type="expression" dxfId="10" priority="5160">
      <formula>$AI8=1</formula>
    </cfRule>
    <cfRule type="expression" dxfId="9" priority="5161">
      <formula>$C$3="Yes, section requirements are not included in the contract amendment"</formula>
    </cfRule>
    <cfRule type="expression" dxfId="8" priority="5162">
      <formula>OR(#REF!=TRUE,#REF!=TRUE)</formula>
    </cfRule>
  </conditionalFormatting>
  <dataValidations count="4">
    <dataValidation type="list" allowBlank="1" showInputMessage="1" showErrorMessage="1" sqref="C3" xr:uid="{00000000-0002-0000-0D00-000000000000}">
      <formula1>$K$2:$K$3</formula1>
    </dataValidation>
    <dataValidation type="list" allowBlank="1" showInputMessage="1" showErrorMessage="1" sqref="E106:E124 E136:E142 E70:E104 E61:E68 E128:E134 E126" xr:uid="{00000000-0002-0000-0D00-000001000000}">
      <formula1>INDIRECT(SUBSTITUTE($Q61," ",""))</formula1>
    </dataValidation>
    <dataValidation type="list" allowBlank="1" showInputMessage="1" showErrorMessage="1" sqref="E9:E15 E17:E18 E20:E27 E29:E30 E32:E50 E52 E54:E59 E1048575:E1048576" xr:uid="{38C00C15-36CB-4735-BF00-65E1B46151D8}">
      <formula1>$J$1:$J$4</formula1>
    </dataValidation>
    <dataValidation type="list" allowBlank="1" showInputMessage="1" showErrorMessage="1" sqref="E8 E16 E19 E28 E31 E51 E53" xr:uid="{5F338A2C-A656-428E-93B3-CA4D90CBA214}">
      <formula1>$AM$1</formula1>
    </dataValidation>
  </dataValidations>
  <hyperlinks>
    <hyperlink ref="D15" location="'J. General Terms and Conditions'!A144" display="'J. General Terms and Conditions'!A144" xr:uid="{9EC0F976-8230-4508-ABC1-03D401AA9821}"/>
    <hyperlink ref="D20" location="'J. General Terms and Conditions'!A145" display="'J. General Terms and Conditions'!A145" xr:uid="{38B4329E-08D6-4D86-9176-DD52EDCAE476}"/>
    <hyperlink ref="D23" location="'J. General Terms and Conditions'!A145" display="'J. General Terms and Conditions'!A145" xr:uid="{10C0CA5A-9FA2-4E60-BF81-1CA8B7DB3940}"/>
    <hyperlink ref="D30" location="'J. General Terms and Conditions'!A146" display="'J. General Terms and Conditions'!A146" xr:uid="{63A27D26-6725-4CBD-A781-A6399401DD8B}"/>
    <hyperlink ref="D32" location="'J. General Terms and Conditions'!A147" display="'J. General Terms and Conditions'!A147" xr:uid="{C94CA188-112B-4499-86EF-E7C39CB9D42C}"/>
    <hyperlink ref="D34" location="'J. General Terms and Conditions'!A147" display="4,5" xr:uid="{25852710-1E39-407D-BFD5-E395632F1541}"/>
    <hyperlink ref="D37" location="'J. General Terms and Conditions'!A147" display="4,6" xr:uid="{8300C909-1D60-4977-97B6-6BDCF53461FA}"/>
    <hyperlink ref="D40" location="'J. General Terms and Conditions'!A150" display="7,8" xr:uid="{584D1356-8032-4418-ACA0-46D24DECB11A}"/>
    <hyperlink ref="D41" location="'J. General Terms and Conditions'!A151" display="'J. General Terms and Conditions'!A151" xr:uid="{A8EA6C19-FAF7-48B1-9A23-3480513B1E24}"/>
    <hyperlink ref="D43" location="'J. General Terms and Conditions'!A151" display="8,9" xr:uid="{D835B8D1-2FAF-4821-8AC8-9C09A4119773}"/>
    <hyperlink ref="D59" location="'J. General Terms and Conditions'!A153" display="'J. General Terms and Conditions'!A153" xr:uid="{E9E4DEAC-00A6-49B9-94E5-F38D25F117BF}"/>
    <hyperlink ref="A144" location="'J. General Terms and Conditions'!D15" display="'J. General Terms and Conditions'!D15" xr:uid="{DE4F4D62-195B-4E9B-B09D-BB463B3C875C}"/>
    <hyperlink ref="A145" location="'J. General Terms and Conditions'!D20" display="'J. General Terms and Conditions'!D20" xr:uid="{A0051279-B601-4825-9F1B-B5D186239F4B}"/>
    <hyperlink ref="A146" location="'J. General Terms and Conditions'!D30" display="'J. General Terms and Conditions'!D30" xr:uid="{9C437D63-7F35-4B67-AF90-AFAF1650DE35}"/>
    <hyperlink ref="A147" location="'J. General Terms and Conditions'!D32" display="'J. General Terms and Conditions'!D32" xr:uid="{B325E5FA-A28E-4264-83BC-73503E8AB565}"/>
    <hyperlink ref="A148" location="'J. General Terms and Conditions'!D34" display="'J. General Terms and Conditions'!D34" xr:uid="{9EEE8F87-09E2-4606-A01D-F4368471C244}"/>
    <hyperlink ref="A149" location="'J. General Terms and Conditions'!D37" display="'J. General Terms and Conditions'!D37" xr:uid="{CAC3FF06-E873-47DC-B3B1-920972B24C36}"/>
    <hyperlink ref="A150" location="'J. General Terms and Conditions'!D40" display="'J. General Terms and Conditions'!D40" xr:uid="{0E32704D-5ED1-4245-B0A9-D86AE99FBE4D}"/>
    <hyperlink ref="A151" location="'J. General Terms and Conditions'!D40" display="'J. General Terms and Conditions'!D40" xr:uid="{E7201CD6-E6AB-4FA0-860D-41FE477DB329}"/>
    <hyperlink ref="A152" location="'J. General Terms and Conditions'!D43" display="'J. General Terms and Conditions'!D43" xr:uid="{5F454CB6-686C-4722-A5C1-3BFCC684C92B}"/>
    <hyperlink ref="A153" location="'J. General Terms and Conditions'!D59" display="'J. General Terms and Conditions'!D59" xr:uid="{A4B0DCF4-50AC-4102-B249-F42B50EEA2CD}"/>
    <hyperlink ref="D21" location="'J. General Terms and Conditions'!A145" display="'J. General Terms and Conditions'!A145" xr:uid="{82C051F8-3898-4631-8E12-485A6EE8189D}"/>
    <hyperlink ref="D22" location="'J. General Terms and Conditions'!A145" display="'J. General Terms and Conditions'!A145" xr:uid="{1F0FD622-8590-425A-839F-49191C74D0C2}"/>
    <hyperlink ref="D24" location="'J. General Terms and Conditions'!A145" display="'J. General Terms and Conditions'!A145" xr:uid="{601336DF-62ED-48D4-80F2-B9D289A016CE}"/>
    <hyperlink ref="D25" location="'J. General Terms and Conditions'!A145" display="'J. General Terms and Conditions'!A145" xr:uid="{EC037DF6-1356-43C4-85C4-90E5FC9AD1F6}"/>
    <hyperlink ref="D26" location="'J. General Terms and Conditions'!A145" display="'J. General Terms and Conditions'!A145" xr:uid="{74BE2E33-C018-4511-8511-EA8F4D91CA1B}"/>
    <hyperlink ref="D27" location="'J. General Terms and Conditions'!A145" display="'J. General Terms and Conditions'!A145" xr:uid="{A249EE8F-36E0-41B4-8E65-CFEB94EF30AE}"/>
    <hyperlink ref="D33" location="'J. General Terms and Conditions'!A147" display="'J. General Terms and Conditions'!A147" xr:uid="{A0D6EF63-E3F2-488A-998E-3CC3B2B4BB73}"/>
    <hyperlink ref="D35" location="'J. General Terms and Conditions'!A147" display="'J. General Terms and Conditions'!A147" xr:uid="{E93D7814-BF5D-4C6B-B9D4-B555DB864EA6}"/>
    <hyperlink ref="D36" location="'J. General Terms and Conditions'!A147" display="'J. General Terms and Conditions'!A147" xr:uid="{3441691F-08AF-4B05-93E0-C553CA73A410}"/>
    <hyperlink ref="D38" location="'J. General Terms and Conditions'!A147" display="'J. General Terms and Conditions'!A147" xr:uid="{9CD0F9D4-0F99-4135-A70F-27CE0372E649}"/>
    <hyperlink ref="D42" location="'J. General Terms and Conditions'!A151" display="'J. General Terms and Conditions'!A151" xr:uid="{1DD4FF66-FACF-4534-A143-D40A98C4CB48}"/>
    <hyperlink ref="D44" location="'J. General Terms and Conditions'!A151" display="'J. General Terms and Conditions'!A151" xr:uid="{561ED208-80B0-48B1-9A4A-A0488694B360}"/>
    <hyperlink ref="D45" location="'J. General Terms and Conditions'!A151" display="'J. General Terms and Conditions'!A151" xr:uid="{326F60A7-A12C-4E42-B1A8-C68BC952DE7B}"/>
    <hyperlink ref="D46" location="'J. General Terms and Conditions'!A151" display="'J. General Terms and Conditions'!A151" xr:uid="{65A59791-DBBC-403D-9BD2-3B6FCF41218D}"/>
    <hyperlink ref="D47" location="'J. General Terms and Conditions'!A151" display="'J. General Terms and Conditions'!A151" xr:uid="{5DCD35C2-5394-40B0-9864-A1619E0A98B1}"/>
    <hyperlink ref="D48" location="'J. General Terms and Conditions'!A151" display="'J. General Terms and Conditions'!A151" xr:uid="{4F96CECA-12E5-4C5D-B34B-E7D303672DBB}"/>
    <hyperlink ref="D49" location="'J. General Terms and Conditions'!A151" display="'J. General Terms and Conditions'!A151" xr:uid="{4A05FF29-6962-4EFB-878C-111F9237DF37}"/>
    <hyperlink ref="D50" location="'J. General Terms and Conditions'!A151" display="'J. General Terms and Conditions'!A151" xr:uid="{6E0D745E-9843-48A8-9968-B2FD0D9B82E7}"/>
  </hyperlinks>
  <pageMargins left="0.25" right="0.25" top="0.75" bottom="0.75" header="0.3" footer="0.3"/>
  <pageSetup scale="78" fitToHeight="0" orientation="landscape" horizontalDpi="4294967293" verticalDpi="4294967293" r:id="rId1"/>
  <extLst>
    <ext xmlns:x14="http://schemas.microsoft.com/office/spreadsheetml/2009/9/main" uri="{78C0D931-6437-407d-A8EE-F0AAD7539E65}">
      <x14:conditionalFormattings>
        <x14:conditionalFormatting xmlns:xm="http://schemas.microsoft.com/office/excel/2006/main">
          <x14:cfRule type="expression" priority="48" id="{5EEB9EFA-131A-449F-9D80-69C0D662A232}">
            <xm:f>AND('Cover Sheet'!$B$29="Streamlined Review")</xm:f>
            <x14:dxf>
              <fill>
                <patternFill patternType="lightUp"/>
              </fill>
            </x14:dxf>
          </x14:cfRule>
          <xm:sqref>A9:H15 A18:H18 A29:H30 A52:H52 A54:H59 A20:H22 A24:H27 A32:H50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pageSetUpPr fitToPage="1"/>
  </sheetPr>
  <dimension ref="A1:BD150"/>
  <sheetViews>
    <sheetView zoomScale="70" zoomScaleNormal="70" workbookViewId="0">
      <pane ySplit="7" topLeftCell="A11" activePane="bottomLeft" state="frozen"/>
      <selection pane="bottomLeft" sqref="A1:F1"/>
    </sheetView>
  </sheetViews>
  <sheetFormatPr defaultColWidth="9.28515625" defaultRowHeight="15" x14ac:dyDescent="0.25"/>
  <cols>
    <col min="1" max="1" width="10.5703125" customWidth="1"/>
    <col min="2" max="2" width="18.5703125" style="7" customWidth="1"/>
    <col min="3" max="3" width="75.7109375" style="152" customWidth="1"/>
    <col min="4" max="4" width="9.28515625" style="8" customWidth="1"/>
    <col min="5" max="5" width="8.42578125" style="5" customWidth="1"/>
    <col min="6" max="6" width="8.5703125" customWidth="1"/>
    <col min="7" max="7" width="21.7109375" customWidth="1"/>
    <col min="8" max="8" width="26.140625" customWidth="1"/>
    <col min="9" max="9" width="10.7109375" style="141" hidden="1" customWidth="1"/>
    <col min="10" max="10" width="9.5703125" style="139" hidden="1" customWidth="1"/>
    <col min="11" max="12" width="6.28515625" style="139" hidden="1" customWidth="1"/>
    <col min="13" max="13" width="11.28515625" style="138" hidden="1" customWidth="1"/>
    <col min="14" max="15" width="6.28515625" style="116" hidden="1" customWidth="1"/>
    <col min="16" max="16" width="15.7109375" style="116" hidden="1" customWidth="1"/>
    <col min="17" max="17" width="8.7109375" style="116" hidden="1" customWidth="1"/>
    <col min="18" max="18" width="12.42578125" style="117" hidden="1" customWidth="1"/>
    <col min="19" max="21" width="15.42578125" style="116" hidden="1" customWidth="1"/>
    <col min="22" max="22" width="21" style="122" hidden="1" customWidth="1"/>
    <col min="23" max="23" width="23.5703125" style="116" hidden="1" customWidth="1"/>
    <col min="24" max="24" width="18.42578125" style="116" hidden="1" customWidth="1"/>
    <col min="25" max="25" width="32.42578125" style="121" hidden="1" customWidth="1"/>
    <col min="26" max="26" width="16" style="121" hidden="1" customWidth="1"/>
    <col min="27" max="27" width="24" style="121" hidden="1" customWidth="1"/>
    <col min="28" max="28" width="24" style="68" hidden="1" customWidth="1"/>
    <col min="29" max="29" width="26.5703125" style="68" hidden="1" customWidth="1"/>
    <col min="30" max="38" width="26.5703125" style="88" hidden="1" customWidth="1"/>
    <col min="39" max="39" width="66.42578125" style="69" hidden="1" customWidth="1"/>
    <col min="40" max="40" width="35.28515625" style="106" hidden="1" customWidth="1"/>
    <col min="41" max="41" width="10.42578125" style="69" hidden="1" customWidth="1"/>
    <col min="42" max="42" width="68.28515625" style="84" hidden="1" customWidth="1"/>
    <col min="43" max="43" width="16.42578125" style="69" hidden="1" customWidth="1"/>
    <col min="44" max="44" width="12.28515625" style="69" hidden="1" customWidth="1"/>
    <col min="45" max="45" width="14.7109375" style="69" hidden="1" customWidth="1"/>
    <col min="46" max="53" width="9.28515625" style="69" hidden="1" customWidth="1"/>
    <col min="54" max="54" width="24.28515625" style="117" hidden="1" customWidth="1"/>
    <col min="55" max="55" width="11" style="5" hidden="1" customWidth="1"/>
    <col min="56" max="56" width="9.28515625" hidden="1" customWidth="1"/>
    <col min="57" max="64" width="9.28515625" customWidth="1"/>
  </cols>
  <sheetData>
    <row r="1" spans="1:55" ht="32.450000000000003" customHeight="1" thickBot="1" x14ac:dyDescent="0.3">
      <c r="A1" s="573" t="s">
        <v>2347</v>
      </c>
      <c r="B1" s="574"/>
      <c r="C1" s="574"/>
      <c r="D1" s="574"/>
      <c r="E1" s="574"/>
      <c r="F1" s="574"/>
      <c r="G1" s="548"/>
      <c r="H1" s="280"/>
      <c r="I1" s="25"/>
      <c r="J1" s="26" t="s">
        <v>311</v>
      </c>
      <c r="K1" s="27"/>
      <c r="L1" s="51"/>
      <c r="M1" s="52" t="b">
        <f>IF($C$2="Base contract","Blist",IF($C$2="Contract Amendment","Alist"))</f>
        <v>0</v>
      </c>
      <c r="N1" s="53"/>
      <c r="O1" s="29"/>
      <c r="P1" s="53"/>
      <c r="Q1" s="53"/>
      <c r="R1" s="53"/>
      <c r="S1" s="53"/>
      <c r="T1" s="53"/>
      <c r="U1" s="53"/>
      <c r="V1" s="38"/>
      <c r="W1" s="112"/>
      <c r="X1" s="112"/>
      <c r="Y1" s="65" t="s">
        <v>314</v>
      </c>
      <c r="Z1" s="115" t="s">
        <v>315</v>
      </c>
      <c r="AA1" s="55" t="s">
        <v>253</v>
      </c>
      <c r="AB1" s="546" t="s">
        <v>316</v>
      </c>
      <c r="AC1" s="102" t="s">
        <v>317</v>
      </c>
      <c r="AD1" s="54"/>
      <c r="AE1" s="545"/>
      <c r="AF1" s="545"/>
      <c r="AG1" s="581" t="s">
        <v>313</v>
      </c>
      <c r="AH1" s="582"/>
      <c r="AI1" s="582"/>
      <c r="AJ1" s="582"/>
      <c r="AK1" s="582"/>
      <c r="AL1" s="582"/>
      <c r="AM1" s="57"/>
      <c r="AN1" s="46" t="s">
        <v>318</v>
      </c>
      <c r="AO1" s="56"/>
      <c r="AP1" s="56"/>
      <c r="AQ1" s="56"/>
      <c r="AR1" s="56"/>
      <c r="AT1" s="69" t="s">
        <v>319</v>
      </c>
      <c r="BB1" s="53"/>
    </row>
    <row r="2" spans="1:55" ht="25.5" customHeight="1" x14ac:dyDescent="0.25">
      <c r="A2" s="588" t="s">
        <v>320</v>
      </c>
      <c r="B2" s="589"/>
      <c r="C2" s="551">
        <f>'Cover Sheet'!B6</f>
        <v>0</v>
      </c>
      <c r="D2" s="218"/>
      <c r="E2" s="281"/>
      <c r="F2" s="393"/>
      <c r="G2" s="394" t="s">
        <v>1077</v>
      </c>
      <c r="H2" s="284" t="str">
        <f>I2</f>
        <v>Not Started</v>
      </c>
      <c r="I2" s="25" t="str">
        <f>IF(OR($C$3="Yes, section requirements are not applicable",$C$3="Yes, all requirements on the sheet are crosshatched",AND(E8="N/A")),"Section Review N/A",IF((COUNTA(A8:A22)+COUNTBLANK(A8:A22)=COUNTBLANK(E8:E22)),"Not Started",IF((COUNTA(A8:A22)&gt;SUM(V8:V22)),"In Progress","Section Review Complete")))</f>
        <v>Not Started</v>
      </c>
      <c r="J2" s="25" t="s">
        <v>322</v>
      </c>
      <c r="K2" s="27" t="s">
        <v>323</v>
      </c>
      <c r="L2" s="27"/>
      <c r="M2" s="28"/>
      <c r="N2" s="53"/>
      <c r="O2" s="29"/>
      <c r="P2" s="53"/>
      <c r="Q2" s="53"/>
      <c r="R2" s="53"/>
      <c r="S2" s="53"/>
      <c r="T2" s="53"/>
      <c r="U2" s="53"/>
      <c r="V2" s="38"/>
      <c r="W2" s="59"/>
      <c r="X2" s="59"/>
      <c r="Y2" s="53" t="e">
        <f>IF(OR('Cover Sheet'!$B$4="Medicaid", 'Cover Sheet'!$B$4="Both"),IF(OR('Cover Sheet'!$B$23="",'Cover Sheet'!#REF!=""),TRUE,FALSE), IF('Cover Sheet'!$B$4="CHIP",IF('Cover Sheet'!$B$23="",TRUE,FALSE),TRUE))</f>
        <v>#REF!</v>
      </c>
      <c r="Z2" s="60" t="e">
        <f>IF($Y$2=FALSE,'Cover Sheet'!$B$23,"")</f>
        <v>#REF!</v>
      </c>
      <c r="AA2" s="60" t="e">
        <f>IF($Y$2=FALSE,'Cover Sheet'!#REF!,"")</f>
        <v>#REF!</v>
      </c>
      <c r="AB2" s="29" t="b">
        <f>IF('Cover Sheet'!$B$7="",TRUE,FALSE)</f>
        <v>1</v>
      </c>
      <c r="AC2" s="103" t="str">
        <f>IF($AB$2=FALSE,'Cover Sheet'!$B$7,"")</f>
        <v/>
      </c>
      <c r="AD2" s="54"/>
      <c r="AE2" s="59"/>
      <c r="AF2" s="59"/>
      <c r="AG2" s="54" t="str">
        <f>IF('Cover Sheet'!$B$13="Yes","MCO","--")</f>
        <v>MCO</v>
      </c>
      <c r="AH2" s="54" t="str">
        <f>IF('Cover Sheet'!$B$14="Yes","HIO","--")</f>
        <v>--</v>
      </c>
      <c r="AI2" s="54" t="str">
        <f>IF('Cover Sheet'!$B$15="Yes","PIHP","--")</f>
        <v>--</v>
      </c>
      <c r="AJ2" s="54" t="str">
        <f>IF('Cover Sheet'!$B$16="Yes","PAHP","--")</f>
        <v>--</v>
      </c>
      <c r="AK2" s="54" t="str">
        <f>IF('Cover Sheet'!$B$17="Yes","NEMT PAHP","--")</f>
        <v>--</v>
      </c>
      <c r="AL2" s="54" t="str">
        <f>IF('Cover Sheet'!$B$18="Yes","PCCME","--")</f>
        <v>--</v>
      </c>
      <c r="AM2" s="57"/>
      <c r="AN2" s="61">
        <f>IF('Cover Sheet'!$B$4="BOTH",1,0)</f>
        <v>1</v>
      </c>
      <c r="AO2" s="56"/>
      <c r="AP2" s="56" t="s">
        <v>224</v>
      </c>
      <c r="AQ2" s="56"/>
      <c r="AR2" s="56"/>
      <c r="BB2" s="53"/>
    </row>
    <row r="3" spans="1:55" ht="15.75" customHeight="1" thickBot="1" x14ac:dyDescent="0.3">
      <c r="A3" s="305" t="s">
        <v>324</v>
      </c>
      <c r="B3" s="306"/>
      <c r="C3" s="307" t="s">
        <v>325</v>
      </c>
      <c r="D3" s="226"/>
      <c r="E3" s="285"/>
      <c r="F3" s="288"/>
      <c r="G3" s="286" t="s">
        <v>326</v>
      </c>
      <c r="H3" s="288" t="str">
        <f>I3</f>
        <v>Not Started</v>
      </c>
      <c r="I3" s="25" t="str">
        <f>IF(OR($C$3="Yes, section requirements are not applicable",$C$3="Yes, all requirements on the sheet are crosshatched",AND(E8="N/A")),"Section Review N/A",IF((COUNTA(A8:A22)+COUNTBLANK(A8:A22))=COUNTBLANK(E8:E22),"Not Started",IF(OR(COUNTA(A8:A22)+COUNTBLANK(A8:A22)&lt;&gt;COUNTIF(E8:E22,"Yes")+COUNTIF(E8:E22,"Met")+COUNTIF(E8:E22,"N/A")+COUNTBLANK(E8:E22),COUNTA(A8:A22)&lt;&gt;SUM(V8:V22)),"Revisions Needed","Approved")))</f>
        <v>Not Started</v>
      </c>
      <c r="J3" s="25" t="s">
        <v>327</v>
      </c>
      <c r="K3" s="27" t="s">
        <v>325</v>
      </c>
      <c r="L3" s="27"/>
      <c r="M3" s="28"/>
      <c r="N3" s="53"/>
      <c r="O3" s="29"/>
      <c r="P3" s="53"/>
      <c r="Q3" s="53"/>
      <c r="R3" s="53"/>
      <c r="S3" s="54"/>
      <c r="T3" s="54"/>
      <c r="U3" s="54"/>
      <c r="V3" s="38"/>
      <c r="W3" s="54"/>
      <c r="X3" s="54"/>
      <c r="Y3" s="54"/>
      <c r="Z3" s="54"/>
      <c r="AA3" s="56"/>
      <c r="AB3" s="56"/>
      <c r="AC3" s="54"/>
      <c r="AD3" s="54"/>
      <c r="AE3" s="56"/>
      <c r="AF3" s="56"/>
      <c r="AG3" s="56"/>
      <c r="AH3" s="56"/>
      <c r="AI3" s="56"/>
      <c r="AJ3" s="56"/>
      <c r="AK3" s="56"/>
      <c r="AL3" s="56"/>
      <c r="AM3" s="57"/>
      <c r="AN3" s="54"/>
      <c r="AO3" s="56"/>
      <c r="AP3" s="56"/>
      <c r="AQ3" s="56"/>
      <c r="AR3" s="56"/>
      <c r="BB3" s="53"/>
    </row>
    <row r="4" spans="1:55" ht="15.75" hidden="1" customHeight="1" x14ac:dyDescent="0.25">
      <c r="A4" s="231"/>
      <c r="B4" s="232"/>
      <c r="C4" s="289"/>
      <c r="D4" s="234"/>
      <c r="E4" s="231"/>
      <c r="F4" s="290"/>
      <c r="G4" s="290"/>
      <c r="H4" s="290"/>
      <c r="I4" s="25"/>
      <c r="J4" s="25" t="s">
        <v>319</v>
      </c>
      <c r="K4" s="27"/>
      <c r="L4" s="27"/>
      <c r="M4" s="28"/>
      <c r="N4" s="53"/>
      <c r="O4" s="29"/>
      <c r="P4" s="53"/>
      <c r="Q4" s="53"/>
      <c r="R4" s="53"/>
      <c r="S4" s="54"/>
      <c r="T4" s="54"/>
      <c r="U4" s="54"/>
      <c r="V4" s="38"/>
      <c r="W4" s="54"/>
      <c r="X4" s="54"/>
      <c r="Y4" s="54"/>
      <c r="Z4" s="54"/>
      <c r="AA4" s="56"/>
      <c r="AB4" s="56"/>
      <c r="AC4" s="54"/>
      <c r="AD4" s="54"/>
      <c r="AE4" s="56"/>
      <c r="AF4" s="56"/>
      <c r="AG4" s="56"/>
      <c r="AH4" s="56"/>
      <c r="AI4" s="56"/>
      <c r="AJ4" s="56"/>
      <c r="AK4" s="56"/>
      <c r="AL4" s="56"/>
      <c r="AM4" s="57"/>
      <c r="AN4" s="54"/>
      <c r="AO4" s="56"/>
      <c r="AP4" s="56"/>
      <c r="AQ4" s="56"/>
      <c r="AR4" s="56"/>
      <c r="BB4" s="53"/>
    </row>
    <row r="5" spans="1:55" ht="15.75" hidden="1" customHeight="1" x14ac:dyDescent="0.25">
      <c r="A5" s="237"/>
      <c r="B5" s="238"/>
      <c r="C5" s="291"/>
      <c r="D5" s="239"/>
      <c r="E5" s="237"/>
      <c r="F5" s="292"/>
      <c r="G5" s="292"/>
      <c r="H5" s="292"/>
      <c r="I5" s="25"/>
      <c r="J5" s="25"/>
      <c r="K5" s="27"/>
      <c r="L5" s="27"/>
      <c r="M5" s="28"/>
      <c r="N5" s="53"/>
      <c r="O5" s="29"/>
      <c r="P5" s="53"/>
      <c r="Q5" s="53"/>
      <c r="R5" s="53" t="s">
        <v>330</v>
      </c>
      <c r="S5" s="54"/>
      <c r="T5" s="54"/>
      <c r="U5" s="54"/>
      <c r="V5" s="38"/>
      <c r="W5" s="54"/>
      <c r="X5" s="54"/>
      <c r="Y5" s="54"/>
      <c r="Z5" s="54"/>
      <c r="AA5" s="56"/>
      <c r="AB5" s="56"/>
      <c r="AC5" s="54"/>
      <c r="AD5" s="54"/>
      <c r="AE5" s="56"/>
      <c r="AF5" s="56"/>
      <c r="AG5" s="56"/>
      <c r="AH5" s="56"/>
      <c r="AI5" s="56"/>
      <c r="AJ5" s="56"/>
      <c r="AK5" s="56"/>
      <c r="AL5" s="56"/>
      <c r="AM5" s="57"/>
      <c r="AN5" s="54"/>
      <c r="AO5" s="56"/>
      <c r="AP5" s="56"/>
      <c r="AQ5" s="56"/>
      <c r="AR5" s="56"/>
      <c r="AT5" s="69" t="s">
        <v>331</v>
      </c>
      <c r="BB5" s="53"/>
    </row>
    <row r="6" spans="1:55" ht="15.75" hidden="1" customHeight="1" thickBot="1" x14ac:dyDescent="0.3">
      <c r="A6" s="242"/>
      <c r="B6" s="243"/>
      <c r="C6" s="244"/>
      <c r="D6" s="245"/>
      <c r="E6" s="246"/>
      <c r="F6" s="247"/>
      <c r="G6" s="247"/>
      <c r="H6" s="247"/>
      <c r="I6" s="26" t="s">
        <v>466</v>
      </c>
      <c r="J6" s="25"/>
      <c r="K6" s="32"/>
      <c r="L6" s="25"/>
      <c r="M6" s="53"/>
      <c r="N6" s="53"/>
      <c r="O6" s="53"/>
      <c r="P6" s="33" t="s">
        <v>332</v>
      </c>
      <c r="Q6" s="33" t="s">
        <v>333</v>
      </c>
      <c r="R6" s="63"/>
      <c r="S6" s="66"/>
      <c r="T6" s="66"/>
      <c r="U6" s="66"/>
      <c r="V6" s="38"/>
      <c r="W6" s="54"/>
      <c r="X6" s="54"/>
      <c r="Y6" s="54"/>
      <c r="Z6" s="54"/>
      <c r="AA6" s="54"/>
      <c r="AB6" s="575" t="s">
        <v>335</v>
      </c>
      <c r="AC6" s="576"/>
      <c r="AD6" s="577"/>
      <c r="AE6" s="101" t="s">
        <v>351</v>
      </c>
      <c r="AF6" s="101" t="s">
        <v>352</v>
      </c>
      <c r="AG6" s="101"/>
      <c r="AH6" s="101"/>
      <c r="AI6" s="101"/>
      <c r="AJ6" s="101"/>
      <c r="AK6" s="101"/>
      <c r="AL6" s="101"/>
      <c r="AM6" s="57"/>
      <c r="AN6" s="54"/>
      <c r="AO6" s="56"/>
      <c r="AP6" s="56"/>
      <c r="AQ6" s="56" t="s">
        <v>336</v>
      </c>
      <c r="AR6" s="56"/>
      <c r="BB6" s="63"/>
    </row>
    <row r="7" spans="1:55" ht="38.450000000000003" customHeight="1" thickBot="1" x14ac:dyDescent="0.3">
      <c r="A7" s="249" t="s">
        <v>337</v>
      </c>
      <c r="B7" s="250" t="s">
        <v>338</v>
      </c>
      <c r="C7" s="251" t="s">
        <v>339</v>
      </c>
      <c r="D7" s="251" t="s">
        <v>340</v>
      </c>
      <c r="E7" s="251" t="s">
        <v>341</v>
      </c>
      <c r="F7" s="251" t="s">
        <v>342</v>
      </c>
      <c r="G7" s="251" t="s">
        <v>343</v>
      </c>
      <c r="H7" s="293" t="s">
        <v>344</v>
      </c>
      <c r="I7" s="34" t="s">
        <v>168</v>
      </c>
      <c r="J7" s="34" t="s">
        <v>178</v>
      </c>
      <c r="K7" s="34" t="s">
        <v>185</v>
      </c>
      <c r="L7" s="35" t="s">
        <v>190</v>
      </c>
      <c r="M7" s="36" t="s">
        <v>195</v>
      </c>
      <c r="N7" s="37" t="s">
        <v>345</v>
      </c>
      <c r="O7" s="37" t="s">
        <v>200</v>
      </c>
      <c r="P7" s="38"/>
      <c r="Q7" s="38"/>
      <c r="R7" s="39" t="s">
        <v>346</v>
      </c>
      <c r="S7" s="49" t="s">
        <v>347</v>
      </c>
      <c r="T7" s="49"/>
      <c r="U7" s="49"/>
      <c r="V7" s="50" t="s">
        <v>467</v>
      </c>
      <c r="W7" s="101" t="s">
        <v>353</v>
      </c>
      <c r="X7" s="101" t="s">
        <v>354</v>
      </c>
      <c r="Y7" s="101" t="s">
        <v>355</v>
      </c>
      <c r="Z7" s="101" t="s">
        <v>356</v>
      </c>
      <c r="AA7" s="101" t="s">
        <v>357</v>
      </c>
      <c r="AB7" s="70" t="s">
        <v>358</v>
      </c>
      <c r="AC7" s="70" t="s">
        <v>359</v>
      </c>
      <c r="AD7" s="70" t="s">
        <v>361</v>
      </c>
      <c r="AE7" s="158"/>
      <c r="AF7" s="158"/>
      <c r="AG7" s="158" t="s">
        <v>168</v>
      </c>
      <c r="AH7" s="158" t="s">
        <v>178</v>
      </c>
      <c r="AI7" s="158" t="s">
        <v>185</v>
      </c>
      <c r="AJ7" s="158" t="s">
        <v>190</v>
      </c>
      <c r="AK7" s="158" t="s">
        <v>195</v>
      </c>
      <c r="AL7" s="158" t="s">
        <v>200</v>
      </c>
      <c r="AM7" s="70" t="s">
        <v>362</v>
      </c>
      <c r="AN7" s="104" t="s">
        <v>363</v>
      </c>
      <c r="AO7" s="70" t="s">
        <v>364</v>
      </c>
      <c r="AP7" s="70" t="s">
        <v>365</v>
      </c>
      <c r="AQ7" s="56" t="s">
        <v>366</v>
      </c>
      <c r="AR7" s="56" t="s">
        <v>367</v>
      </c>
      <c r="AS7" s="69" t="s">
        <v>368</v>
      </c>
      <c r="AT7" s="69" t="s">
        <v>331</v>
      </c>
      <c r="AU7" s="69" t="s">
        <v>369</v>
      </c>
      <c r="AV7" s="69" t="s">
        <v>370</v>
      </c>
      <c r="AW7" s="69" t="s">
        <v>371</v>
      </c>
      <c r="AX7" s="69" t="s">
        <v>372</v>
      </c>
      <c r="AY7" s="81" t="s">
        <v>373</v>
      </c>
      <c r="AZ7" s="82" t="s">
        <v>374</v>
      </c>
      <c r="BA7" s="83" t="s">
        <v>375</v>
      </c>
      <c r="BB7" s="39" t="s">
        <v>347</v>
      </c>
      <c r="BC7" s="5" t="s">
        <v>376</v>
      </c>
    </row>
    <row r="8" spans="1:55" ht="15" customHeight="1" thickBot="1" x14ac:dyDescent="0.3">
      <c r="A8" s="450"/>
      <c r="B8" s="451"/>
      <c r="C8" s="452" t="s">
        <v>2348</v>
      </c>
      <c r="D8" s="442"/>
      <c r="E8" s="443"/>
      <c r="F8" s="444"/>
      <c r="G8" s="444"/>
      <c r="H8" s="445"/>
      <c r="I8" s="74"/>
      <c r="J8" s="74"/>
      <c r="K8" s="74"/>
      <c r="L8" s="87"/>
      <c r="M8" s="87"/>
      <c r="R8" s="116"/>
      <c r="X8" s="86"/>
      <c r="AM8" s="89"/>
      <c r="AN8" s="89"/>
      <c r="AO8" s="89"/>
      <c r="AP8" s="89"/>
      <c r="AQ8" s="68"/>
      <c r="AR8" s="68"/>
      <c r="BB8" s="116"/>
    </row>
    <row r="9" spans="1:55" ht="36" customHeight="1" x14ac:dyDescent="0.25">
      <c r="A9" s="294" t="s">
        <v>2349</v>
      </c>
      <c r="B9" s="295" t="s">
        <v>2350</v>
      </c>
      <c r="C9" s="295" t="s">
        <v>2351</v>
      </c>
      <c r="D9" s="446"/>
      <c r="E9" s="297"/>
      <c r="F9" s="297"/>
      <c r="G9" s="297"/>
      <c r="H9" s="214"/>
      <c r="I9" s="92" t="s">
        <v>168</v>
      </c>
      <c r="J9" s="92" t="s">
        <v>178</v>
      </c>
      <c r="K9" s="92" t="s">
        <v>185</v>
      </c>
      <c r="L9" s="166" t="s">
        <v>190</v>
      </c>
      <c r="M9" s="166" t="s">
        <v>195</v>
      </c>
      <c r="N9" s="71"/>
      <c r="O9" s="71"/>
      <c r="P9" s="71" t="s">
        <v>380</v>
      </c>
      <c r="Q9" s="71" t="b">
        <f t="shared" ref="Q9:Q22" si="0">IF(OR(AND($C$2="Base contract",$C$3="No, section requirements must be reviewed", $X9=FALSE,$Y9=FALSE),AND($C$2="Contract amendment",$C$3="No, section requirements must be reviewed",$X9=FALSE,$Y9=FALSE)),"MUNN")</f>
        <v>0</v>
      </c>
      <c r="R9" s="72"/>
      <c r="S9" s="71"/>
      <c r="T9" s="71"/>
      <c r="U9" s="71"/>
      <c r="V9" s="97">
        <f>IF(OR($E$8="N/A",AND(BC9=0,'Cover Sheet'!$B$29="Streamlined Review"),AND(E9="Met",F9&lt;&gt;""),AND(E9="Not met",G9&lt;&gt;""),AND(E9="Unsure",G9&lt;&gt;""),AND(E9="N/A",H9&lt;&gt;""),AND(AF9=TRUE)),1,0)</f>
        <v>0</v>
      </c>
      <c r="W9" s="53"/>
      <c r="X9" s="53" t="b">
        <f t="shared" ref="X9:X22" si="1">IF($H$1&lt;&gt;0,IF($H$1&lt;&gt;I9,IF($H$1&lt;&gt;J9,IF($H$1&lt;&gt;K9,IF($H$1&lt;&gt;L9,IF($H$1&lt;&gt;M9,IF($H$1&lt;&gt;N9,IF($H$1&lt;&gt;O9,TRUE,FALSE))))))))</f>
        <v>0</v>
      </c>
      <c r="Y9" s="54" t="b">
        <f>IF(AD9=TRUE,TRUE,FALSE)</f>
        <v>0</v>
      </c>
      <c r="AD9" s="56" t="b">
        <f>IF(OR(AND($H$6="Medicaid",MID($A9,1,FIND(".",$A9,1)-1)="II"),AND($H$6="CHIP",MID($A9,1,FIND(".",$A9,1)-1)="I")),TRUE,FALSE)</f>
        <v>0</v>
      </c>
      <c r="AE9" s="126" t="b">
        <f t="shared" ref="AE9:AE22" si="2">IF(OR(AF9=TRUE,AD9=TRUE,AT9=TRUE),TRUE,FALSE)</f>
        <v>0</v>
      </c>
      <c r="AF9" s="126" t="b">
        <f>IF(SUM(AG9:AL9)&lt;1,TRUE,FALSE)</f>
        <v>0</v>
      </c>
      <c r="AG9" s="126">
        <f t="shared" ref="AG9:AG22" si="3">IF($AG$2=I9,1,0)</f>
        <v>1</v>
      </c>
      <c r="AH9" s="126">
        <f t="shared" ref="AH9:AH22" si="4">IF($AH$2=J9,1,0)</f>
        <v>0</v>
      </c>
      <c r="AI9" s="126">
        <f t="shared" ref="AI9:AI22" si="5">IF($AI$2=K9,1,0)</f>
        <v>0</v>
      </c>
      <c r="AJ9" s="126">
        <f t="shared" ref="AJ9:AJ22" si="6">IF($AJ$2=L9,1,0)</f>
        <v>0</v>
      </c>
      <c r="AK9" s="126">
        <f t="shared" ref="AK9:AK22" si="7">IF($AK$2=M9,1,0)</f>
        <v>0</v>
      </c>
      <c r="AL9" s="126">
        <f t="shared" ref="AL9:AL22" si="8">IF($AL$2=O9,1,0)</f>
        <v>0</v>
      </c>
      <c r="AN9" s="121"/>
      <c r="AO9" s="68"/>
      <c r="AQ9" s="121"/>
      <c r="AR9" s="68"/>
      <c r="AT9" s="69" t="str">
        <f>IF(AS9=1,1,"")</f>
        <v/>
      </c>
      <c r="BB9" s="118"/>
      <c r="BC9" s="5">
        <v>0</v>
      </c>
    </row>
    <row r="10" spans="1:55" ht="47.25" customHeight="1" x14ac:dyDescent="0.25">
      <c r="A10" s="294" t="s">
        <v>2352</v>
      </c>
      <c r="B10" s="295" t="s">
        <v>2350</v>
      </c>
      <c r="C10" s="295" t="s">
        <v>2353</v>
      </c>
      <c r="D10" s="446"/>
      <c r="E10" s="297"/>
      <c r="F10" s="297"/>
      <c r="G10" s="297"/>
      <c r="H10" s="214"/>
      <c r="I10" s="92" t="s">
        <v>168</v>
      </c>
      <c r="J10" s="92" t="s">
        <v>178</v>
      </c>
      <c r="K10" s="92" t="s">
        <v>185</v>
      </c>
      <c r="L10" s="71" t="s">
        <v>190</v>
      </c>
      <c r="M10" s="71" t="s">
        <v>195</v>
      </c>
      <c r="N10" s="71"/>
      <c r="O10" s="71"/>
      <c r="P10" s="71" t="s">
        <v>380</v>
      </c>
      <c r="Q10" s="71" t="b">
        <f t="shared" si="0"/>
        <v>0</v>
      </c>
      <c r="R10" s="76">
        <v>42917</v>
      </c>
      <c r="S10" s="71"/>
      <c r="T10" s="71"/>
      <c r="U10" s="71"/>
      <c r="V10" s="97">
        <f>IF(OR($E$8="N/A",AND(BC10=0,'Cover Sheet'!$B$29="Streamlined Review"),AND(E10="Met",F10&lt;&gt;""),AND(E10="Not met",G10&lt;&gt;""),AND(E10="Unsure",G10&lt;&gt;""),AND(E10="N/A",H10&lt;&gt;""),AND(AF10=TRUE)),1,0)</f>
        <v>0</v>
      </c>
      <c r="W10" s="53"/>
      <c r="X10" s="53" t="b">
        <f t="shared" si="1"/>
        <v>0</v>
      </c>
      <c r="Y10" s="54" t="b">
        <f t="shared" ref="Y10:Y16" si="9">IF(AD10=TRUE,TRUE,FALSE)</f>
        <v>0</v>
      </c>
      <c r="AD10" s="56" t="b">
        <f t="shared" ref="AD10:AD22" si="10">IF(OR(AND($H$6="Medicaid",MID($A10,1,FIND(".",$A10,1)-1)="II"),AND($H$6="CHIP",MID($A10,1,FIND(".",$A10,1)-1)="I")),TRUE,FALSE)</f>
        <v>0</v>
      </c>
      <c r="AE10" s="126" t="b">
        <f t="shared" si="2"/>
        <v>0</v>
      </c>
      <c r="AF10" s="126" t="b">
        <f t="shared" ref="AF10:AF22" si="11">IF(SUM(AG10:AL10)&lt;1,TRUE,FALSE)</f>
        <v>0</v>
      </c>
      <c r="AG10" s="126">
        <f t="shared" si="3"/>
        <v>1</v>
      </c>
      <c r="AH10" s="126">
        <f t="shared" si="4"/>
        <v>0</v>
      </c>
      <c r="AI10" s="126">
        <f t="shared" si="5"/>
        <v>0</v>
      </c>
      <c r="AJ10" s="126">
        <f t="shared" si="6"/>
        <v>0</v>
      </c>
      <c r="AK10" s="126">
        <f t="shared" si="7"/>
        <v>0</v>
      </c>
      <c r="AL10" s="126">
        <f t="shared" si="8"/>
        <v>0</v>
      </c>
      <c r="AN10" s="121"/>
      <c r="AO10" s="68"/>
      <c r="AQ10" s="121"/>
      <c r="AR10" s="68"/>
      <c r="AT10" s="69" t="str">
        <f t="shared" ref="AT10:AT22" si="12">IF(AS10=1,1,"")</f>
        <v/>
      </c>
      <c r="BB10" s="119"/>
      <c r="BC10" s="5">
        <v>0</v>
      </c>
    </row>
    <row r="11" spans="1:55" ht="86.25" customHeight="1" x14ac:dyDescent="0.25">
      <c r="A11" s="294" t="s">
        <v>2354</v>
      </c>
      <c r="B11" s="295" t="s">
        <v>2355</v>
      </c>
      <c r="C11" s="295" t="s">
        <v>2356</v>
      </c>
      <c r="D11" s="446"/>
      <c r="E11" s="297"/>
      <c r="F11" s="297"/>
      <c r="G11" s="297"/>
      <c r="H11" s="214"/>
      <c r="I11" s="92" t="s">
        <v>168</v>
      </c>
      <c r="J11" s="92" t="s">
        <v>178</v>
      </c>
      <c r="K11" s="92" t="s">
        <v>185</v>
      </c>
      <c r="L11" s="71" t="s">
        <v>190</v>
      </c>
      <c r="M11" s="71" t="s">
        <v>195</v>
      </c>
      <c r="N11" s="71"/>
      <c r="O11" s="71"/>
      <c r="P11" s="71" t="s">
        <v>380</v>
      </c>
      <c r="Q11" s="71" t="b">
        <f t="shared" si="0"/>
        <v>0</v>
      </c>
      <c r="R11" s="76">
        <v>42917</v>
      </c>
      <c r="S11" s="71"/>
      <c r="T11" s="71"/>
      <c r="U11" s="71"/>
      <c r="V11" s="97">
        <f>IF(OR($E$8="N/A",AND(BC11=0,'Cover Sheet'!$B$29="Streamlined Review"),AND(E11="Met",F11&lt;&gt;""),AND(E11="Not met",G11&lt;&gt;""),AND(E11="Unsure",G11&lt;&gt;""),AND(E11="N/A",H11&lt;&gt;""),AND(AF11=TRUE)),1,0)</f>
        <v>0</v>
      </c>
      <c r="W11" s="53"/>
      <c r="X11" s="53" t="b">
        <f t="shared" si="1"/>
        <v>0</v>
      </c>
      <c r="Y11" s="54" t="b">
        <f t="shared" si="9"/>
        <v>0</v>
      </c>
      <c r="AD11" s="56" t="b">
        <f t="shared" si="10"/>
        <v>0</v>
      </c>
      <c r="AE11" s="126" t="b">
        <f t="shared" si="2"/>
        <v>0</v>
      </c>
      <c r="AF11" s="126" t="b">
        <f t="shared" si="11"/>
        <v>0</v>
      </c>
      <c r="AG11" s="126">
        <f t="shared" si="3"/>
        <v>1</v>
      </c>
      <c r="AH11" s="126">
        <f t="shared" si="4"/>
        <v>0</v>
      </c>
      <c r="AI11" s="126">
        <f t="shared" si="5"/>
        <v>0</v>
      </c>
      <c r="AJ11" s="126">
        <f t="shared" si="6"/>
        <v>0</v>
      </c>
      <c r="AK11" s="126">
        <f t="shared" si="7"/>
        <v>0</v>
      </c>
      <c r="AL11" s="126">
        <f t="shared" si="8"/>
        <v>0</v>
      </c>
      <c r="AN11" s="121"/>
      <c r="AO11" s="68"/>
      <c r="AQ11" s="121"/>
      <c r="AR11" s="68"/>
      <c r="AT11" s="69" t="str">
        <f t="shared" si="12"/>
        <v/>
      </c>
      <c r="BB11" s="119"/>
      <c r="BC11" s="5">
        <v>0</v>
      </c>
    </row>
    <row r="12" spans="1:55" ht="48" customHeight="1" x14ac:dyDescent="0.25">
      <c r="A12" s="294" t="s">
        <v>2357</v>
      </c>
      <c r="B12" s="295" t="s">
        <v>2358</v>
      </c>
      <c r="C12" s="295" t="s">
        <v>2359</v>
      </c>
      <c r="D12" s="446"/>
      <c r="E12" s="297"/>
      <c r="F12" s="297"/>
      <c r="G12" s="297"/>
      <c r="H12" s="214"/>
      <c r="I12" s="92" t="s">
        <v>168</v>
      </c>
      <c r="J12" s="92" t="s">
        <v>178</v>
      </c>
      <c r="K12" s="92" t="s">
        <v>185</v>
      </c>
      <c r="L12" s="166" t="s">
        <v>190</v>
      </c>
      <c r="M12" s="166" t="s">
        <v>195</v>
      </c>
      <c r="N12" s="71"/>
      <c r="O12" s="71"/>
      <c r="P12" s="71" t="s">
        <v>380</v>
      </c>
      <c r="Q12" s="71" t="b">
        <f t="shared" si="0"/>
        <v>0</v>
      </c>
      <c r="R12" s="64"/>
      <c r="S12" s="71"/>
      <c r="T12" s="71"/>
      <c r="U12" s="71"/>
      <c r="V12" s="97">
        <f>IF(OR($E$8="N/A",AND(BC12=0,'Cover Sheet'!$B$29="Streamlined Review"),AND(E12="Met",F12&lt;&gt;""),AND(E12="Not met",G12&lt;&gt;""),AND(E12="Unsure",G12&lt;&gt;""),AND(E12="N/A",H12&lt;&gt;""),AND(AF12=TRUE)),1,0)</f>
        <v>0</v>
      </c>
      <c r="W12" s="53"/>
      <c r="X12" s="53" t="b">
        <f t="shared" si="1"/>
        <v>0</v>
      </c>
      <c r="Y12" s="54" t="b">
        <f t="shared" si="9"/>
        <v>0</v>
      </c>
      <c r="AD12" s="56" t="b">
        <f t="shared" si="10"/>
        <v>0</v>
      </c>
      <c r="AE12" s="126" t="b">
        <f t="shared" si="2"/>
        <v>0</v>
      </c>
      <c r="AF12" s="126" t="b">
        <f t="shared" si="11"/>
        <v>0</v>
      </c>
      <c r="AG12" s="126">
        <f t="shared" si="3"/>
        <v>1</v>
      </c>
      <c r="AH12" s="126">
        <f t="shared" si="4"/>
        <v>0</v>
      </c>
      <c r="AI12" s="126">
        <f t="shared" si="5"/>
        <v>0</v>
      </c>
      <c r="AJ12" s="126">
        <f t="shared" si="6"/>
        <v>0</v>
      </c>
      <c r="AK12" s="126">
        <f t="shared" si="7"/>
        <v>0</v>
      </c>
      <c r="AL12" s="126">
        <f t="shared" si="8"/>
        <v>0</v>
      </c>
      <c r="AN12" s="121"/>
      <c r="AO12" s="68"/>
      <c r="AQ12" s="121"/>
      <c r="AR12" s="68"/>
      <c r="AT12" s="69" t="str">
        <f t="shared" si="12"/>
        <v/>
      </c>
      <c r="BC12" s="5">
        <v>0</v>
      </c>
    </row>
    <row r="13" spans="1:55" ht="45.75" customHeight="1" x14ac:dyDescent="0.25">
      <c r="A13" s="294" t="s">
        <v>2360</v>
      </c>
      <c r="B13" s="295" t="s">
        <v>2361</v>
      </c>
      <c r="C13" s="295" t="s">
        <v>2362</v>
      </c>
      <c r="D13" s="446"/>
      <c r="E13" s="297"/>
      <c r="F13" s="297"/>
      <c r="G13" s="297"/>
      <c r="H13" s="214"/>
      <c r="I13" s="92" t="s">
        <v>168</v>
      </c>
      <c r="J13" s="92" t="s">
        <v>178</v>
      </c>
      <c r="K13" s="92" t="s">
        <v>185</v>
      </c>
      <c r="L13" s="71" t="s">
        <v>190</v>
      </c>
      <c r="M13" s="71" t="s">
        <v>195</v>
      </c>
      <c r="N13" s="71"/>
      <c r="O13" s="71"/>
      <c r="P13" s="71" t="s">
        <v>380</v>
      </c>
      <c r="Q13" s="71" t="b">
        <f t="shared" si="0"/>
        <v>0</v>
      </c>
      <c r="R13" s="64">
        <v>42917</v>
      </c>
      <c r="S13" s="71"/>
      <c r="T13" s="71"/>
      <c r="U13" s="71"/>
      <c r="V13" s="97">
        <f>IF(OR($E$8="N/A",AND(BC13=0,'Cover Sheet'!$B$29="Streamlined Review"),AND(E13="Met",F13&lt;&gt;""),AND(E13="Not met",G13&lt;&gt;""),AND(E13="Unsure",G13&lt;&gt;""),AND(E13="N/A",H13&lt;&gt;""),AND(AF13=TRUE)),1,0)</f>
        <v>0</v>
      </c>
      <c r="W13" s="53"/>
      <c r="X13" s="53" t="b">
        <f t="shared" si="1"/>
        <v>0</v>
      </c>
      <c r="Y13" s="54" t="b">
        <f t="shared" si="9"/>
        <v>0</v>
      </c>
      <c r="AD13" s="56" t="b">
        <f t="shared" si="10"/>
        <v>0</v>
      </c>
      <c r="AE13" s="126" t="b">
        <f t="shared" si="2"/>
        <v>0</v>
      </c>
      <c r="AF13" s="126" t="b">
        <f t="shared" si="11"/>
        <v>0</v>
      </c>
      <c r="AG13" s="126">
        <f t="shared" si="3"/>
        <v>1</v>
      </c>
      <c r="AH13" s="126">
        <f t="shared" si="4"/>
        <v>0</v>
      </c>
      <c r="AI13" s="126">
        <f t="shared" si="5"/>
        <v>0</v>
      </c>
      <c r="AJ13" s="126">
        <f t="shared" si="6"/>
        <v>0</v>
      </c>
      <c r="AK13" s="126">
        <f t="shared" si="7"/>
        <v>0</v>
      </c>
      <c r="AL13" s="126">
        <f t="shared" si="8"/>
        <v>0</v>
      </c>
      <c r="AN13" s="121"/>
      <c r="AO13" s="68"/>
      <c r="AQ13" s="121"/>
      <c r="AR13" s="68"/>
      <c r="AT13" s="69" t="str">
        <f t="shared" si="12"/>
        <v/>
      </c>
      <c r="BC13" s="5">
        <v>1</v>
      </c>
    </row>
    <row r="14" spans="1:55" ht="36" customHeight="1" x14ac:dyDescent="0.25">
      <c r="A14" s="294" t="s">
        <v>2363</v>
      </c>
      <c r="B14" s="295" t="s">
        <v>2364</v>
      </c>
      <c r="C14" s="295" t="s">
        <v>2365</v>
      </c>
      <c r="D14" s="446"/>
      <c r="E14" s="297"/>
      <c r="F14" s="297"/>
      <c r="G14" s="297"/>
      <c r="H14" s="214"/>
      <c r="I14" s="92" t="s">
        <v>168</v>
      </c>
      <c r="J14" s="92" t="s">
        <v>178</v>
      </c>
      <c r="K14" s="92" t="s">
        <v>185</v>
      </c>
      <c r="L14" s="166" t="s">
        <v>190</v>
      </c>
      <c r="M14" s="166" t="s">
        <v>195</v>
      </c>
      <c r="N14" s="71"/>
      <c r="O14" s="71"/>
      <c r="P14" s="71" t="s">
        <v>380</v>
      </c>
      <c r="Q14" s="71" t="b">
        <f t="shared" si="0"/>
        <v>0</v>
      </c>
      <c r="R14" s="64"/>
      <c r="S14" s="71"/>
      <c r="T14" s="71"/>
      <c r="U14" s="71"/>
      <c r="V14" s="97">
        <f>IF(OR($E$8="N/A",AND(BC14=0,'Cover Sheet'!$B$29="Streamlined Review"),AND(E14="Met",F14&lt;&gt;""),AND(E14="Not met",G14&lt;&gt;""),AND(E14="Unsure",G14&lt;&gt;""),AND(E14="N/A",H14&lt;&gt;""),AND(AF14=TRUE)),1,0)</f>
        <v>0</v>
      </c>
      <c r="W14" s="53"/>
      <c r="X14" s="53" t="b">
        <f t="shared" si="1"/>
        <v>0</v>
      </c>
      <c r="Y14" s="54" t="b">
        <f t="shared" si="9"/>
        <v>0</v>
      </c>
      <c r="AD14" s="56" t="b">
        <f t="shared" si="10"/>
        <v>0</v>
      </c>
      <c r="AE14" s="126" t="b">
        <f t="shared" si="2"/>
        <v>0</v>
      </c>
      <c r="AF14" s="126" t="b">
        <f t="shared" si="11"/>
        <v>0</v>
      </c>
      <c r="AG14" s="126">
        <f t="shared" si="3"/>
        <v>1</v>
      </c>
      <c r="AH14" s="126">
        <f t="shared" si="4"/>
        <v>0</v>
      </c>
      <c r="AI14" s="126">
        <f t="shared" si="5"/>
        <v>0</v>
      </c>
      <c r="AJ14" s="126">
        <f t="shared" si="6"/>
        <v>0</v>
      </c>
      <c r="AK14" s="126">
        <f t="shared" si="7"/>
        <v>0</v>
      </c>
      <c r="AL14" s="126">
        <f t="shared" si="8"/>
        <v>0</v>
      </c>
      <c r="AN14" s="121"/>
      <c r="AO14" s="68"/>
      <c r="AQ14" s="121"/>
      <c r="AR14" s="68"/>
      <c r="AT14" s="69" t="str">
        <f t="shared" si="12"/>
        <v/>
      </c>
      <c r="BC14" s="5">
        <v>0</v>
      </c>
    </row>
    <row r="15" spans="1:55" ht="45.95" customHeight="1" x14ac:dyDescent="0.25">
      <c r="A15" s="294" t="s">
        <v>2366</v>
      </c>
      <c r="B15" s="295" t="s">
        <v>2367</v>
      </c>
      <c r="C15" s="295" t="s">
        <v>2368</v>
      </c>
      <c r="D15" s="446"/>
      <c r="E15" s="297"/>
      <c r="F15" s="297"/>
      <c r="G15" s="297"/>
      <c r="H15" s="214"/>
      <c r="I15" s="92" t="s">
        <v>168</v>
      </c>
      <c r="J15" s="92" t="s">
        <v>178</v>
      </c>
      <c r="K15" s="92" t="s">
        <v>185</v>
      </c>
      <c r="L15" s="71" t="s">
        <v>190</v>
      </c>
      <c r="M15" s="71" t="s">
        <v>195</v>
      </c>
      <c r="N15" s="71"/>
      <c r="O15" s="71"/>
      <c r="P15" s="71" t="s">
        <v>380</v>
      </c>
      <c r="Q15" s="71" t="b">
        <f t="shared" si="0"/>
        <v>0</v>
      </c>
      <c r="R15" s="64">
        <v>42917</v>
      </c>
      <c r="S15" s="71"/>
      <c r="T15" s="71"/>
      <c r="U15" s="71"/>
      <c r="V15" s="97">
        <f>IF(OR($E$8="N/A",AND(BC15=0,'Cover Sheet'!$B$29="Streamlined Review"),AND(E15="Met",F15&lt;&gt;""),AND(E15="Not met",G15&lt;&gt;""),AND(E15="Unsure",G15&lt;&gt;""),AND(E15="N/A",H15&lt;&gt;""),AND(AF15=TRUE)),1,0)</f>
        <v>0</v>
      </c>
      <c r="W15" s="53"/>
      <c r="X15" s="53" t="b">
        <f t="shared" si="1"/>
        <v>0</v>
      </c>
      <c r="Y15" s="54" t="b">
        <f t="shared" si="9"/>
        <v>0</v>
      </c>
      <c r="AD15" s="56" t="b">
        <f t="shared" si="10"/>
        <v>0</v>
      </c>
      <c r="AE15" s="126" t="b">
        <f t="shared" si="2"/>
        <v>0</v>
      </c>
      <c r="AF15" s="126" t="b">
        <f t="shared" si="11"/>
        <v>0</v>
      </c>
      <c r="AG15" s="126">
        <f t="shared" si="3"/>
        <v>1</v>
      </c>
      <c r="AH15" s="126">
        <f t="shared" si="4"/>
        <v>0</v>
      </c>
      <c r="AI15" s="126">
        <f t="shared" si="5"/>
        <v>0</v>
      </c>
      <c r="AJ15" s="126">
        <f t="shared" si="6"/>
        <v>0</v>
      </c>
      <c r="AK15" s="126">
        <f t="shared" si="7"/>
        <v>0</v>
      </c>
      <c r="AL15" s="126">
        <f t="shared" si="8"/>
        <v>0</v>
      </c>
      <c r="AN15" s="121"/>
      <c r="AO15" s="68"/>
      <c r="AQ15" s="121"/>
      <c r="AR15" s="68"/>
      <c r="AT15" s="69" t="str">
        <f t="shared" si="12"/>
        <v/>
      </c>
      <c r="BC15" s="5">
        <v>0</v>
      </c>
    </row>
    <row r="16" spans="1:55" ht="31.5" customHeight="1" x14ac:dyDescent="0.25">
      <c r="A16" s="294" t="s">
        <v>2369</v>
      </c>
      <c r="B16" s="295" t="s">
        <v>2370</v>
      </c>
      <c r="C16" s="295" t="s">
        <v>2371</v>
      </c>
      <c r="D16" s="446"/>
      <c r="E16" s="297"/>
      <c r="F16" s="297"/>
      <c r="G16" s="297"/>
      <c r="H16" s="214"/>
      <c r="I16" s="92" t="s">
        <v>168</v>
      </c>
      <c r="J16" s="92" t="s">
        <v>178</v>
      </c>
      <c r="K16" s="92" t="s">
        <v>185</v>
      </c>
      <c r="L16" s="166" t="s">
        <v>190</v>
      </c>
      <c r="M16" s="166" t="s">
        <v>195</v>
      </c>
      <c r="N16" s="71"/>
      <c r="O16" s="71"/>
      <c r="P16" s="71" t="s">
        <v>380</v>
      </c>
      <c r="Q16" s="71" t="b">
        <f t="shared" si="0"/>
        <v>0</v>
      </c>
      <c r="R16" s="64"/>
      <c r="S16" s="71"/>
      <c r="T16" s="71"/>
      <c r="U16" s="71"/>
      <c r="V16" s="97">
        <f>IF(OR($E$8="N/A",AND(BC16=0,'Cover Sheet'!$B$29="Streamlined Review"),AND(E16="Met",F16&lt;&gt;""),AND(E16="Not met",G16&lt;&gt;""),AND(E16="Unsure",G16&lt;&gt;""),AND(E16="N/A",H16&lt;&gt;""),AND(AF16=TRUE)),1,0)</f>
        <v>0</v>
      </c>
      <c r="W16" s="53"/>
      <c r="X16" s="53" t="b">
        <f t="shared" si="1"/>
        <v>0</v>
      </c>
      <c r="Y16" s="54" t="b">
        <f t="shared" si="9"/>
        <v>0</v>
      </c>
      <c r="AD16" s="56" t="b">
        <f t="shared" si="10"/>
        <v>0</v>
      </c>
      <c r="AE16" s="126" t="b">
        <f t="shared" si="2"/>
        <v>0</v>
      </c>
      <c r="AF16" s="126" t="b">
        <f t="shared" si="11"/>
        <v>0</v>
      </c>
      <c r="AG16" s="126">
        <f t="shared" si="3"/>
        <v>1</v>
      </c>
      <c r="AH16" s="126">
        <f t="shared" si="4"/>
        <v>0</v>
      </c>
      <c r="AI16" s="126">
        <f t="shared" si="5"/>
        <v>0</v>
      </c>
      <c r="AJ16" s="126">
        <f t="shared" si="6"/>
        <v>0</v>
      </c>
      <c r="AK16" s="126">
        <f t="shared" si="7"/>
        <v>0</v>
      </c>
      <c r="AL16" s="126">
        <f t="shared" si="8"/>
        <v>0</v>
      </c>
      <c r="AN16" s="121"/>
      <c r="AO16" s="68"/>
      <c r="AQ16" s="121"/>
      <c r="AR16" s="68"/>
      <c r="AT16" s="69" t="str">
        <f t="shared" si="12"/>
        <v/>
      </c>
      <c r="BC16" s="5">
        <v>0</v>
      </c>
    </row>
    <row r="17" spans="1:55" ht="200.1" customHeight="1" x14ac:dyDescent="0.25">
      <c r="A17" s="294" t="s">
        <v>2372</v>
      </c>
      <c r="B17" s="295" t="s">
        <v>2373</v>
      </c>
      <c r="C17" s="263" t="s">
        <v>2374</v>
      </c>
      <c r="D17" s="470">
        <v>1</v>
      </c>
      <c r="E17" s="297"/>
      <c r="F17" s="297"/>
      <c r="G17" s="297"/>
      <c r="H17" s="214"/>
      <c r="I17" s="92" t="s">
        <v>168</v>
      </c>
      <c r="J17" s="92" t="s">
        <v>178</v>
      </c>
      <c r="K17" s="92" t="s">
        <v>185</v>
      </c>
      <c r="L17" s="71" t="s">
        <v>190</v>
      </c>
      <c r="M17" s="71" t="s">
        <v>195</v>
      </c>
      <c r="N17" s="71"/>
      <c r="O17" s="71"/>
      <c r="P17" s="71" t="s">
        <v>397</v>
      </c>
      <c r="Q17" s="71" t="e">
        <f t="shared" si="0"/>
        <v>#REF!</v>
      </c>
      <c r="R17" s="64">
        <v>44378</v>
      </c>
      <c r="S17" s="71" t="s">
        <v>2033</v>
      </c>
      <c r="T17" s="71"/>
      <c r="U17" s="71"/>
      <c r="V17" s="97">
        <f>IF(OR($E$8="N/A",AND(BC17=0,'Cover Sheet'!$B$29="Streamlined Review"),AND(E17="Met",F17&lt;&gt;""),AND(E17="Not met",G17&lt;&gt;""),AND(E17="Unsure",G17&lt;&gt;""),AND(E17="N/A",H17&lt;&gt;""),AND(AF17=TRUE)),1,0)</f>
        <v>0</v>
      </c>
      <c r="W17" s="53"/>
      <c r="X17" s="53" t="b">
        <f t="shared" si="1"/>
        <v>0</v>
      </c>
      <c r="Y17" s="54" t="e">
        <f>IF(AND(Z17=TRUE,AA17=""),FALSE,IF(AND(AA17=TRUE,Z17=""),TRUE,IF(AND(Z17=TRUE,AA17=TRUE),TRUE)))</f>
        <v>#REF!</v>
      </c>
      <c r="Z17" s="54" t="e">
        <f>IF($Y$2=TRUE,TRUE,"")</f>
        <v>#REF!</v>
      </c>
      <c r="AA17" s="54" t="e">
        <f>IF(OR(AB17=TRUE,AC17=TRUE,AD17=TRUE),TRUE,"")</f>
        <v>#REF!</v>
      </c>
      <c r="AB17" s="56" t="e">
        <f>IF(S17="DATE",IF($Y$2=FALSE,IF(R17&gt;$Z$2,TRUE,"ReqEffectiveEarlierThanContractDate"),"Dates Missing"),"Not DATE")</f>
        <v>#REF!</v>
      </c>
      <c r="AC17" s="56" t="str">
        <f>IF(S76="RP",IF($Y$2=FALSE,IF(R17&gt;$AA$2,TRUE,"ReqEffectiveEarlierThanRatePeriodStartDate"),"Dates Missing"),"Not RP")</f>
        <v>Not RP</v>
      </c>
      <c r="AD17" s="56" t="b">
        <f t="shared" si="10"/>
        <v>0</v>
      </c>
      <c r="AE17" s="126" t="b">
        <f t="shared" si="2"/>
        <v>0</v>
      </c>
      <c r="AF17" s="126" t="b">
        <f t="shared" si="11"/>
        <v>0</v>
      </c>
      <c r="AG17" s="126">
        <f t="shared" si="3"/>
        <v>1</v>
      </c>
      <c r="AH17" s="126">
        <f t="shared" si="4"/>
        <v>0</v>
      </c>
      <c r="AI17" s="126">
        <f t="shared" si="5"/>
        <v>0</v>
      </c>
      <c r="AJ17" s="126">
        <f t="shared" si="6"/>
        <v>0</v>
      </c>
      <c r="AK17" s="126">
        <f t="shared" si="7"/>
        <v>0</v>
      </c>
      <c r="AL17" s="126">
        <f t="shared" si="8"/>
        <v>0</v>
      </c>
      <c r="AN17" s="121"/>
      <c r="AO17" s="68"/>
      <c r="AQ17" s="121"/>
      <c r="AR17" s="68"/>
      <c r="AT17" s="69" t="str">
        <f t="shared" si="12"/>
        <v/>
      </c>
      <c r="BB17" s="64" t="s">
        <v>2033</v>
      </c>
      <c r="BC17" s="5">
        <v>1</v>
      </c>
    </row>
    <row r="18" spans="1:55" ht="42.95" customHeight="1" x14ac:dyDescent="0.25">
      <c r="A18" s="294" t="s">
        <v>2375</v>
      </c>
      <c r="B18" s="295" t="s">
        <v>2376</v>
      </c>
      <c r="C18" s="295" t="s">
        <v>2377</v>
      </c>
      <c r="D18" s="470" t="s">
        <v>2378</v>
      </c>
      <c r="E18" s="297"/>
      <c r="F18" s="297"/>
      <c r="G18" s="297"/>
      <c r="H18" s="214"/>
      <c r="I18" s="92" t="s">
        <v>168</v>
      </c>
      <c r="J18" s="92" t="s">
        <v>178</v>
      </c>
      <c r="K18" s="92" t="s">
        <v>185</v>
      </c>
      <c r="L18" s="71" t="s">
        <v>190</v>
      </c>
      <c r="M18" s="71" t="s">
        <v>195</v>
      </c>
      <c r="N18" s="71"/>
      <c r="O18" s="71"/>
      <c r="P18" s="71" t="s">
        <v>397</v>
      </c>
      <c r="Q18" s="71" t="e">
        <f t="shared" si="0"/>
        <v>#REF!</v>
      </c>
      <c r="R18" s="64">
        <v>44378</v>
      </c>
      <c r="S18" s="71" t="s">
        <v>2033</v>
      </c>
      <c r="T18" s="71"/>
      <c r="U18" s="71"/>
      <c r="V18" s="97">
        <f>IF(OR($E$8="N/A",AND(BC18=0,'Cover Sheet'!$B$29="Streamlined Review"),AND(E18="Met",F18&lt;&gt;""),AND(E18="Not met",G18&lt;&gt;""),AND(E18="Unsure",G18&lt;&gt;""),AND(E18="N/A",H18&lt;&gt;""),AND(AF18=TRUE)),1,0)</f>
        <v>0</v>
      </c>
      <c r="W18" s="53"/>
      <c r="X18" s="53" t="b">
        <f t="shared" si="1"/>
        <v>0</v>
      </c>
      <c r="Y18" s="54" t="e">
        <f>IF(AND(Z18=TRUE,AA18=""),FALSE,IF(AND(AA18=TRUE,Z18=""),TRUE,IF(AND(Z18=TRUE,AA18=TRUE),TRUE)))</f>
        <v>#REF!</v>
      </c>
      <c r="Z18" s="54" t="e">
        <f>IF($Y$2=TRUE,TRUE,"")</f>
        <v>#REF!</v>
      </c>
      <c r="AA18" s="54" t="e">
        <f>IF(OR(AB18=TRUE,AC18=TRUE,AD18=TRUE),TRUE,"")</f>
        <v>#REF!</v>
      </c>
      <c r="AB18" s="56" t="e">
        <f>IF(S17="DATE",IF($Y$2=FALSE,IF(R18&gt;$Z$2,TRUE,"ReqEffectiveEarlierThanContractDate"),"Dates Missing"),"Not DATE")</f>
        <v>#REF!</v>
      </c>
      <c r="AC18" s="56" t="str">
        <f>IF(S77="RP",IF($Y$2=FALSE,IF(R18&gt;$AA$2,TRUE,"ReqEffectiveEarlierThanRatePeriodStartDate"),"Dates Missing"),"Not RP")</f>
        <v>Not RP</v>
      </c>
      <c r="AD18" s="56" t="b">
        <f t="shared" si="10"/>
        <v>0</v>
      </c>
      <c r="AE18" s="126" t="b">
        <f t="shared" si="2"/>
        <v>0</v>
      </c>
      <c r="AF18" s="126" t="b">
        <f t="shared" si="11"/>
        <v>0</v>
      </c>
      <c r="AG18" s="126">
        <f t="shared" si="3"/>
        <v>1</v>
      </c>
      <c r="AH18" s="126">
        <f t="shared" si="4"/>
        <v>0</v>
      </c>
      <c r="AI18" s="126">
        <f t="shared" si="5"/>
        <v>0</v>
      </c>
      <c r="AJ18" s="126">
        <f t="shared" si="6"/>
        <v>0</v>
      </c>
      <c r="AK18" s="126">
        <f t="shared" si="7"/>
        <v>0</v>
      </c>
      <c r="AL18" s="126">
        <f t="shared" si="8"/>
        <v>0</v>
      </c>
      <c r="AN18" s="121"/>
      <c r="AO18" s="68"/>
      <c r="AQ18" s="121"/>
      <c r="AR18" s="68"/>
      <c r="AT18" s="69" t="str">
        <f t="shared" si="12"/>
        <v/>
      </c>
      <c r="BB18" s="64" t="s">
        <v>2033</v>
      </c>
      <c r="BC18" s="5">
        <v>1</v>
      </c>
    </row>
    <row r="19" spans="1:55" ht="33.75" customHeight="1" x14ac:dyDescent="0.25">
      <c r="A19" s="294" t="s">
        <v>2379</v>
      </c>
      <c r="B19" s="295" t="s">
        <v>2380</v>
      </c>
      <c r="C19" s="295" t="s">
        <v>2381</v>
      </c>
      <c r="D19" s="446"/>
      <c r="E19" s="297"/>
      <c r="F19" s="297"/>
      <c r="G19" s="297"/>
      <c r="H19" s="214"/>
      <c r="I19" s="92" t="s">
        <v>168</v>
      </c>
      <c r="J19" s="92" t="s">
        <v>178</v>
      </c>
      <c r="K19" s="92" t="s">
        <v>185</v>
      </c>
      <c r="L19" s="71" t="s">
        <v>190</v>
      </c>
      <c r="M19" s="71" t="s">
        <v>195</v>
      </c>
      <c r="N19" s="71"/>
      <c r="O19" s="71"/>
      <c r="P19" s="71" t="s">
        <v>380</v>
      </c>
      <c r="Q19" s="71" t="b">
        <f t="shared" si="0"/>
        <v>0</v>
      </c>
      <c r="R19" s="64">
        <v>42917</v>
      </c>
      <c r="S19" s="71"/>
      <c r="T19" s="71"/>
      <c r="U19" s="71"/>
      <c r="V19" s="97">
        <f>IF(OR($E$8="N/A",AND(BC19=0,'Cover Sheet'!$B$29="Streamlined Review"),AND(E19="Met",F19&lt;&gt;""),AND(E19="Not met",G19&lt;&gt;""),AND(E19="Unsure",G19&lt;&gt;""),AND(E19="N/A",H19&lt;&gt;""),AND(AF19=TRUE)),1,0)</f>
        <v>0</v>
      </c>
      <c r="W19" s="53"/>
      <c r="X19" s="53" t="b">
        <f t="shared" si="1"/>
        <v>0</v>
      </c>
      <c r="Y19" s="54" t="b">
        <f>IF(AD19=TRUE,TRUE,FALSE)</f>
        <v>0</v>
      </c>
      <c r="AD19" s="56" t="b">
        <f t="shared" si="10"/>
        <v>0</v>
      </c>
      <c r="AE19" s="126" t="b">
        <f t="shared" si="2"/>
        <v>0</v>
      </c>
      <c r="AF19" s="126" t="b">
        <f t="shared" si="11"/>
        <v>0</v>
      </c>
      <c r="AG19" s="126">
        <f t="shared" si="3"/>
        <v>1</v>
      </c>
      <c r="AH19" s="126">
        <f t="shared" si="4"/>
        <v>0</v>
      </c>
      <c r="AI19" s="126">
        <f t="shared" si="5"/>
        <v>0</v>
      </c>
      <c r="AJ19" s="126">
        <f t="shared" si="6"/>
        <v>0</v>
      </c>
      <c r="AK19" s="126">
        <f t="shared" si="7"/>
        <v>0</v>
      </c>
      <c r="AL19" s="126">
        <f t="shared" si="8"/>
        <v>0</v>
      </c>
      <c r="AN19" s="121"/>
      <c r="AO19" s="68"/>
      <c r="AQ19" s="121"/>
      <c r="AR19" s="68"/>
      <c r="AT19" s="69" t="str">
        <f t="shared" si="12"/>
        <v/>
      </c>
      <c r="BC19" s="5">
        <v>0</v>
      </c>
    </row>
    <row r="20" spans="1:55" ht="47.25" customHeight="1" x14ac:dyDescent="0.25">
      <c r="A20" s="294" t="s">
        <v>2382</v>
      </c>
      <c r="B20" s="295" t="s">
        <v>2383</v>
      </c>
      <c r="C20" s="295" t="s">
        <v>2384</v>
      </c>
      <c r="D20" s="446"/>
      <c r="E20" s="297"/>
      <c r="F20" s="297"/>
      <c r="G20" s="297"/>
      <c r="H20" s="214"/>
      <c r="I20" s="92" t="s">
        <v>168</v>
      </c>
      <c r="J20" s="92" t="s">
        <v>178</v>
      </c>
      <c r="K20" s="92" t="s">
        <v>185</v>
      </c>
      <c r="L20" s="71" t="s">
        <v>190</v>
      </c>
      <c r="M20" s="71" t="s">
        <v>195</v>
      </c>
      <c r="N20" s="71"/>
      <c r="O20" s="71"/>
      <c r="P20" s="71" t="s">
        <v>380</v>
      </c>
      <c r="Q20" s="71" t="b">
        <f t="shared" si="0"/>
        <v>0</v>
      </c>
      <c r="R20" s="64">
        <v>42917</v>
      </c>
      <c r="S20" s="71"/>
      <c r="T20" s="71"/>
      <c r="U20" s="71"/>
      <c r="V20" s="97">
        <f>IF(OR($E$8="N/A",AND(BC20=0,'Cover Sheet'!$B$29="Streamlined Review"),AND(E20="Met",F20&lt;&gt;""),AND(E20="Not met",G20&lt;&gt;""),AND(E20="Unsure",G20&lt;&gt;""),AND(E20="N/A",H20&lt;&gt;""),AND(AF20=TRUE)),1,0)</f>
        <v>0</v>
      </c>
      <c r="W20" s="53"/>
      <c r="X20" s="53" t="b">
        <f t="shared" si="1"/>
        <v>0</v>
      </c>
      <c r="Y20" s="54" t="b">
        <f>IF(AD20=TRUE,TRUE,FALSE)</f>
        <v>0</v>
      </c>
      <c r="AD20" s="56" t="b">
        <f t="shared" si="10"/>
        <v>0</v>
      </c>
      <c r="AE20" s="126" t="b">
        <f t="shared" si="2"/>
        <v>0</v>
      </c>
      <c r="AF20" s="126" t="b">
        <f t="shared" si="11"/>
        <v>0</v>
      </c>
      <c r="AG20" s="126">
        <f t="shared" si="3"/>
        <v>1</v>
      </c>
      <c r="AH20" s="126">
        <f t="shared" si="4"/>
        <v>0</v>
      </c>
      <c r="AI20" s="126">
        <f t="shared" si="5"/>
        <v>0</v>
      </c>
      <c r="AJ20" s="126">
        <f t="shared" si="6"/>
        <v>0</v>
      </c>
      <c r="AK20" s="126">
        <f t="shared" si="7"/>
        <v>0</v>
      </c>
      <c r="AL20" s="126">
        <f t="shared" si="8"/>
        <v>0</v>
      </c>
      <c r="AN20" s="121"/>
      <c r="AO20" s="68"/>
      <c r="AQ20" s="121"/>
      <c r="AR20" s="68"/>
      <c r="AT20" s="69" t="str">
        <f t="shared" si="12"/>
        <v/>
      </c>
      <c r="BC20" s="5">
        <v>0</v>
      </c>
    </row>
    <row r="21" spans="1:55" ht="45.75" customHeight="1" x14ac:dyDescent="0.25">
      <c r="A21" s="294" t="s">
        <v>2385</v>
      </c>
      <c r="B21" s="295" t="s">
        <v>2386</v>
      </c>
      <c r="C21" s="263" t="s">
        <v>2387</v>
      </c>
      <c r="D21" s="446"/>
      <c r="E21" s="297"/>
      <c r="F21" s="297"/>
      <c r="G21" s="297"/>
      <c r="H21" s="214"/>
      <c r="I21" s="92" t="s">
        <v>168</v>
      </c>
      <c r="J21" s="92" t="s">
        <v>178</v>
      </c>
      <c r="K21" s="92" t="s">
        <v>185</v>
      </c>
      <c r="L21" s="71" t="s">
        <v>190</v>
      </c>
      <c r="M21" s="71" t="s">
        <v>195</v>
      </c>
      <c r="N21" s="71"/>
      <c r="O21" s="71"/>
      <c r="P21" s="71" t="s">
        <v>380</v>
      </c>
      <c r="Q21" s="71" t="b">
        <f t="shared" si="0"/>
        <v>0</v>
      </c>
      <c r="R21" s="64">
        <v>44179</v>
      </c>
      <c r="S21" s="67"/>
      <c r="T21" s="67"/>
      <c r="U21" s="67"/>
      <c r="V21" s="97">
        <f>IF(OR($E$8="N/A",AND(BC21=0,'Cover Sheet'!$B$29="Streamlined Review"),AND(E21="Met",F21&lt;&gt;""),AND(E21="Not met",G21&lt;&gt;""),AND(E21="Unsure",G21&lt;&gt;""),AND(E21="N/A",H21&lt;&gt;""),AND(AF21=TRUE)),1,0)</f>
        <v>0</v>
      </c>
      <c r="W21" s="53"/>
      <c r="X21" s="53" t="b">
        <f t="shared" si="1"/>
        <v>0</v>
      </c>
      <c r="Y21" s="54" t="b">
        <f>IF(AD21=TRUE,TRUE,FALSE)</f>
        <v>0</v>
      </c>
      <c r="AD21" s="56" t="b">
        <f t="shared" si="10"/>
        <v>0</v>
      </c>
      <c r="AE21" s="126" t="b">
        <f t="shared" si="2"/>
        <v>0</v>
      </c>
      <c r="AF21" s="126" t="b">
        <f t="shared" si="11"/>
        <v>0</v>
      </c>
      <c r="AG21" s="126">
        <f t="shared" si="3"/>
        <v>1</v>
      </c>
      <c r="AH21" s="126">
        <f t="shared" si="4"/>
        <v>0</v>
      </c>
      <c r="AI21" s="126">
        <f t="shared" si="5"/>
        <v>0</v>
      </c>
      <c r="AJ21" s="126">
        <f t="shared" si="6"/>
        <v>0</v>
      </c>
      <c r="AK21" s="126">
        <f t="shared" si="7"/>
        <v>0</v>
      </c>
      <c r="AL21" s="126">
        <f t="shared" si="8"/>
        <v>0</v>
      </c>
      <c r="AN21" s="121"/>
      <c r="AO21" s="68"/>
      <c r="AQ21" s="121"/>
      <c r="AR21" s="68"/>
      <c r="AT21" s="69" t="str">
        <f t="shared" si="12"/>
        <v/>
      </c>
      <c r="BB21" s="120"/>
      <c r="BC21" s="5">
        <v>1</v>
      </c>
    </row>
    <row r="22" spans="1:55" ht="51" x14ac:dyDescent="0.25">
      <c r="A22" s="294" t="s">
        <v>2388</v>
      </c>
      <c r="B22" s="295" t="s">
        <v>2389</v>
      </c>
      <c r="C22" s="295" t="s">
        <v>2390</v>
      </c>
      <c r="D22" s="447">
        <v>4</v>
      </c>
      <c r="E22" s="297"/>
      <c r="F22" s="297"/>
      <c r="G22" s="297"/>
      <c r="H22" s="214"/>
      <c r="I22" s="92" t="s">
        <v>168</v>
      </c>
      <c r="J22" s="92" t="s">
        <v>178</v>
      </c>
      <c r="K22" s="92" t="s">
        <v>185</v>
      </c>
      <c r="L22" s="71" t="s">
        <v>190</v>
      </c>
      <c r="M22" s="71" t="s">
        <v>195</v>
      </c>
      <c r="N22" s="71"/>
      <c r="O22" s="71"/>
      <c r="P22" s="71" t="s">
        <v>380</v>
      </c>
      <c r="Q22" s="71" t="b">
        <f t="shared" si="0"/>
        <v>0</v>
      </c>
      <c r="R22" s="64">
        <v>42917</v>
      </c>
      <c r="S22" s="71"/>
      <c r="T22" s="71"/>
      <c r="U22" s="71"/>
      <c r="V22" s="97">
        <f>IF(OR($E$8="N/A",AND(BC22=0,'Cover Sheet'!$B$29="Streamlined Review"),AND(E22="Met",F22&lt;&gt;""),AND(E22="Not met",G22&lt;&gt;""),AND(E22="Unsure",G22&lt;&gt;""),AND(E22="N/A",H22&lt;&gt;""),AND(AF22=TRUE)),1,0)</f>
        <v>0</v>
      </c>
      <c r="W22" s="53"/>
      <c r="X22" s="53" t="b">
        <f t="shared" si="1"/>
        <v>0</v>
      </c>
      <c r="Y22" s="54" t="b">
        <f>IF(AD22=TRUE,TRUE,FALSE)</f>
        <v>0</v>
      </c>
      <c r="AD22" s="56" t="b">
        <f t="shared" si="10"/>
        <v>0</v>
      </c>
      <c r="AE22" s="126" t="b">
        <f t="shared" si="2"/>
        <v>0</v>
      </c>
      <c r="AF22" s="126" t="b">
        <f t="shared" si="11"/>
        <v>0</v>
      </c>
      <c r="AG22" s="126">
        <f t="shared" si="3"/>
        <v>1</v>
      </c>
      <c r="AH22" s="126">
        <f t="shared" si="4"/>
        <v>0</v>
      </c>
      <c r="AI22" s="126">
        <f t="shared" si="5"/>
        <v>0</v>
      </c>
      <c r="AJ22" s="126">
        <f t="shared" si="6"/>
        <v>0</v>
      </c>
      <c r="AK22" s="126">
        <f t="shared" si="7"/>
        <v>0</v>
      </c>
      <c r="AL22" s="126">
        <f t="shared" si="8"/>
        <v>0</v>
      </c>
      <c r="AN22" s="121"/>
      <c r="AO22" s="68"/>
      <c r="AQ22" s="121"/>
      <c r="AR22" s="68"/>
      <c r="AT22" s="69" t="str">
        <f t="shared" si="12"/>
        <v/>
      </c>
      <c r="BC22" s="5">
        <v>0</v>
      </c>
    </row>
    <row r="23" spans="1:55" x14ac:dyDescent="0.25">
      <c r="A23" s="302" t="s">
        <v>442</v>
      </c>
      <c r="B23" s="303"/>
      <c r="C23" s="547"/>
      <c r="D23" s="304"/>
      <c r="E23" s="269"/>
      <c r="F23" s="270"/>
      <c r="G23" s="271"/>
      <c r="H23" s="271"/>
      <c r="I23" s="168"/>
      <c r="V23" s="126"/>
      <c r="AN23" s="121"/>
      <c r="AO23" s="68"/>
      <c r="AQ23" s="121"/>
      <c r="AR23" s="68"/>
    </row>
    <row r="24" spans="1:55" ht="15" customHeight="1" x14ac:dyDescent="0.25">
      <c r="A24" s="550">
        <v>1</v>
      </c>
      <c r="B24" s="337" t="s">
        <v>2391</v>
      </c>
      <c r="C24" s="322"/>
      <c r="D24" s="600" t="s">
        <v>2392</v>
      </c>
      <c r="E24" s="600"/>
      <c r="F24" s="600"/>
      <c r="G24" s="600"/>
      <c r="H24" s="600"/>
      <c r="I24" s="168"/>
      <c r="V24" s="126"/>
      <c r="AN24" s="121"/>
      <c r="AO24" s="68"/>
      <c r="AQ24" s="121"/>
      <c r="AR24" s="68"/>
    </row>
    <row r="25" spans="1:55" ht="15" customHeight="1" x14ac:dyDescent="0.25">
      <c r="A25" s="550">
        <v>2</v>
      </c>
      <c r="B25" s="337" t="s">
        <v>2393</v>
      </c>
      <c r="C25" s="395"/>
      <c r="D25" s="600" t="s">
        <v>2394</v>
      </c>
      <c r="E25" s="600"/>
      <c r="F25" s="600"/>
      <c r="G25" s="600"/>
      <c r="H25" s="600"/>
      <c r="I25" s="168"/>
      <c r="V25" s="126"/>
      <c r="AN25" s="121"/>
      <c r="AO25" s="68"/>
      <c r="AQ25" s="121"/>
      <c r="AR25" s="68"/>
    </row>
    <row r="26" spans="1:55" ht="15" customHeight="1" x14ac:dyDescent="0.25">
      <c r="A26" s="550">
        <v>3</v>
      </c>
      <c r="B26" s="337" t="s">
        <v>2395</v>
      </c>
      <c r="C26" s="395"/>
      <c r="D26" s="600" t="s">
        <v>2396</v>
      </c>
      <c r="E26" s="600"/>
      <c r="F26" s="600"/>
      <c r="G26" s="600"/>
      <c r="H26" s="600"/>
      <c r="I26" s="168"/>
      <c r="V26" s="126"/>
      <c r="AN26" s="121"/>
      <c r="AO26" s="68"/>
      <c r="AQ26" s="121"/>
      <c r="AR26" s="68"/>
    </row>
    <row r="27" spans="1:55" x14ac:dyDescent="0.25">
      <c r="A27" s="550">
        <v>4</v>
      </c>
      <c r="B27" s="571" t="s">
        <v>2397</v>
      </c>
      <c r="C27" s="571"/>
      <c r="D27" s="571"/>
      <c r="E27" s="571"/>
      <c r="F27" s="571"/>
      <c r="G27" s="571"/>
      <c r="H27" s="571"/>
      <c r="I27" s="168"/>
      <c r="AN27" s="121"/>
      <c r="AO27" s="68"/>
      <c r="AQ27" s="121"/>
      <c r="AR27" s="68"/>
    </row>
    <row r="28" spans="1:55" x14ac:dyDescent="0.25">
      <c r="A28" s="279"/>
      <c r="B28" s="273"/>
      <c r="C28" s="274"/>
      <c r="D28" s="275"/>
      <c r="E28" s="272"/>
      <c r="F28" s="335"/>
      <c r="G28" s="279"/>
      <c r="H28" s="279"/>
      <c r="AN28" s="121"/>
      <c r="AO28" s="68"/>
      <c r="AQ28" s="121"/>
      <c r="AR28" s="68"/>
    </row>
    <row r="29" spans="1:55" x14ac:dyDescent="0.25">
      <c r="A29" s="279"/>
      <c r="B29" s="273"/>
      <c r="C29" s="274"/>
      <c r="D29" s="275"/>
      <c r="E29" s="272"/>
      <c r="F29" s="335"/>
      <c r="G29" s="279"/>
      <c r="H29" s="279"/>
      <c r="AN29" s="121"/>
      <c r="AO29" s="68"/>
      <c r="AQ29" s="121"/>
      <c r="AR29" s="68"/>
    </row>
    <row r="30" spans="1:55" x14ac:dyDescent="0.25">
      <c r="A30" s="279"/>
      <c r="B30" s="273"/>
      <c r="C30" s="274"/>
      <c r="D30" s="275"/>
      <c r="E30" s="272"/>
      <c r="F30" s="335"/>
      <c r="G30" s="279"/>
      <c r="H30" s="279"/>
      <c r="AN30" s="121"/>
      <c r="AO30" s="68"/>
      <c r="AQ30" s="121"/>
      <c r="AR30" s="68"/>
    </row>
    <row r="31" spans="1:55" x14ac:dyDescent="0.25">
      <c r="A31" s="279"/>
      <c r="B31" s="273"/>
      <c r="C31" s="274"/>
      <c r="D31" s="275"/>
      <c r="E31" s="272"/>
      <c r="F31" s="335"/>
      <c r="G31" s="279"/>
      <c r="H31" s="279"/>
      <c r="AN31" s="121"/>
      <c r="AO31" s="68"/>
      <c r="AQ31" s="121"/>
      <c r="AR31" s="68"/>
    </row>
    <row r="32" spans="1:55" x14ac:dyDescent="0.25">
      <c r="A32" s="279"/>
      <c r="B32" s="273"/>
      <c r="C32" s="274"/>
      <c r="D32" s="275"/>
      <c r="E32" s="272"/>
      <c r="F32" s="335"/>
      <c r="G32" s="279"/>
      <c r="H32" s="279"/>
      <c r="AN32" s="121"/>
      <c r="AO32" s="68"/>
      <c r="AQ32" s="121"/>
      <c r="AR32" s="68"/>
    </row>
    <row r="33" spans="1:44" x14ac:dyDescent="0.25">
      <c r="A33" s="279"/>
      <c r="B33" s="273"/>
      <c r="C33" s="274"/>
      <c r="D33" s="275"/>
      <c r="E33" s="272"/>
      <c r="F33" s="335"/>
      <c r="G33" s="279"/>
      <c r="H33" s="279"/>
      <c r="AN33" s="121"/>
      <c r="AO33" s="68"/>
      <c r="AQ33" s="121"/>
      <c r="AR33" s="68"/>
    </row>
    <row r="34" spans="1:44" x14ac:dyDescent="0.25">
      <c r="A34" s="279"/>
      <c r="B34" s="273"/>
      <c r="C34" s="274"/>
      <c r="D34" s="275"/>
      <c r="E34" s="272"/>
      <c r="F34" s="335"/>
      <c r="G34" s="279"/>
      <c r="H34" s="279"/>
      <c r="AN34" s="121"/>
      <c r="AO34" s="68"/>
      <c r="AQ34" s="121"/>
      <c r="AR34" s="68"/>
    </row>
    <row r="35" spans="1:44" x14ac:dyDescent="0.25">
      <c r="A35" s="279"/>
      <c r="B35" s="273"/>
      <c r="C35" s="274"/>
      <c r="D35" s="275"/>
      <c r="E35" s="272"/>
      <c r="F35" s="335"/>
      <c r="G35" s="279"/>
      <c r="H35" s="279"/>
      <c r="AN35" s="121"/>
      <c r="AO35" s="68"/>
      <c r="AQ35" s="121"/>
      <c r="AR35" s="68"/>
    </row>
    <row r="36" spans="1:44" x14ac:dyDescent="0.25">
      <c r="A36" s="279"/>
      <c r="B36" s="273"/>
      <c r="C36" s="274"/>
      <c r="D36" s="275"/>
      <c r="E36" s="272"/>
      <c r="F36" s="335"/>
      <c r="G36" s="279"/>
      <c r="H36" s="279"/>
      <c r="AN36" s="121"/>
      <c r="AO36" s="68"/>
      <c r="AQ36" s="121"/>
      <c r="AR36" s="68"/>
    </row>
    <row r="37" spans="1:44" x14ac:dyDescent="0.25">
      <c r="A37" s="279"/>
      <c r="B37" s="273"/>
      <c r="C37" s="274"/>
      <c r="D37" s="275"/>
      <c r="E37" s="272"/>
      <c r="F37" s="335"/>
      <c r="G37" s="279"/>
      <c r="H37" s="279"/>
      <c r="AN37" s="121"/>
      <c r="AO37" s="68"/>
      <c r="AQ37" s="121"/>
      <c r="AR37" s="68"/>
    </row>
    <row r="38" spans="1:44" x14ac:dyDescent="0.25">
      <c r="A38" s="279"/>
      <c r="B38" s="273"/>
      <c r="C38" s="274"/>
      <c r="D38" s="275"/>
      <c r="E38" s="272"/>
      <c r="F38" s="335"/>
      <c r="G38" s="279"/>
      <c r="H38" s="279"/>
      <c r="AN38" s="121"/>
      <c r="AO38" s="68"/>
      <c r="AQ38" s="121"/>
      <c r="AR38" s="68"/>
    </row>
    <row r="39" spans="1:44" x14ac:dyDescent="0.25">
      <c r="A39" s="279"/>
      <c r="B39" s="273"/>
      <c r="C39" s="274"/>
      <c r="D39" s="275"/>
      <c r="E39" s="272"/>
      <c r="F39" s="335"/>
      <c r="G39" s="279"/>
      <c r="H39" s="279"/>
      <c r="AN39" s="121"/>
      <c r="AO39" s="68"/>
      <c r="AQ39" s="121"/>
      <c r="AR39" s="68"/>
    </row>
    <row r="40" spans="1:44" x14ac:dyDescent="0.25">
      <c r="A40" s="279"/>
      <c r="B40" s="273"/>
      <c r="C40" s="274"/>
      <c r="D40" s="275"/>
      <c r="E40" s="272"/>
      <c r="F40" s="335"/>
      <c r="G40" s="279"/>
      <c r="H40" s="279"/>
      <c r="AN40" s="121"/>
      <c r="AO40" s="68"/>
      <c r="AQ40" s="121"/>
      <c r="AR40" s="68"/>
    </row>
    <row r="41" spans="1:44" x14ac:dyDescent="0.25">
      <c r="A41" s="279"/>
      <c r="B41" s="273"/>
      <c r="C41" s="274"/>
      <c r="D41" s="275"/>
      <c r="E41" s="272"/>
      <c r="F41" s="335"/>
      <c r="G41" s="279"/>
      <c r="H41" s="279"/>
      <c r="AN41" s="121"/>
      <c r="AO41" s="68"/>
      <c r="AQ41" s="121"/>
      <c r="AR41" s="68"/>
    </row>
    <row r="42" spans="1:44" x14ac:dyDescent="0.25">
      <c r="A42" s="279"/>
      <c r="B42" s="273"/>
      <c r="C42" s="274"/>
      <c r="D42" s="275"/>
      <c r="E42" s="272"/>
      <c r="F42" s="335"/>
      <c r="G42" s="279"/>
      <c r="H42" s="279"/>
      <c r="AN42" s="121"/>
      <c r="AO42" s="68"/>
      <c r="AQ42" s="121"/>
      <c r="AR42" s="68"/>
    </row>
    <row r="43" spans="1:44" x14ac:dyDescent="0.25">
      <c r="A43" s="279"/>
      <c r="B43" s="273"/>
      <c r="C43" s="274"/>
      <c r="D43" s="275"/>
      <c r="E43" s="272"/>
      <c r="F43" s="335"/>
      <c r="G43" s="279"/>
      <c r="H43" s="279"/>
      <c r="AN43" s="121"/>
      <c r="AO43" s="68"/>
      <c r="AQ43" s="121"/>
      <c r="AR43" s="68"/>
    </row>
    <row r="44" spans="1:44" x14ac:dyDescent="0.25">
      <c r="A44" s="279"/>
      <c r="B44" s="273"/>
      <c r="C44" s="274"/>
      <c r="D44" s="275"/>
      <c r="E44" s="272"/>
      <c r="F44" s="335"/>
      <c r="G44" s="279"/>
      <c r="H44" s="279"/>
      <c r="AN44" s="121"/>
      <c r="AO44" s="68"/>
      <c r="AQ44" s="121"/>
      <c r="AR44" s="68"/>
    </row>
    <row r="45" spans="1:44" x14ac:dyDescent="0.25">
      <c r="A45" s="279"/>
      <c r="B45" s="273"/>
      <c r="C45" s="274"/>
      <c r="D45" s="275"/>
      <c r="E45" s="272"/>
      <c r="F45" s="335"/>
      <c r="G45" s="279"/>
      <c r="H45" s="279"/>
      <c r="AN45" s="121"/>
      <c r="AO45" s="68"/>
      <c r="AQ45" s="121"/>
      <c r="AR45" s="68"/>
    </row>
    <row r="46" spans="1:44" x14ac:dyDescent="0.25">
      <c r="A46" s="279"/>
      <c r="B46" s="273"/>
      <c r="C46" s="274"/>
      <c r="D46" s="275"/>
      <c r="E46" s="272"/>
      <c r="F46" s="335"/>
      <c r="G46" s="279"/>
      <c r="H46" s="279"/>
      <c r="AN46" s="121"/>
      <c r="AO46" s="68"/>
      <c r="AQ46" s="121"/>
      <c r="AR46" s="68"/>
    </row>
    <row r="47" spans="1:44" x14ac:dyDescent="0.25">
      <c r="A47" s="279"/>
      <c r="B47" s="273"/>
      <c r="C47" s="274"/>
      <c r="D47" s="275"/>
      <c r="E47" s="272"/>
      <c r="F47" s="335"/>
      <c r="G47" s="279"/>
      <c r="H47" s="279"/>
      <c r="AN47" s="121"/>
      <c r="AO47" s="68"/>
      <c r="AQ47" s="121"/>
      <c r="AR47" s="68"/>
    </row>
    <row r="48" spans="1:44" x14ac:dyDescent="0.25">
      <c r="A48" s="279"/>
      <c r="B48" s="273"/>
      <c r="C48" s="274"/>
      <c r="D48" s="275"/>
      <c r="E48" s="272"/>
      <c r="F48" s="335"/>
      <c r="G48" s="279"/>
      <c r="H48" s="279"/>
      <c r="AN48" s="121"/>
      <c r="AO48" s="68"/>
      <c r="AQ48" s="121"/>
      <c r="AR48" s="68"/>
    </row>
    <row r="49" spans="1:44" x14ac:dyDescent="0.25">
      <c r="A49" s="279"/>
      <c r="B49" s="273"/>
      <c r="C49" s="274"/>
      <c r="D49" s="275"/>
      <c r="E49" s="272"/>
      <c r="F49" s="335"/>
      <c r="G49" s="279"/>
      <c r="H49" s="279"/>
      <c r="AN49" s="121"/>
      <c r="AO49" s="68"/>
      <c r="AQ49" s="121"/>
      <c r="AR49" s="68"/>
    </row>
    <row r="50" spans="1:44" x14ac:dyDescent="0.25">
      <c r="A50" s="279"/>
      <c r="B50" s="273"/>
      <c r="C50" s="274"/>
      <c r="D50" s="275"/>
      <c r="E50" s="272"/>
      <c r="F50" s="335"/>
      <c r="G50" s="279"/>
      <c r="H50" s="279"/>
      <c r="AN50" s="121"/>
      <c r="AO50" s="68"/>
      <c r="AQ50" s="121"/>
      <c r="AR50" s="68"/>
    </row>
    <row r="51" spans="1:44" x14ac:dyDescent="0.25">
      <c r="A51" s="279"/>
      <c r="B51" s="273"/>
      <c r="C51" s="274"/>
      <c r="D51" s="275"/>
      <c r="E51" s="272"/>
      <c r="F51" s="335"/>
      <c r="G51" s="279"/>
      <c r="H51" s="279"/>
      <c r="AN51" s="121"/>
      <c r="AO51" s="68"/>
      <c r="AQ51" s="121"/>
      <c r="AR51" s="68"/>
    </row>
    <row r="52" spans="1:44" x14ac:dyDescent="0.25">
      <c r="A52" s="279"/>
      <c r="B52" s="273"/>
      <c r="C52" s="274"/>
      <c r="D52" s="275"/>
      <c r="E52" s="272"/>
      <c r="F52" s="335"/>
      <c r="G52" s="279"/>
      <c r="H52" s="279"/>
      <c r="AN52" s="121"/>
      <c r="AO52" s="68"/>
      <c r="AQ52" s="121"/>
      <c r="AR52" s="68"/>
    </row>
    <row r="53" spans="1:44" x14ac:dyDescent="0.25">
      <c r="A53" s="279"/>
      <c r="B53" s="273"/>
      <c r="C53" s="274"/>
      <c r="D53" s="275"/>
      <c r="E53" s="272"/>
      <c r="F53" s="335"/>
      <c r="G53" s="279"/>
      <c r="H53" s="279"/>
      <c r="AN53" s="121"/>
      <c r="AO53" s="68"/>
      <c r="AQ53" s="121"/>
      <c r="AR53" s="68"/>
    </row>
    <row r="54" spans="1:44" x14ac:dyDescent="0.25">
      <c r="A54" s="279"/>
      <c r="B54" s="273"/>
      <c r="C54" s="274"/>
      <c r="D54" s="275"/>
      <c r="E54" s="272"/>
      <c r="F54" s="335"/>
      <c r="G54" s="279"/>
      <c r="H54" s="279"/>
      <c r="AN54" s="121"/>
      <c r="AO54" s="68"/>
      <c r="AQ54" s="121"/>
      <c r="AR54" s="68"/>
    </row>
    <row r="55" spans="1:44" x14ac:dyDescent="0.25">
      <c r="A55" s="279"/>
      <c r="B55" s="273"/>
      <c r="C55" s="274"/>
      <c r="D55" s="275"/>
      <c r="E55" s="272"/>
      <c r="F55" s="335"/>
      <c r="G55" s="279"/>
      <c r="H55" s="279"/>
      <c r="AN55" s="121"/>
      <c r="AO55" s="68"/>
      <c r="AQ55" s="121"/>
      <c r="AR55" s="68"/>
    </row>
    <row r="56" spans="1:44" x14ac:dyDescent="0.25">
      <c r="A56" s="279"/>
      <c r="B56" s="273"/>
      <c r="C56" s="274"/>
      <c r="D56" s="275"/>
      <c r="E56" s="272"/>
      <c r="F56" s="335"/>
      <c r="G56" s="279"/>
      <c r="H56" s="279"/>
      <c r="AN56" s="121"/>
      <c r="AO56" s="68"/>
      <c r="AQ56" s="121"/>
      <c r="AR56" s="68"/>
    </row>
    <row r="57" spans="1:44" x14ac:dyDescent="0.25">
      <c r="A57" s="279"/>
      <c r="B57" s="273"/>
      <c r="C57" s="274"/>
      <c r="D57" s="275"/>
      <c r="E57" s="272"/>
      <c r="F57" s="335"/>
      <c r="G57" s="279"/>
      <c r="H57" s="279"/>
      <c r="AN57" s="121"/>
      <c r="AO57" s="68"/>
      <c r="AQ57" s="121"/>
      <c r="AR57" s="68"/>
    </row>
    <row r="58" spans="1:44" x14ac:dyDescent="0.25">
      <c r="A58" s="279"/>
      <c r="B58" s="273"/>
      <c r="C58" s="274"/>
      <c r="D58" s="275"/>
      <c r="E58" s="272"/>
      <c r="F58" s="335"/>
      <c r="G58" s="279"/>
      <c r="H58" s="279"/>
      <c r="AN58" s="121"/>
      <c r="AO58" s="68"/>
      <c r="AQ58" s="121"/>
      <c r="AR58" s="68"/>
    </row>
    <row r="59" spans="1:44" x14ac:dyDescent="0.25">
      <c r="A59" s="279"/>
      <c r="B59" s="273"/>
      <c r="C59" s="274"/>
      <c r="D59" s="275"/>
      <c r="E59" s="272"/>
      <c r="F59" s="335"/>
      <c r="G59" s="279"/>
      <c r="H59" s="279"/>
      <c r="AN59" s="121"/>
      <c r="AO59" s="68"/>
      <c r="AQ59" s="121"/>
      <c r="AR59" s="68"/>
    </row>
    <row r="60" spans="1:44" x14ac:dyDescent="0.25">
      <c r="A60" s="279"/>
      <c r="B60" s="273"/>
      <c r="C60" s="274"/>
      <c r="D60" s="275"/>
      <c r="E60" s="272"/>
      <c r="F60" s="335"/>
      <c r="G60" s="279"/>
      <c r="H60" s="279"/>
      <c r="AN60" s="121"/>
      <c r="AO60" s="68"/>
      <c r="AQ60" s="121"/>
      <c r="AR60" s="68"/>
    </row>
    <row r="61" spans="1:44" x14ac:dyDescent="0.25">
      <c r="A61" s="279"/>
      <c r="B61" s="273"/>
      <c r="C61" s="274"/>
      <c r="D61" s="275"/>
      <c r="E61" s="272"/>
      <c r="F61" s="335"/>
      <c r="G61" s="279"/>
      <c r="H61" s="279"/>
      <c r="AN61" s="121"/>
      <c r="AO61" s="68"/>
      <c r="AQ61" s="121"/>
      <c r="AR61" s="68"/>
    </row>
    <row r="62" spans="1:44" x14ac:dyDescent="0.25">
      <c r="A62" s="279"/>
      <c r="B62" s="273"/>
      <c r="C62" s="274"/>
      <c r="D62" s="275"/>
      <c r="E62" s="272"/>
      <c r="F62" s="335"/>
      <c r="G62" s="279"/>
      <c r="H62" s="279"/>
      <c r="AN62" s="121"/>
      <c r="AO62" s="68"/>
      <c r="AQ62" s="121"/>
      <c r="AR62" s="68"/>
    </row>
    <row r="63" spans="1:44" ht="15.75" customHeight="1" x14ac:dyDescent="0.25">
      <c r="A63" s="279"/>
      <c r="B63" s="273"/>
      <c r="C63" s="274"/>
      <c r="D63" s="275"/>
      <c r="E63" s="272"/>
      <c r="F63" s="335"/>
      <c r="G63" s="279"/>
      <c r="H63" s="279"/>
      <c r="AN63" s="121"/>
      <c r="AO63" s="68"/>
      <c r="AQ63" s="121"/>
      <c r="AR63" s="68"/>
    </row>
    <row r="64" spans="1:44" x14ac:dyDescent="0.25">
      <c r="A64" s="279"/>
      <c r="B64" s="273"/>
      <c r="C64" s="274"/>
      <c r="D64" s="275"/>
      <c r="E64" s="272"/>
      <c r="F64" s="335"/>
      <c r="G64" s="279"/>
      <c r="H64" s="279"/>
      <c r="AN64" s="121"/>
      <c r="AO64" s="68"/>
      <c r="AQ64" s="121"/>
      <c r="AR64" s="68"/>
    </row>
    <row r="65" spans="1:44" x14ac:dyDescent="0.25">
      <c r="A65" s="279"/>
      <c r="B65" s="273"/>
      <c r="C65" s="274"/>
      <c r="D65" s="275"/>
      <c r="E65" s="272"/>
      <c r="F65" s="335"/>
      <c r="G65" s="279"/>
      <c r="H65" s="279"/>
      <c r="AN65" s="121"/>
      <c r="AO65" s="68"/>
      <c r="AQ65" s="121"/>
      <c r="AR65" s="68"/>
    </row>
    <row r="66" spans="1:44" x14ac:dyDescent="0.25">
      <c r="A66" s="279"/>
      <c r="B66" s="273"/>
      <c r="C66" s="274"/>
      <c r="D66" s="275"/>
      <c r="E66" s="272"/>
      <c r="F66" s="335"/>
      <c r="G66" s="279"/>
      <c r="H66" s="279"/>
      <c r="AN66" s="121"/>
      <c r="AO66" s="68"/>
      <c r="AQ66" s="121"/>
      <c r="AR66" s="68"/>
    </row>
    <row r="67" spans="1:44" ht="15" customHeight="1" x14ac:dyDescent="0.25">
      <c r="A67" s="279"/>
      <c r="B67" s="273"/>
      <c r="C67" s="274"/>
      <c r="D67" s="275"/>
      <c r="E67" s="272"/>
      <c r="F67" s="335"/>
      <c r="G67" s="279"/>
      <c r="H67" s="279"/>
      <c r="AN67" s="121"/>
      <c r="AO67" s="68"/>
      <c r="AQ67" s="121"/>
      <c r="AR67" s="68"/>
    </row>
    <row r="68" spans="1:44" x14ac:dyDescent="0.25">
      <c r="A68" s="279"/>
      <c r="B68" s="273"/>
      <c r="C68" s="274"/>
      <c r="D68" s="275"/>
      <c r="E68" s="272"/>
      <c r="F68" s="335"/>
      <c r="G68" s="279"/>
      <c r="H68" s="279"/>
      <c r="AN68" s="121"/>
      <c r="AO68" s="68"/>
      <c r="AQ68" s="121"/>
      <c r="AR68" s="68"/>
    </row>
    <row r="69" spans="1:44" ht="15" customHeight="1" x14ac:dyDescent="0.25">
      <c r="A69" s="279"/>
      <c r="B69" s="273"/>
      <c r="C69" s="274"/>
      <c r="D69" s="275"/>
      <c r="E69" s="272"/>
      <c r="F69" s="335"/>
      <c r="G69" s="279"/>
      <c r="H69" s="279"/>
      <c r="AN69" s="121"/>
      <c r="AO69" s="68"/>
      <c r="AQ69" s="121"/>
      <c r="AR69" s="68"/>
    </row>
    <row r="70" spans="1:44" ht="15" customHeight="1" x14ac:dyDescent="0.25">
      <c r="A70" s="279"/>
      <c r="B70" s="273"/>
      <c r="C70" s="274"/>
      <c r="D70" s="275"/>
      <c r="E70" s="272"/>
      <c r="F70" s="335"/>
      <c r="G70" s="279"/>
      <c r="H70" s="279"/>
      <c r="AN70" s="121"/>
      <c r="AO70" s="68"/>
      <c r="AQ70" s="121"/>
      <c r="AR70" s="68"/>
    </row>
    <row r="71" spans="1:44" ht="15.75" customHeight="1" x14ac:dyDescent="0.25">
      <c r="A71" s="279"/>
      <c r="B71" s="273"/>
      <c r="C71" s="274"/>
      <c r="D71" s="275"/>
      <c r="E71" s="272"/>
      <c r="F71" s="335"/>
      <c r="G71" s="279"/>
      <c r="H71" s="279"/>
      <c r="AN71" s="121"/>
      <c r="AO71" s="68"/>
      <c r="AQ71" s="121"/>
      <c r="AR71" s="68"/>
    </row>
    <row r="72" spans="1:44" ht="15" customHeight="1" x14ac:dyDescent="0.25">
      <c r="A72" s="279"/>
      <c r="B72" s="273"/>
      <c r="C72" s="274"/>
      <c r="D72" s="275"/>
      <c r="E72" s="272"/>
      <c r="F72" s="335"/>
      <c r="G72" s="279"/>
      <c r="H72" s="279"/>
      <c r="AN72" s="121"/>
      <c r="AO72" s="68"/>
      <c r="AQ72" s="121"/>
      <c r="AR72" s="68"/>
    </row>
    <row r="73" spans="1:44" ht="15.75" customHeight="1" x14ac:dyDescent="0.25">
      <c r="A73" s="279"/>
      <c r="B73" s="273"/>
      <c r="C73" s="274"/>
      <c r="D73" s="275"/>
      <c r="E73" s="272"/>
      <c r="F73" s="335"/>
      <c r="G73" s="279"/>
      <c r="H73" s="279"/>
      <c r="AN73" s="121"/>
      <c r="AO73" s="68"/>
      <c r="AQ73" s="121"/>
      <c r="AR73" s="68"/>
    </row>
    <row r="74" spans="1:44" ht="15" customHeight="1" x14ac:dyDescent="0.25">
      <c r="A74" s="279"/>
      <c r="B74" s="273"/>
      <c r="C74" s="274"/>
      <c r="D74" s="275"/>
      <c r="E74" s="272"/>
      <c r="F74" s="335"/>
      <c r="G74" s="279"/>
      <c r="H74" s="279"/>
      <c r="AN74" s="121"/>
      <c r="AO74" s="68"/>
      <c r="AQ74" s="121"/>
      <c r="AR74" s="68"/>
    </row>
    <row r="75" spans="1:44" ht="15" customHeight="1" x14ac:dyDescent="0.25">
      <c r="A75" s="279"/>
      <c r="B75" s="273"/>
      <c r="C75" s="274"/>
      <c r="D75" s="275"/>
      <c r="E75" s="272"/>
      <c r="F75" s="335"/>
      <c r="G75" s="279"/>
      <c r="H75" s="279"/>
      <c r="AN75" s="121"/>
      <c r="AO75" s="68"/>
      <c r="AQ75" s="121"/>
      <c r="AR75" s="68"/>
    </row>
    <row r="76" spans="1:44" ht="15.75" customHeight="1" x14ac:dyDescent="0.25">
      <c r="A76" s="279"/>
      <c r="B76" s="273"/>
      <c r="C76" s="274"/>
      <c r="D76" s="275"/>
      <c r="E76" s="272"/>
      <c r="F76" s="335"/>
      <c r="G76" s="279"/>
      <c r="H76" s="279"/>
      <c r="AN76" s="121"/>
      <c r="AO76" s="68"/>
      <c r="AQ76" s="121"/>
      <c r="AR76" s="68"/>
    </row>
    <row r="77" spans="1:44" ht="15" customHeight="1" x14ac:dyDescent="0.25">
      <c r="A77" s="279"/>
      <c r="B77" s="273"/>
      <c r="C77" s="274"/>
      <c r="D77" s="275"/>
      <c r="E77" s="272"/>
      <c r="F77" s="335"/>
      <c r="G77" s="279"/>
      <c r="H77" s="279"/>
      <c r="AN77" s="121"/>
      <c r="AO77" s="68"/>
      <c r="AQ77" s="121"/>
      <c r="AR77" s="68"/>
    </row>
    <row r="78" spans="1:44" ht="15" customHeight="1" x14ac:dyDescent="0.25">
      <c r="A78" s="279"/>
      <c r="B78" s="273"/>
      <c r="C78" s="274"/>
      <c r="D78" s="275"/>
      <c r="E78" s="272"/>
      <c r="F78" s="335"/>
      <c r="G78" s="279"/>
      <c r="H78" s="279"/>
      <c r="AN78" s="121"/>
      <c r="AO78" s="68"/>
      <c r="AQ78" s="121"/>
      <c r="AR78" s="68"/>
    </row>
    <row r="79" spans="1:44" ht="15.75" customHeight="1" x14ac:dyDescent="0.25">
      <c r="A79" s="279"/>
      <c r="B79" s="273"/>
      <c r="C79" s="274"/>
      <c r="D79" s="275"/>
      <c r="E79" s="272"/>
      <c r="F79" s="335"/>
      <c r="G79" s="279"/>
      <c r="H79" s="279"/>
      <c r="AN79" s="121"/>
      <c r="AO79" s="68"/>
      <c r="AQ79" s="121"/>
      <c r="AR79" s="68"/>
    </row>
    <row r="80" spans="1:44" ht="25.5" customHeight="1" x14ac:dyDescent="0.25">
      <c r="A80" s="279"/>
      <c r="B80" s="273"/>
      <c r="C80" s="274"/>
      <c r="D80" s="275"/>
      <c r="E80" s="272"/>
      <c r="F80" s="335"/>
      <c r="G80" s="279"/>
      <c r="H80" s="279"/>
      <c r="AN80" s="121"/>
      <c r="AO80" s="68"/>
      <c r="AQ80" s="121"/>
      <c r="AR80" s="68"/>
    </row>
    <row r="81" spans="1:44" ht="15" customHeight="1" x14ac:dyDescent="0.25">
      <c r="A81" s="279"/>
      <c r="B81" s="273"/>
      <c r="C81" s="274"/>
      <c r="D81" s="275"/>
      <c r="E81" s="272"/>
      <c r="F81" s="335"/>
      <c r="G81" s="279"/>
      <c r="H81" s="279"/>
      <c r="AN81" s="121"/>
      <c r="AO81" s="68"/>
      <c r="AQ81" s="121"/>
      <c r="AR81" s="68"/>
    </row>
    <row r="82" spans="1:44" x14ac:dyDescent="0.25">
      <c r="A82" s="279"/>
      <c r="B82" s="273"/>
      <c r="C82" s="274"/>
      <c r="D82" s="275"/>
      <c r="E82" s="272"/>
      <c r="F82" s="335"/>
      <c r="G82" s="279"/>
      <c r="H82" s="279"/>
      <c r="AN82" s="121"/>
      <c r="AO82" s="68"/>
      <c r="AQ82" s="121"/>
      <c r="AR82" s="68"/>
    </row>
    <row r="83" spans="1:44" x14ac:dyDescent="0.25">
      <c r="A83" s="279"/>
      <c r="B83" s="273"/>
      <c r="C83" s="274"/>
      <c r="D83" s="275"/>
      <c r="E83" s="272"/>
      <c r="F83" s="335"/>
      <c r="G83" s="279"/>
      <c r="H83" s="279"/>
      <c r="AN83" s="121"/>
      <c r="AO83" s="68"/>
      <c r="AQ83" s="121"/>
      <c r="AR83" s="68"/>
    </row>
    <row r="84" spans="1:44" ht="15" customHeight="1" x14ac:dyDescent="0.25">
      <c r="A84" s="279"/>
      <c r="B84" s="273"/>
      <c r="C84" s="274"/>
      <c r="D84" s="275"/>
      <c r="E84" s="272"/>
      <c r="F84" s="335"/>
      <c r="G84" s="279"/>
      <c r="H84" s="279"/>
      <c r="AN84" s="121"/>
      <c r="AO84" s="68"/>
      <c r="AQ84" s="121"/>
      <c r="AR84" s="68"/>
    </row>
    <row r="85" spans="1:44" ht="15.75" customHeight="1" x14ac:dyDescent="0.25">
      <c r="A85" s="279"/>
      <c r="B85" s="273"/>
      <c r="C85" s="274"/>
      <c r="D85" s="275"/>
      <c r="E85" s="272"/>
      <c r="F85" s="335"/>
      <c r="G85" s="279"/>
      <c r="H85" s="279"/>
      <c r="AN85" s="121"/>
      <c r="AO85" s="68"/>
      <c r="AQ85" s="121"/>
      <c r="AR85" s="68"/>
    </row>
    <row r="86" spans="1:44" x14ac:dyDescent="0.25">
      <c r="A86" s="279"/>
      <c r="B86" s="273"/>
      <c r="C86" s="274"/>
      <c r="D86" s="275"/>
      <c r="E86" s="272"/>
      <c r="F86" s="335"/>
      <c r="G86" s="279"/>
      <c r="H86" s="279"/>
      <c r="AN86" s="121"/>
      <c r="AO86" s="68"/>
      <c r="AQ86" s="121"/>
      <c r="AR86" s="68"/>
    </row>
    <row r="87" spans="1:44" x14ac:dyDescent="0.25">
      <c r="A87" s="279"/>
      <c r="B87" s="273"/>
      <c r="C87" s="274"/>
      <c r="D87" s="275"/>
      <c r="E87" s="272"/>
      <c r="F87" s="335"/>
      <c r="G87" s="279"/>
      <c r="H87" s="279"/>
      <c r="AN87" s="121"/>
      <c r="AO87" s="68"/>
      <c r="AQ87" s="121"/>
      <c r="AR87" s="68"/>
    </row>
    <row r="88" spans="1:44" x14ac:dyDescent="0.25">
      <c r="A88" s="279"/>
      <c r="B88" s="273"/>
      <c r="C88" s="274"/>
      <c r="D88" s="275"/>
      <c r="E88" s="272"/>
      <c r="F88" s="335"/>
      <c r="G88" s="279"/>
      <c r="H88" s="279"/>
      <c r="AN88" s="121"/>
      <c r="AO88" s="68"/>
      <c r="AQ88" s="121"/>
      <c r="AR88" s="68"/>
    </row>
    <row r="89" spans="1:44" x14ac:dyDescent="0.25">
      <c r="A89" s="279"/>
      <c r="B89" s="273"/>
      <c r="C89" s="274"/>
      <c r="D89" s="275"/>
      <c r="E89" s="272"/>
      <c r="F89" s="335"/>
      <c r="G89" s="279"/>
      <c r="H89" s="279"/>
      <c r="AN89" s="121"/>
      <c r="AO89" s="68"/>
      <c r="AQ89" s="121"/>
      <c r="AR89" s="68"/>
    </row>
    <row r="90" spans="1:44" x14ac:dyDescent="0.25">
      <c r="A90" s="279"/>
      <c r="B90" s="273"/>
      <c r="C90" s="274"/>
      <c r="D90" s="275"/>
      <c r="E90" s="272"/>
      <c r="F90" s="335"/>
      <c r="G90" s="279"/>
      <c r="H90" s="279"/>
      <c r="AN90" s="121"/>
      <c r="AO90" s="68"/>
      <c r="AQ90" s="121"/>
      <c r="AR90" s="68"/>
    </row>
    <row r="91" spans="1:44" x14ac:dyDescent="0.25">
      <c r="A91" s="279"/>
      <c r="B91" s="273"/>
      <c r="C91" s="274"/>
      <c r="D91" s="275"/>
      <c r="E91" s="272"/>
      <c r="F91" s="335"/>
      <c r="G91" s="279"/>
      <c r="H91" s="279"/>
      <c r="AN91" s="121"/>
      <c r="AO91" s="68"/>
      <c r="AQ91" s="121"/>
      <c r="AR91" s="68"/>
    </row>
    <row r="92" spans="1:44" x14ac:dyDescent="0.25">
      <c r="A92" s="279"/>
      <c r="B92" s="273"/>
      <c r="C92" s="274"/>
      <c r="D92" s="275"/>
      <c r="E92" s="272"/>
      <c r="F92" s="335"/>
      <c r="G92" s="279"/>
      <c r="H92" s="279"/>
      <c r="AN92" s="121"/>
      <c r="AO92" s="68"/>
      <c r="AQ92" s="121"/>
      <c r="AR92" s="68"/>
    </row>
    <row r="93" spans="1:44" x14ac:dyDescent="0.25">
      <c r="A93" s="279"/>
      <c r="B93" s="273"/>
      <c r="C93" s="274"/>
      <c r="D93" s="275"/>
      <c r="E93" s="272"/>
      <c r="F93" s="335"/>
      <c r="G93" s="279"/>
      <c r="H93" s="279"/>
      <c r="AN93" s="121"/>
      <c r="AO93" s="68"/>
      <c r="AQ93" s="121"/>
      <c r="AR93" s="68"/>
    </row>
    <row r="94" spans="1:44" x14ac:dyDescent="0.25">
      <c r="A94" s="279"/>
      <c r="B94" s="273"/>
      <c r="C94" s="274"/>
      <c r="D94" s="275"/>
      <c r="E94" s="272"/>
      <c r="F94" s="335"/>
      <c r="G94" s="279"/>
      <c r="H94" s="279"/>
      <c r="AN94" s="121"/>
      <c r="AO94" s="68"/>
      <c r="AQ94" s="121"/>
      <c r="AR94" s="68"/>
    </row>
    <row r="95" spans="1:44" x14ac:dyDescent="0.25">
      <c r="A95" s="279"/>
      <c r="B95" s="273"/>
      <c r="C95" s="274"/>
      <c r="D95" s="275"/>
      <c r="E95" s="272"/>
      <c r="F95" s="335"/>
      <c r="G95" s="279"/>
      <c r="H95" s="279"/>
      <c r="AN95" s="121"/>
      <c r="AO95" s="68"/>
      <c r="AQ95" s="121"/>
      <c r="AR95" s="68"/>
    </row>
    <row r="96" spans="1:44" x14ac:dyDescent="0.25">
      <c r="A96" s="279"/>
      <c r="B96" s="273"/>
      <c r="C96" s="274"/>
      <c r="D96" s="275"/>
      <c r="E96" s="272"/>
      <c r="F96" s="335"/>
      <c r="G96" s="279"/>
      <c r="H96" s="279"/>
      <c r="AN96" s="121"/>
      <c r="AO96" s="68"/>
      <c r="AQ96" s="121"/>
      <c r="AR96" s="68"/>
    </row>
    <row r="97" spans="1:44" x14ac:dyDescent="0.25">
      <c r="A97" s="279"/>
      <c r="B97" s="273"/>
      <c r="C97" s="274"/>
      <c r="D97" s="275"/>
      <c r="E97" s="272"/>
      <c r="F97" s="335"/>
      <c r="G97" s="279"/>
      <c r="H97" s="279"/>
      <c r="AN97" s="121"/>
      <c r="AO97" s="68"/>
      <c r="AQ97" s="121"/>
      <c r="AR97" s="68"/>
    </row>
    <row r="98" spans="1:44" x14ac:dyDescent="0.25">
      <c r="A98" s="279"/>
      <c r="B98" s="273"/>
      <c r="C98" s="274"/>
      <c r="D98" s="275"/>
      <c r="E98" s="272"/>
      <c r="F98" s="335"/>
      <c r="G98" s="279"/>
      <c r="H98" s="279"/>
      <c r="AN98" s="121"/>
      <c r="AO98" s="68"/>
      <c r="AQ98" s="121"/>
      <c r="AR98" s="68"/>
    </row>
    <row r="99" spans="1:44" x14ac:dyDescent="0.25">
      <c r="A99" s="279"/>
      <c r="B99" s="273"/>
      <c r="C99" s="274"/>
      <c r="D99" s="275"/>
      <c r="E99" s="272"/>
      <c r="F99" s="335"/>
      <c r="G99" s="279"/>
      <c r="H99" s="279"/>
      <c r="AN99" s="121"/>
      <c r="AO99" s="68"/>
      <c r="AQ99" s="121"/>
      <c r="AR99" s="68"/>
    </row>
    <row r="100" spans="1:44" x14ac:dyDescent="0.25">
      <c r="A100" s="279"/>
      <c r="B100" s="273"/>
      <c r="C100" s="274"/>
      <c r="D100" s="275"/>
      <c r="E100" s="272"/>
      <c r="F100" s="335"/>
      <c r="G100" s="279"/>
      <c r="H100" s="279"/>
      <c r="AN100" s="121"/>
      <c r="AO100" s="68"/>
      <c r="AQ100" s="121"/>
      <c r="AR100" s="68"/>
    </row>
    <row r="101" spans="1:44" x14ac:dyDescent="0.25">
      <c r="A101" s="279"/>
      <c r="B101" s="273"/>
      <c r="C101" s="274"/>
      <c r="D101" s="275"/>
      <c r="E101" s="272"/>
      <c r="F101" s="335"/>
      <c r="G101" s="279"/>
      <c r="H101" s="279"/>
      <c r="AN101" s="121"/>
      <c r="AO101" s="68"/>
      <c r="AQ101" s="121"/>
      <c r="AR101" s="68"/>
    </row>
    <row r="102" spans="1:44" x14ac:dyDescent="0.25">
      <c r="A102" s="279"/>
      <c r="B102" s="273"/>
      <c r="C102" s="274"/>
      <c r="D102" s="275"/>
      <c r="E102" s="272"/>
      <c r="F102" s="335"/>
      <c r="G102" s="279"/>
      <c r="H102" s="279"/>
      <c r="AN102" s="121"/>
      <c r="AO102" s="68"/>
      <c r="AQ102" s="121"/>
      <c r="AR102" s="68"/>
    </row>
    <row r="103" spans="1:44" x14ac:dyDescent="0.25">
      <c r="A103" s="279"/>
      <c r="B103" s="273"/>
      <c r="C103" s="274"/>
      <c r="D103" s="275"/>
      <c r="E103" s="272"/>
      <c r="F103" s="335"/>
      <c r="G103" s="279"/>
      <c r="H103" s="279"/>
      <c r="AN103" s="121"/>
      <c r="AO103" s="68"/>
      <c r="AQ103" s="121"/>
      <c r="AR103" s="68"/>
    </row>
    <row r="104" spans="1:44" x14ac:dyDescent="0.25">
      <c r="A104" s="279"/>
      <c r="B104" s="273"/>
      <c r="C104" s="274"/>
      <c r="D104" s="275"/>
      <c r="E104" s="272"/>
      <c r="F104" s="335"/>
      <c r="G104" s="279"/>
      <c r="H104" s="279"/>
      <c r="AN104" s="121"/>
      <c r="AO104" s="68"/>
      <c r="AQ104" s="121"/>
      <c r="AR104" s="68"/>
    </row>
    <row r="105" spans="1:44" x14ac:dyDescent="0.25">
      <c r="A105" s="279"/>
      <c r="B105" s="273"/>
      <c r="C105" s="274"/>
      <c r="D105" s="275"/>
      <c r="E105" s="272"/>
      <c r="F105" s="335"/>
      <c r="G105" s="279"/>
      <c r="H105" s="279"/>
      <c r="AN105" s="121"/>
      <c r="AO105" s="68"/>
      <c r="AQ105" s="121"/>
      <c r="AR105" s="68"/>
    </row>
    <row r="106" spans="1:44" x14ac:dyDescent="0.25">
      <c r="A106" s="279"/>
      <c r="B106" s="273"/>
      <c r="C106" s="274"/>
      <c r="D106" s="275"/>
      <c r="E106" s="272"/>
      <c r="F106" s="335"/>
      <c r="G106" s="279"/>
      <c r="H106" s="279"/>
      <c r="AN106" s="121"/>
      <c r="AO106" s="68"/>
      <c r="AQ106" s="121"/>
      <c r="AR106" s="68"/>
    </row>
    <row r="107" spans="1:44" x14ac:dyDescent="0.25">
      <c r="A107" s="279"/>
      <c r="B107" s="273"/>
      <c r="C107" s="274"/>
      <c r="D107" s="275"/>
      <c r="E107" s="272"/>
      <c r="F107" s="335"/>
      <c r="G107" s="279"/>
      <c r="H107" s="279"/>
      <c r="AN107" s="121"/>
      <c r="AO107" s="68"/>
      <c r="AQ107" s="121"/>
      <c r="AR107" s="68"/>
    </row>
    <row r="108" spans="1:44" x14ac:dyDescent="0.25">
      <c r="A108" s="279"/>
      <c r="B108" s="273"/>
      <c r="C108" s="274"/>
      <c r="D108" s="275"/>
      <c r="E108" s="272"/>
      <c r="F108" s="335"/>
      <c r="G108" s="279"/>
      <c r="H108" s="279"/>
      <c r="AN108" s="121"/>
      <c r="AO108" s="68"/>
      <c r="AQ108" s="121"/>
      <c r="AR108" s="68"/>
    </row>
    <row r="109" spans="1:44" x14ac:dyDescent="0.25">
      <c r="A109" s="279"/>
      <c r="B109" s="273"/>
      <c r="C109" s="274"/>
      <c r="D109" s="275"/>
      <c r="E109" s="272"/>
      <c r="F109" s="335"/>
      <c r="G109" s="279"/>
      <c r="H109" s="279"/>
      <c r="AN109" s="121"/>
      <c r="AO109" s="68"/>
      <c r="AQ109" s="121"/>
      <c r="AR109" s="68"/>
    </row>
    <row r="110" spans="1:44" x14ac:dyDescent="0.25">
      <c r="A110" s="279"/>
      <c r="B110" s="273"/>
      <c r="C110" s="274"/>
      <c r="D110" s="275"/>
      <c r="E110" s="272"/>
      <c r="F110" s="335"/>
      <c r="G110" s="279"/>
      <c r="H110" s="279"/>
      <c r="AN110" s="121"/>
      <c r="AO110" s="68"/>
      <c r="AQ110" s="121"/>
      <c r="AR110" s="68"/>
    </row>
    <row r="111" spans="1:44" x14ac:dyDescent="0.25">
      <c r="A111" s="279"/>
      <c r="B111" s="273"/>
      <c r="C111" s="274"/>
      <c r="D111" s="275"/>
      <c r="E111" s="272"/>
      <c r="F111" s="335"/>
      <c r="G111" s="279"/>
      <c r="H111" s="279"/>
      <c r="AN111" s="121"/>
      <c r="AO111" s="68"/>
      <c r="AQ111" s="121"/>
      <c r="AR111" s="68"/>
    </row>
    <row r="112" spans="1:44" x14ac:dyDescent="0.25">
      <c r="A112" s="279"/>
      <c r="B112" s="273"/>
      <c r="C112" s="274"/>
      <c r="D112" s="275"/>
      <c r="E112" s="272"/>
      <c r="F112" s="335"/>
      <c r="G112" s="279"/>
      <c r="H112" s="279"/>
      <c r="AN112" s="121"/>
      <c r="AO112" s="68"/>
      <c r="AQ112" s="121"/>
      <c r="AR112" s="68"/>
    </row>
    <row r="113" spans="1:44" x14ac:dyDescent="0.25">
      <c r="A113" s="279"/>
      <c r="B113" s="273"/>
      <c r="C113" s="274"/>
      <c r="D113" s="275"/>
      <c r="E113" s="272"/>
      <c r="F113" s="335"/>
      <c r="G113" s="279"/>
      <c r="H113" s="279"/>
      <c r="AN113" s="121"/>
      <c r="AO113" s="68"/>
      <c r="AQ113" s="121"/>
      <c r="AR113" s="68"/>
    </row>
    <row r="114" spans="1:44" x14ac:dyDescent="0.25">
      <c r="A114" s="279"/>
      <c r="B114" s="273"/>
      <c r="C114" s="274"/>
      <c r="D114" s="275"/>
      <c r="E114" s="272"/>
      <c r="F114" s="335"/>
      <c r="G114" s="279"/>
      <c r="H114" s="279"/>
      <c r="AN114" s="121"/>
      <c r="AO114" s="68"/>
      <c r="AQ114" s="121"/>
      <c r="AR114" s="68"/>
    </row>
    <row r="115" spans="1:44" x14ac:dyDescent="0.25">
      <c r="A115" s="279"/>
      <c r="B115" s="273"/>
      <c r="C115" s="274"/>
      <c r="D115" s="275"/>
      <c r="E115" s="272"/>
      <c r="F115" s="335"/>
      <c r="G115" s="279"/>
      <c r="H115" s="279"/>
      <c r="AN115" s="121"/>
      <c r="AO115" s="68"/>
      <c r="AQ115" s="121"/>
      <c r="AR115" s="68"/>
    </row>
    <row r="116" spans="1:44" x14ac:dyDescent="0.25">
      <c r="A116" s="279"/>
      <c r="B116" s="273"/>
      <c r="C116" s="274"/>
      <c r="D116" s="275"/>
      <c r="E116" s="272"/>
      <c r="F116" s="335"/>
      <c r="G116" s="279"/>
      <c r="H116" s="279"/>
      <c r="AN116" s="121"/>
      <c r="AO116" s="68"/>
      <c r="AQ116" s="121"/>
      <c r="AR116" s="68"/>
    </row>
    <row r="117" spans="1:44" x14ac:dyDescent="0.25">
      <c r="A117" s="279"/>
      <c r="B117" s="273"/>
      <c r="C117" s="274"/>
      <c r="D117" s="275"/>
      <c r="E117" s="272"/>
      <c r="F117" s="335"/>
      <c r="G117" s="279"/>
      <c r="H117" s="279"/>
      <c r="AN117" s="121"/>
      <c r="AO117" s="68"/>
      <c r="AQ117" s="121"/>
      <c r="AR117" s="68"/>
    </row>
    <row r="118" spans="1:44" x14ac:dyDescent="0.25">
      <c r="A118" s="279"/>
      <c r="B118" s="273"/>
      <c r="C118" s="274"/>
      <c r="D118" s="275"/>
      <c r="E118" s="272"/>
      <c r="F118" s="335"/>
      <c r="G118" s="279"/>
      <c r="H118" s="279"/>
      <c r="AN118" s="121"/>
      <c r="AO118" s="68"/>
      <c r="AQ118" s="121"/>
      <c r="AR118" s="68"/>
    </row>
    <row r="119" spans="1:44" x14ac:dyDescent="0.25">
      <c r="A119" s="279"/>
      <c r="B119" s="273"/>
      <c r="C119" s="274"/>
      <c r="D119" s="275"/>
      <c r="E119" s="272"/>
      <c r="F119" s="335"/>
      <c r="G119" s="279"/>
      <c r="H119" s="279"/>
      <c r="AN119" s="121"/>
      <c r="AO119" s="68"/>
      <c r="AQ119" s="121"/>
      <c r="AR119" s="68"/>
    </row>
    <row r="120" spans="1:44" x14ac:dyDescent="0.25">
      <c r="A120" s="279"/>
      <c r="B120" s="273"/>
      <c r="C120" s="274"/>
      <c r="D120" s="275"/>
      <c r="E120" s="272"/>
      <c r="F120" s="335"/>
      <c r="G120" s="279"/>
      <c r="H120" s="279"/>
      <c r="AN120" s="121"/>
      <c r="AO120" s="68"/>
      <c r="AQ120" s="121"/>
      <c r="AR120" s="68"/>
    </row>
    <row r="121" spans="1:44" x14ac:dyDescent="0.25">
      <c r="A121" s="279"/>
      <c r="B121" s="273"/>
      <c r="C121" s="274"/>
      <c r="D121" s="275"/>
      <c r="E121" s="272"/>
      <c r="F121" s="335"/>
      <c r="G121" s="279"/>
      <c r="H121" s="279"/>
      <c r="AN121" s="121"/>
      <c r="AO121" s="68"/>
      <c r="AQ121" s="121"/>
      <c r="AR121" s="68"/>
    </row>
    <row r="122" spans="1:44" x14ac:dyDescent="0.25">
      <c r="A122" s="279"/>
      <c r="B122" s="273"/>
      <c r="C122" s="274"/>
      <c r="D122" s="275"/>
      <c r="E122" s="272"/>
      <c r="F122" s="335"/>
      <c r="G122" s="279"/>
      <c r="H122" s="279"/>
      <c r="AN122" s="121"/>
      <c r="AO122" s="68"/>
      <c r="AQ122" s="121"/>
      <c r="AR122" s="68"/>
    </row>
    <row r="123" spans="1:44" x14ac:dyDescent="0.25">
      <c r="A123" s="279"/>
      <c r="B123" s="273"/>
      <c r="C123" s="274"/>
      <c r="D123" s="275"/>
      <c r="E123" s="272"/>
      <c r="F123" s="335"/>
      <c r="G123" s="279"/>
      <c r="H123" s="279"/>
      <c r="AN123" s="121"/>
      <c r="AO123" s="68"/>
      <c r="AQ123" s="121"/>
      <c r="AR123" s="68"/>
    </row>
    <row r="124" spans="1:44" x14ac:dyDescent="0.25">
      <c r="F124" s="6"/>
      <c r="AN124" s="121"/>
      <c r="AO124" s="68"/>
      <c r="AQ124" s="121"/>
      <c r="AR124" s="68"/>
    </row>
    <row r="125" spans="1:44" x14ac:dyDescent="0.25">
      <c r="F125" s="6"/>
      <c r="AN125" s="121"/>
      <c r="AO125" s="68"/>
      <c r="AQ125" s="121"/>
      <c r="AR125" s="68"/>
    </row>
    <row r="126" spans="1:44" x14ac:dyDescent="0.25">
      <c r="F126" s="6"/>
      <c r="AN126" s="121"/>
      <c r="AO126" s="68"/>
      <c r="AQ126" s="121"/>
      <c r="AR126" s="68"/>
    </row>
    <row r="127" spans="1:44" x14ac:dyDescent="0.25">
      <c r="F127" s="6"/>
      <c r="AN127" s="121"/>
      <c r="AO127" s="68"/>
      <c r="AQ127" s="121"/>
      <c r="AR127" s="68"/>
    </row>
    <row r="128" spans="1:44" x14ac:dyDescent="0.25">
      <c r="F128" s="6"/>
      <c r="AN128" s="121"/>
      <c r="AO128" s="68"/>
      <c r="AQ128" s="121"/>
      <c r="AR128" s="68"/>
    </row>
    <row r="129" spans="6:44" x14ac:dyDescent="0.25">
      <c r="F129" s="6"/>
      <c r="AN129" s="121"/>
      <c r="AO129" s="68"/>
      <c r="AQ129" s="121"/>
      <c r="AR129" s="68"/>
    </row>
    <row r="130" spans="6:44" x14ac:dyDescent="0.25">
      <c r="F130" s="6"/>
      <c r="AN130" s="121"/>
      <c r="AO130" s="68"/>
      <c r="AQ130" s="121"/>
      <c r="AR130" s="68"/>
    </row>
    <row r="131" spans="6:44" x14ac:dyDescent="0.25">
      <c r="F131" s="6"/>
      <c r="AN131" s="121"/>
      <c r="AO131" s="68"/>
      <c r="AQ131" s="121"/>
      <c r="AR131" s="68"/>
    </row>
    <row r="132" spans="6:44" x14ac:dyDescent="0.25">
      <c r="F132" s="6"/>
      <c r="AN132" s="121"/>
      <c r="AO132" s="68"/>
      <c r="AQ132" s="121"/>
      <c r="AR132" s="68"/>
    </row>
    <row r="133" spans="6:44" x14ac:dyDescent="0.25">
      <c r="F133" s="6"/>
      <c r="AN133" s="121"/>
      <c r="AO133" s="68"/>
      <c r="AQ133" s="121"/>
      <c r="AR133" s="68"/>
    </row>
    <row r="134" spans="6:44" x14ac:dyDescent="0.25">
      <c r="F134" s="6"/>
      <c r="AN134" s="121"/>
      <c r="AO134" s="68"/>
      <c r="AQ134" s="121"/>
      <c r="AR134" s="68"/>
    </row>
    <row r="135" spans="6:44" x14ac:dyDescent="0.25">
      <c r="F135" s="6"/>
      <c r="AN135" s="121"/>
      <c r="AO135" s="68"/>
      <c r="AQ135" s="121"/>
      <c r="AR135" s="68"/>
    </row>
    <row r="136" spans="6:44" x14ac:dyDescent="0.25">
      <c r="F136" s="6"/>
      <c r="AN136" s="121"/>
      <c r="AO136" s="68"/>
      <c r="AQ136" s="121"/>
      <c r="AR136" s="68"/>
    </row>
    <row r="137" spans="6:44" x14ac:dyDescent="0.25">
      <c r="F137" s="6"/>
      <c r="AN137" s="121"/>
      <c r="AO137" s="68"/>
      <c r="AQ137" s="121"/>
      <c r="AR137" s="68"/>
    </row>
    <row r="138" spans="6:44" x14ac:dyDescent="0.25">
      <c r="F138" s="6"/>
      <c r="AN138" s="121"/>
      <c r="AO138" s="68"/>
      <c r="AQ138" s="121"/>
      <c r="AR138" s="68"/>
    </row>
    <row r="139" spans="6:44" x14ac:dyDescent="0.25">
      <c r="F139" s="6"/>
      <c r="AN139" s="121"/>
      <c r="AO139" s="68"/>
      <c r="AQ139" s="121"/>
      <c r="AR139" s="68"/>
    </row>
    <row r="140" spans="6:44" x14ac:dyDescent="0.25">
      <c r="F140" s="6"/>
      <c r="AN140" s="121"/>
      <c r="AO140" s="68"/>
      <c r="AQ140" s="121"/>
      <c r="AR140" s="68"/>
    </row>
    <row r="141" spans="6:44" x14ac:dyDescent="0.25">
      <c r="F141" s="6"/>
      <c r="AN141" s="121"/>
      <c r="AO141" s="68"/>
      <c r="AQ141" s="121"/>
      <c r="AR141" s="68"/>
    </row>
    <row r="142" spans="6:44" x14ac:dyDescent="0.25">
      <c r="F142" s="6"/>
      <c r="AN142" s="121"/>
      <c r="AO142" s="68"/>
      <c r="AQ142" s="121"/>
      <c r="AR142" s="68"/>
    </row>
    <row r="143" spans="6:44" x14ac:dyDescent="0.25">
      <c r="F143" s="6"/>
      <c r="AN143" s="121"/>
      <c r="AO143" s="68"/>
      <c r="AQ143" s="121"/>
      <c r="AR143" s="68"/>
    </row>
    <row r="144" spans="6:44" x14ac:dyDescent="0.25">
      <c r="F144" s="6"/>
      <c r="AN144" s="121"/>
      <c r="AO144" s="68"/>
      <c r="AQ144" s="121"/>
      <c r="AR144" s="68"/>
    </row>
    <row r="145" spans="6:44" x14ac:dyDescent="0.25">
      <c r="F145" s="6"/>
      <c r="AN145" s="121"/>
      <c r="AO145" s="68"/>
      <c r="AQ145" s="121"/>
      <c r="AR145" s="68"/>
    </row>
    <row r="146" spans="6:44" x14ac:dyDescent="0.25">
      <c r="F146" s="6"/>
      <c r="AN146" s="121"/>
      <c r="AO146" s="68"/>
      <c r="AQ146" s="121"/>
      <c r="AR146" s="68"/>
    </row>
    <row r="147" spans="6:44" x14ac:dyDescent="0.25">
      <c r="F147" s="6"/>
      <c r="AN147" s="121"/>
      <c r="AO147" s="68"/>
      <c r="AQ147" s="121"/>
      <c r="AR147" s="68"/>
    </row>
    <row r="148" spans="6:44" x14ac:dyDescent="0.25">
      <c r="F148" s="6"/>
      <c r="AN148" s="121"/>
      <c r="AO148" s="68"/>
      <c r="AQ148" s="121"/>
      <c r="AR148" s="68"/>
    </row>
    <row r="149" spans="6:44" x14ac:dyDescent="0.25">
      <c r="F149" s="6"/>
      <c r="AN149" s="121"/>
      <c r="AO149" s="68"/>
      <c r="AQ149" s="121"/>
      <c r="AR149" s="68"/>
    </row>
    <row r="150" spans="6:44" x14ac:dyDescent="0.25">
      <c r="F150" s="6"/>
      <c r="AN150" s="121"/>
      <c r="AO150" s="68"/>
      <c r="AQ150" s="121"/>
      <c r="AR150" s="68"/>
    </row>
  </sheetData>
  <sheetProtection algorithmName="SHA-512" hashValue="i/pIzsH61aIwm0m5s18xgcuix0QZTPWpU+N9vXMcudgzbJQOGYpW/QuL2P73oVFuK/AluY14/k3fU1eXVFyuSw==" saltValue="G4CRc4YSALfQ2FBfzGsErw==" spinCount="100000" sheet="1" formatColumns="0" formatRows="0"/>
  <mergeCells count="8">
    <mergeCell ref="B27:H27"/>
    <mergeCell ref="A2:B2"/>
    <mergeCell ref="AB6:AD6"/>
    <mergeCell ref="A1:F1"/>
    <mergeCell ref="AG1:AL1"/>
    <mergeCell ref="D24:H24"/>
    <mergeCell ref="D25:H25"/>
    <mergeCell ref="D26:H26"/>
  </mergeCells>
  <conditionalFormatting sqref="A9:H22 A8:D8 F8:H8">
    <cfRule type="expression" dxfId="6" priority="3848">
      <formula>$C$3="Yes, section requirements are not applicable"</formula>
    </cfRule>
  </conditionalFormatting>
  <conditionalFormatting sqref="E8">
    <cfRule type="expression" dxfId="5" priority="3">
      <formula>$AM8=1</formula>
    </cfRule>
    <cfRule type="expression" dxfId="4" priority="4">
      <formula>$C$3="Yes, section requirements are not included in the contract amendment"</formula>
    </cfRule>
    <cfRule type="expression" dxfId="3" priority="5">
      <formula>OR($X8=TRUE,$W8=TRUE)</formula>
    </cfRule>
  </conditionalFormatting>
  <conditionalFormatting sqref="A9:H22">
    <cfRule type="expression" dxfId="2" priority="1">
      <formula>$AE9=TRUE</formula>
    </cfRule>
    <cfRule type="expression" dxfId="1" priority="2">
      <formula>$E$8="N/A"</formula>
    </cfRule>
  </conditionalFormatting>
  <dataValidations count="3">
    <dataValidation type="list" allowBlank="1" showInputMessage="1" showErrorMessage="1" sqref="C3" xr:uid="{00000000-0002-0000-0E00-000000000000}">
      <formula1>$K$2:$K$3</formula1>
    </dataValidation>
    <dataValidation type="list" allowBlank="1" showInputMessage="1" showErrorMessage="1" sqref="E9:E22" xr:uid="{FE1083B5-3933-4BD2-8CC1-F2923DAA75A2}">
      <formula1>$J$1:$J$4</formula1>
    </dataValidation>
    <dataValidation type="list" allowBlank="1" showInputMessage="1" showErrorMessage="1" sqref="E8" xr:uid="{E474647C-D7B8-49EE-A9DA-592EB2E3E4F0}">
      <formula1>$AT$1</formula1>
    </dataValidation>
  </dataValidations>
  <hyperlinks>
    <hyperlink ref="D24" r:id="rId1" xr:uid="{86EF0D46-CA43-4604-980C-BA5C0321130A}"/>
    <hyperlink ref="D25" r:id="rId2" location="431.70" xr:uid="{77261FB1-4762-4C5B-BB99-B14B15CD36DC}"/>
    <hyperlink ref="D26" r:id="rId3" location="431.10" xr:uid="{47A91972-9D3B-4F29-B705-D4F4F790DFA3}"/>
    <hyperlink ref="D17" location="'K. Health Information Systems'!A24" display="'K. Health Information Systems'!A24" xr:uid="{5F230875-9FC1-444F-B6F8-9AD06F7BD4E5}"/>
    <hyperlink ref="D18" location="'K. Health Information Systems'!A25" display="2, 3" xr:uid="{3AE675F6-D741-42A9-8E66-C9DD7CEABA60}"/>
    <hyperlink ref="D22" location="'K. Health Information Systems'!A27" display="'K. Health Information Systems'!A27" xr:uid="{656D65C0-923B-470A-B88B-3579A3BCF41E}"/>
    <hyperlink ref="A24" location="'K. Health Information Systems'!D17" display="'K. Health Information Systems'!D17" xr:uid="{89BCF4CA-8610-48F7-8361-C1754AFCC9C1}"/>
    <hyperlink ref="A25" location="'K. Health Information Systems'!D18" display="'K. Health Information Systems'!D18" xr:uid="{EFAAFA5A-FAB8-4279-B5DE-3CBD1AC500D3}"/>
    <hyperlink ref="A26" location="'K. Health Information Systems'!D18" display="'K. Health Information Systems'!D18" xr:uid="{5DD214D9-CE29-4F95-84D2-AA5A01CFF1B3}"/>
    <hyperlink ref="A27" location="'K. Health Information Systems'!D22" display="'K. Health Information Systems'!D22" xr:uid="{583C716E-F25F-44EA-BEEF-1C22E557E5D0}"/>
  </hyperlinks>
  <pageMargins left="0.25" right="0.25" top="0.75" bottom="0.75" header="0.3" footer="0.3"/>
  <pageSetup scale="78" fitToHeight="0" orientation="landscape" horizontalDpi="4294967293" verticalDpi="4294967293" r:id="rId4"/>
  <extLst>
    <ext xmlns:x14="http://schemas.microsoft.com/office/spreadsheetml/2009/9/main" uri="{78C0D931-6437-407d-A8EE-F0AAD7539E65}">
      <x14:conditionalFormattings>
        <x14:conditionalFormatting xmlns:xm="http://schemas.microsoft.com/office/excel/2006/main">
          <x14:cfRule type="expression" priority="6" id="{A3AAA5AB-F420-4457-84E2-1E6CA5E8DCAD}">
            <xm:f>AND('Cover Sheet'!$B$29="Streamlined Review")</xm:f>
            <x14:dxf>
              <fill>
                <patternFill patternType="lightUp"/>
              </fill>
            </x14:dxf>
          </x14:cfRule>
          <xm:sqref>A9:H12 A14:H16 A19:H20 A22:H22</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85563-E2F1-49EE-8008-7222FEE988A0}">
  <sheetPr codeName="Sheet16"/>
  <dimension ref="A1:BE18"/>
  <sheetViews>
    <sheetView zoomScale="85" zoomScaleNormal="85" workbookViewId="0">
      <selection sqref="A1:B1"/>
    </sheetView>
  </sheetViews>
  <sheetFormatPr defaultRowHeight="15" x14ac:dyDescent="0.25"/>
  <cols>
    <col min="1" max="1" width="10.5703125" customWidth="1"/>
    <col min="2" max="2" width="18.5703125" customWidth="1"/>
    <col min="3" max="3" width="75.7109375" customWidth="1"/>
    <col min="4" max="4" width="9.28515625" customWidth="1"/>
    <col min="5" max="5" width="8.42578125" customWidth="1"/>
    <col min="6" max="6" width="8.5703125" customWidth="1"/>
    <col min="7" max="7" width="21.7109375" customWidth="1"/>
    <col min="8" max="8" width="31.140625" customWidth="1"/>
    <col min="9" max="57" width="9.140625" hidden="1" customWidth="1"/>
  </cols>
  <sheetData>
    <row r="1" spans="1:31" ht="60.75" customHeight="1" thickBot="1" x14ac:dyDescent="0.3">
      <c r="A1" s="601" t="s">
        <v>98</v>
      </c>
      <c r="B1" s="602"/>
      <c r="C1" s="603" t="s">
        <v>2398</v>
      </c>
      <c r="D1" s="604"/>
      <c r="E1" s="604"/>
      <c r="F1" s="604"/>
      <c r="G1" s="604"/>
      <c r="H1" s="405"/>
    </row>
    <row r="2" spans="1:31" ht="18.75" thickBot="1" x14ac:dyDescent="0.3">
      <c r="A2" s="410" t="s">
        <v>2399</v>
      </c>
      <c r="B2" s="411"/>
      <c r="C2" s="412"/>
      <c r="D2" s="412"/>
      <c r="E2" s="413"/>
      <c r="F2" s="414"/>
      <c r="G2" s="415"/>
      <c r="H2" s="406"/>
      <c r="Z2" s="92" t="s">
        <v>168</v>
      </c>
      <c r="AA2" s="92" t="s">
        <v>178</v>
      </c>
      <c r="AB2" s="92" t="s">
        <v>185</v>
      </c>
      <c r="AC2" s="71" t="s">
        <v>190</v>
      </c>
      <c r="AD2" s="71" t="s">
        <v>195</v>
      </c>
      <c r="AE2" s="71" t="s">
        <v>200</v>
      </c>
    </row>
    <row r="3" spans="1:31" ht="36" customHeight="1" x14ac:dyDescent="0.25">
      <c r="A3" s="605" t="s">
        <v>2400</v>
      </c>
      <c r="B3" s="606"/>
      <c r="C3" s="606"/>
      <c r="D3" s="606"/>
      <c r="E3" s="606"/>
      <c r="F3" s="606"/>
      <c r="G3" s="606"/>
      <c r="H3" s="407"/>
    </row>
    <row r="4" spans="1:31" ht="32.1" customHeight="1" x14ac:dyDescent="0.25">
      <c r="A4" s="607" t="s">
        <v>2401</v>
      </c>
      <c r="B4" s="608"/>
      <c r="C4" s="608"/>
      <c r="D4" s="608"/>
      <c r="E4" s="608"/>
      <c r="F4" s="608"/>
      <c r="G4" s="608"/>
      <c r="H4" s="407"/>
    </row>
    <row r="5" spans="1:31" ht="12" customHeight="1" thickBot="1" x14ac:dyDescent="0.3">
      <c r="A5" s="609"/>
      <c r="B5" s="610"/>
      <c r="C5" s="610"/>
      <c r="D5" s="610"/>
      <c r="E5" s="610"/>
      <c r="F5" s="610"/>
      <c r="G5" s="610"/>
      <c r="H5" s="408"/>
    </row>
    <row r="6" spans="1:31" ht="26.25" thickBot="1" x14ac:dyDescent="0.3">
      <c r="A6" s="249" t="s">
        <v>337</v>
      </c>
      <c r="B6" s="251" t="s">
        <v>338</v>
      </c>
      <c r="C6" s="251" t="s">
        <v>339</v>
      </c>
      <c r="D6" s="251" t="s">
        <v>340</v>
      </c>
      <c r="E6" s="251" t="s">
        <v>341</v>
      </c>
      <c r="F6" s="251" t="s">
        <v>342</v>
      </c>
      <c r="G6" s="251" t="s">
        <v>343</v>
      </c>
      <c r="H6" s="293" t="s">
        <v>344</v>
      </c>
    </row>
    <row r="8" spans="1:31" ht="75.75" customHeight="1" x14ac:dyDescent="0.25"/>
    <row r="10" spans="1:31" ht="41.25" customHeight="1" x14ac:dyDescent="0.25"/>
    <row r="11" spans="1:31" ht="33" customHeight="1" x14ac:dyDescent="0.25"/>
    <row r="13" spans="1:31" ht="74.25" customHeight="1" x14ac:dyDescent="0.25"/>
    <row r="15" spans="1:31" ht="41.25" customHeight="1" x14ac:dyDescent="0.25"/>
    <row r="16" spans="1:31" ht="237.6" customHeight="1" x14ac:dyDescent="0.25"/>
    <row r="17" ht="74.25" customHeight="1" x14ac:dyDescent="0.25"/>
    <row r="18" ht="36" customHeight="1" x14ac:dyDescent="0.25"/>
  </sheetData>
  <sheetProtection algorithmName="SHA-512" hashValue="9xW7rwFfld3Jgy/rQ03ewEK2YNFt2p1X9/h6baz63Cw8zi3++1C9XGom3EcTggINlOnBK4KJ5E1DfM8Ijj8J0Q==" saltValue="8t5/h3GhSGy1IA69a9ydTw==" spinCount="100000" sheet="1" objects="1" scenarios="1"/>
  <mergeCells count="5">
    <mergeCell ref="A1:B1"/>
    <mergeCell ref="C1:G1"/>
    <mergeCell ref="A3:G3"/>
    <mergeCell ref="A4:G4"/>
    <mergeCell ref="A5:G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3" r:id="rId4" name="Button 5">
              <controlPr defaultSize="0" print="0" autoFill="0" autoPict="0" macro="[0]!Button5_Click">
                <anchor moveWithCells="1" sizeWithCells="1">
                  <from>
                    <xdr:col>7</xdr:col>
                    <xdr:colOff>104775</xdr:colOff>
                    <xdr:row>2</xdr:row>
                    <xdr:rowOff>114300</xdr:rowOff>
                  </from>
                  <to>
                    <xdr:col>7</xdr:col>
                    <xdr:colOff>1990725</xdr:colOff>
                    <xdr:row>2</xdr:row>
                    <xdr:rowOff>533400</xdr:rowOff>
                  </to>
                </anchor>
              </controlPr>
            </control>
          </mc:Choice>
        </mc:AlternateContent>
        <mc:AlternateContent xmlns:mc="http://schemas.openxmlformats.org/markup-compatibility/2006">
          <mc:Choice Requires="x14">
            <control shapeId="32774" r:id="rId5" name="Button 6">
              <controlPr defaultSize="0" print="0" autoFill="0" autoPict="0" macro="[0]!Button6_Click">
                <anchor moveWithCells="1" sizeWithCells="1">
                  <from>
                    <xdr:col>7</xdr:col>
                    <xdr:colOff>104775</xdr:colOff>
                    <xdr:row>3</xdr:row>
                    <xdr:rowOff>104775</xdr:rowOff>
                  </from>
                  <to>
                    <xdr:col>7</xdr:col>
                    <xdr:colOff>1981200</xdr:colOff>
                    <xdr:row>3</xdr:row>
                    <xdr:rowOff>504825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F123"/>
  <sheetViews>
    <sheetView zoomScale="85" zoomScaleNormal="85" workbookViewId="0">
      <pane ySplit="1" topLeftCell="A2" activePane="bottomLeft" state="frozen"/>
      <selection pane="bottomLeft"/>
    </sheetView>
  </sheetViews>
  <sheetFormatPr defaultColWidth="8.7109375" defaultRowHeight="15" x14ac:dyDescent="0.25"/>
  <cols>
    <col min="1" max="1" width="16.28515625" style="111" customWidth="1"/>
    <col min="2" max="2" width="9.5703125" style="111" customWidth="1"/>
    <col min="3" max="3" width="10" style="111" customWidth="1"/>
    <col min="4" max="4" width="77.5703125" style="111" customWidth="1"/>
    <col min="5" max="6" width="16.5703125" style="111" customWidth="1"/>
    <col min="7" max="16384" width="8.7109375" style="14"/>
  </cols>
  <sheetData>
    <row r="1" spans="1:6" ht="33.6" customHeight="1" thickBot="1" x14ac:dyDescent="0.3">
      <c r="A1" s="396" t="s">
        <v>2402</v>
      </c>
      <c r="B1" s="397" t="s">
        <v>2403</v>
      </c>
      <c r="C1" s="397" t="s">
        <v>2404</v>
      </c>
      <c r="D1" s="397" t="s">
        <v>2405</v>
      </c>
      <c r="E1" s="397" t="s">
        <v>2406</v>
      </c>
      <c r="F1" s="398" t="s">
        <v>2407</v>
      </c>
    </row>
    <row r="2" spans="1:6" ht="63.75" x14ac:dyDescent="0.25">
      <c r="A2" s="554" t="s">
        <v>2408</v>
      </c>
      <c r="B2" s="555" t="s">
        <v>2409</v>
      </c>
      <c r="C2" s="555"/>
      <c r="D2" s="554" t="s">
        <v>2410</v>
      </c>
      <c r="E2" s="554" t="s">
        <v>2411</v>
      </c>
      <c r="F2" s="554"/>
    </row>
    <row r="3" spans="1:6" ht="63.75" x14ac:dyDescent="0.25">
      <c r="A3" s="399" t="s">
        <v>2412</v>
      </c>
      <c r="B3" s="400" t="s">
        <v>2409</v>
      </c>
      <c r="C3" s="400"/>
      <c r="D3" s="399" t="s">
        <v>2413</v>
      </c>
      <c r="E3" s="399" t="s">
        <v>2414</v>
      </c>
      <c r="F3" s="399"/>
    </row>
    <row r="4" spans="1:6" ht="51" x14ac:dyDescent="0.25">
      <c r="A4" s="399" t="s">
        <v>2415</v>
      </c>
      <c r="B4" s="400"/>
      <c r="C4" s="400" t="s">
        <v>2409</v>
      </c>
      <c r="D4" s="399" t="s">
        <v>2416</v>
      </c>
      <c r="E4" s="399"/>
      <c r="F4" s="399" t="s">
        <v>2417</v>
      </c>
    </row>
    <row r="5" spans="1:6" ht="63.75" x14ac:dyDescent="0.25">
      <c r="A5" s="399" t="s">
        <v>2418</v>
      </c>
      <c r="B5" s="400" t="s">
        <v>2409</v>
      </c>
      <c r="C5" s="400"/>
      <c r="D5" s="399" t="s">
        <v>2419</v>
      </c>
      <c r="E5" s="399" t="s">
        <v>2420</v>
      </c>
      <c r="F5" s="399"/>
    </row>
    <row r="6" spans="1:6" ht="229.5" x14ac:dyDescent="0.25">
      <c r="A6" s="399" t="s">
        <v>2421</v>
      </c>
      <c r="B6" s="400" t="s">
        <v>2409</v>
      </c>
      <c r="C6" s="400" t="s">
        <v>2409</v>
      </c>
      <c r="D6" s="401" t="s">
        <v>2422</v>
      </c>
      <c r="E6" s="399" t="s">
        <v>2423</v>
      </c>
      <c r="F6" s="399" t="s">
        <v>2424</v>
      </c>
    </row>
    <row r="7" spans="1:6" ht="25.5" x14ac:dyDescent="0.25">
      <c r="A7" s="611" t="s">
        <v>2425</v>
      </c>
      <c r="B7" s="613" t="s">
        <v>2409</v>
      </c>
      <c r="C7" s="613" t="s">
        <v>2409</v>
      </c>
      <c r="D7" s="401" t="s">
        <v>2426</v>
      </c>
      <c r="E7" s="399"/>
      <c r="F7" s="399" t="s">
        <v>2427</v>
      </c>
    </row>
    <row r="8" spans="1:6" ht="25.5" x14ac:dyDescent="0.25">
      <c r="A8" s="612"/>
      <c r="B8" s="614"/>
      <c r="C8" s="614"/>
      <c r="D8" s="401" t="s">
        <v>2428</v>
      </c>
      <c r="E8" s="399" t="s">
        <v>2429</v>
      </c>
      <c r="F8" s="399"/>
    </row>
    <row r="9" spans="1:6" ht="70.5" customHeight="1" x14ac:dyDescent="0.25">
      <c r="A9" s="399" t="s">
        <v>2430</v>
      </c>
      <c r="B9" s="400"/>
      <c r="C9" s="400" t="s">
        <v>2409</v>
      </c>
      <c r="D9" s="399" t="s">
        <v>2431</v>
      </c>
      <c r="E9" s="399"/>
      <c r="F9" s="399" t="s">
        <v>2417</v>
      </c>
    </row>
    <row r="10" spans="1:6" ht="25.5" x14ac:dyDescent="0.25">
      <c r="A10" s="611" t="s">
        <v>2432</v>
      </c>
      <c r="B10" s="613" t="s">
        <v>2409</v>
      </c>
      <c r="C10" s="613" t="s">
        <v>2409</v>
      </c>
      <c r="D10" s="401" t="s">
        <v>2433</v>
      </c>
      <c r="E10" s="399"/>
      <c r="F10" s="399" t="s">
        <v>2434</v>
      </c>
    </row>
    <row r="11" spans="1:6" ht="25.5" x14ac:dyDescent="0.25">
      <c r="A11" s="612"/>
      <c r="B11" s="614"/>
      <c r="C11" s="614"/>
      <c r="D11" s="401" t="s">
        <v>2435</v>
      </c>
      <c r="E11" s="399" t="s">
        <v>2429</v>
      </c>
      <c r="F11" s="399"/>
    </row>
    <row r="12" spans="1:6" ht="38.25" x14ac:dyDescent="0.25">
      <c r="A12" s="399" t="s">
        <v>2436</v>
      </c>
      <c r="B12" s="400" t="s">
        <v>2409</v>
      </c>
      <c r="C12" s="400" t="s">
        <v>2409</v>
      </c>
      <c r="D12" s="399" t="s">
        <v>2437</v>
      </c>
      <c r="E12" s="399" t="s">
        <v>2423</v>
      </c>
      <c r="F12" s="399" t="s">
        <v>2424</v>
      </c>
    </row>
    <row r="13" spans="1:6" ht="63.75" x14ac:dyDescent="0.25">
      <c r="A13" s="399" t="s">
        <v>2438</v>
      </c>
      <c r="B13" s="400" t="s">
        <v>2409</v>
      </c>
      <c r="C13" s="400"/>
      <c r="D13" s="399" t="s">
        <v>2439</v>
      </c>
      <c r="E13" s="399" t="s">
        <v>2420</v>
      </c>
      <c r="F13" s="399"/>
    </row>
    <row r="14" spans="1:6" x14ac:dyDescent="0.25">
      <c r="A14" s="399" t="s">
        <v>2440</v>
      </c>
      <c r="B14" s="400"/>
      <c r="C14" s="400" t="s">
        <v>2409</v>
      </c>
      <c r="D14" s="399" t="s">
        <v>2441</v>
      </c>
      <c r="E14" s="399"/>
      <c r="F14" s="399" t="s">
        <v>2417</v>
      </c>
    </row>
    <row r="15" spans="1:6" ht="25.5" x14ac:dyDescent="0.25">
      <c r="A15" s="399" t="s">
        <v>2442</v>
      </c>
      <c r="B15" s="400"/>
      <c r="C15" s="400" t="s">
        <v>2409</v>
      </c>
      <c r="D15" s="399" t="s">
        <v>2443</v>
      </c>
      <c r="E15" s="399"/>
      <c r="F15" s="399" t="s">
        <v>2417</v>
      </c>
    </row>
    <row r="16" spans="1:6" ht="51" x14ac:dyDescent="0.25">
      <c r="A16" s="399" t="s">
        <v>2444</v>
      </c>
      <c r="B16" s="400"/>
      <c r="C16" s="400" t="s">
        <v>2409</v>
      </c>
      <c r="D16" s="399" t="s">
        <v>2445</v>
      </c>
      <c r="E16" s="399"/>
      <c r="F16" s="399" t="s">
        <v>2417</v>
      </c>
    </row>
    <row r="17" spans="1:6" ht="51" x14ac:dyDescent="0.25">
      <c r="A17" s="399" t="s">
        <v>2446</v>
      </c>
      <c r="B17" s="400" t="s">
        <v>2409</v>
      </c>
      <c r="C17" s="400"/>
      <c r="D17" s="399" t="s">
        <v>2447</v>
      </c>
      <c r="E17" s="399" t="s">
        <v>2420</v>
      </c>
      <c r="F17" s="399"/>
    </row>
    <row r="18" spans="1:6" ht="38.25" x14ac:dyDescent="0.25">
      <c r="A18" s="399" t="s">
        <v>2448</v>
      </c>
      <c r="B18" s="400" t="s">
        <v>2409</v>
      </c>
      <c r="C18" s="400" t="s">
        <v>2409</v>
      </c>
      <c r="D18" s="399" t="s">
        <v>2449</v>
      </c>
      <c r="E18" s="399" t="s">
        <v>2450</v>
      </c>
      <c r="F18" s="399" t="s">
        <v>2451</v>
      </c>
    </row>
    <row r="19" spans="1:6" ht="25.5" x14ac:dyDescent="0.25">
      <c r="A19" s="399" t="s">
        <v>2452</v>
      </c>
      <c r="B19" s="400"/>
      <c r="C19" s="400" t="s">
        <v>2409</v>
      </c>
      <c r="D19" s="399" t="s">
        <v>2453</v>
      </c>
      <c r="E19" s="399"/>
      <c r="F19" s="399" t="s">
        <v>2417</v>
      </c>
    </row>
    <row r="20" spans="1:6" ht="153" x14ac:dyDescent="0.25">
      <c r="A20" s="399" t="s">
        <v>2454</v>
      </c>
      <c r="B20" s="400" t="s">
        <v>2409</v>
      </c>
      <c r="C20" s="400" t="s">
        <v>2409</v>
      </c>
      <c r="D20" s="399" t="s">
        <v>2455</v>
      </c>
      <c r="E20" s="399" t="s">
        <v>2420</v>
      </c>
      <c r="F20" s="399" t="s">
        <v>2417</v>
      </c>
    </row>
    <row r="21" spans="1:6" ht="25.5" x14ac:dyDescent="0.25">
      <c r="A21" s="399" t="s">
        <v>2456</v>
      </c>
      <c r="B21" s="400"/>
      <c r="C21" s="400" t="s">
        <v>2409</v>
      </c>
      <c r="D21" s="399" t="s">
        <v>2457</v>
      </c>
      <c r="E21" s="399"/>
      <c r="F21" s="399" t="s">
        <v>2417</v>
      </c>
    </row>
    <row r="22" spans="1:6" ht="38.25" x14ac:dyDescent="0.25">
      <c r="A22" s="399" t="s">
        <v>2458</v>
      </c>
      <c r="B22" s="400" t="s">
        <v>2409</v>
      </c>
      <c r="C22" s="400" t="s">
        <v>2409</v>
      </c>
      <c r="D22" s="399" t="s">
        <v>2459</v>
      </c>
      <c r="E22" s="399" t="s">
        <v>2460</v>
      </c>
      <c r="F22" s="399" t="s">
        <v>2461</v>
      </c>
    </row>
    <row r="23" spans="1:6" ht="63.75" x14ac:dyDescent="0.25">
      <c r="A23" s="399" t="s">
        <v>2462</v>
      </c>
      <c r="B23" s="400" t="s">
        <v>2409</v>
      </c>
      <c r="C23" s="400" t="s">
        <v>2409</v>
      </c>
      <c r="D23" s="399" t="s">
        <v>2463</v>
      </c>
      <c r="E23" s="399" t="s">
        <v>2429</v>
      </c>
      <c r="F23" s="399" t="s">
        <v>2427</v>
      </c>
    </row>
    <row r="24" spans="1:6" ht="51" x14ac:dyDescent="0.25">
      <c r="A24" s="399" t="s">
        <v>2464</v>
      </c>
      <c r="B24" s="400" t="s">
        <v>2409</v>
      </c>
      <c r="C24" s="400"/>
      <c r="D24" s="399" t="s">
        <v>2465</v>
      </c>
      <c r="E24" s="399" t="s">
        <v>2466</v>
      </c>
      <c r="F24" s="399"/>
    </row>
    <row r="25" spans="1:6" ht="25.5" x14ac:dyDescent="0.25">
      <c r="A25" s="399" t="s">
        <v>2467</v>
      </c>
      <c r="B25" s="400" t="s">
        <v>2409</v>
      </c>
      <c r="C25" s="400"/>
      <c r="D25" s="399" t="s">
        <v>2468</v>
      </c>
      <c r="E25" s="399" t="s">
        <v>2469</v>
      </c>
      <c r="F25" s="399"/>
    </row>
    <row r="26" spans="1:6" ht="51" x14ac:dyDescent="0.25">
      <c r="A26" s="399" t="s">
        <v>2470</v>
      </c>
      <c r="B26" s="400" t="s">
        <v>2409</v>
      </c>
      <c r="C26" s="400" t="s">
        <v>2409</v>
      </c>
      <c r="D26" s="399" t="s">
        <v>2471</v>
      </c>
      <c r="E26" s="399" t="s">
        <v>2472</v>
      </c>
      <c r="F26" s="399" t="s">
        <v>2473</v>
      </c>
    </row>
    <row r="27" spans="1:6" ht="76.5" x14ac:dyDescent="0.25">
      <c r="A27" s="399" t="s">
        <v>2474</v>
      </c>
      <c r="B27" s="400"/>
      <c r="C27" s="400" t="s">
        <v>2409</v>
      </c>
      <c r="D27" s="401" t="s">
        <v>2475</v>
      </c>
      <c r="E27" s="399" t="s">
        <v>2476</v>
      </c>
      <c r="F27" s="399" t="s">
        <v>2477</v>
      </c>
    </row>
    <row r="28" spans="1:6" ht="102" x14ac:dyDescent="0.25">
      <c r="A28" s="399" t="s">
        <v>2478</v>
      </c>
      <c r="B28" s="400" t="s">
        <v>2409</v>
      </c>
      <c r="C28" s="400"/>
      <c r="D28" s="399" t="s">
        <v>2479</v>
      </c>
      <c r="E28" s="399" t="s">
        <v>2480</v>
      </c>
      <c r="F28" s="399" t="s">
        <v>2417</v>
      </c>
    </row>
    <row r="29" spans="1:6" ht="51" x14ac:dyDescent="0.25">
      <c r="A29" s="399" t="s">
        <v>2481</v>
      </c>
      <c r="B29" s="400"/>
      <c r="C29" s="400" t="s">
        <v>2409</v>
      </c>
      <c r="D29" s="401" t="s">
        <v>2482</v>
      </c>
      <c r="E29" s="399" t="s">
        <v>2480</v>
      </c>
      <c r="F29" s="399" t="s">
        <v>2417</v>
      </c>
    </row>
    <row r="30" spans="1:6" x14ac:dyDescent="0.25">
      <c r="A30" s="611" t="s">
        <v>2483</v>
      </c>
      <c r="B30" s="613" t="s">
        <v>2409</v>
      </c>
      <c r="C30" s="613" t="s">
        <v>2409</v>
      </c>
      <c r="D30" s="401" t="s">
        <v>2484</v>
      </c>
      <c r="E30" s="399"/>
      <c r="F30" s="399" t="s">
        <v>2417</v>
      </c>
    </row>
    <row r="31" spans="1:6" ht="25.5" x14ac:dyDescent="0.25">
      <c r="A31" s="612"/>
      <c r="B31" s="614"/>
      <c r="C31" s="614"/>
      <c r="D31" s="401" t="s">
        <v>2485</v>
      </c>
      <c r="E31" s="399" t="s">
        <v>2486</v>
      </c>
      <c r="F31" s="399"/>
    </row>
    <row r="32" spans="1:6" ht="38.25" x14ac:dyDescent="0.25">
      <c r="A32" s="399" t="s">
        <v>2487</v>
      </c>
      <c r="B32" s="400" t="s">
        <v>2409</v>
      </c>
      <c r="C32" s="400"/>
      <c r="D32" s="399" t="s">
        <v>2488</v>
      </c>
      <c r="E32" s="399" t="s">
        <v>2420</v>
      </c>
      <c r="F32" s="399"/>
    </row>
    <row r="33" spans="1:6" ht="25.5" x14ac:dyDescent="0.25">
      <c r="A33" s="399" t="s">
        <v>2489</v>
      </c>
      <c r="B33" s="400" t="s">
        <v>2409</v>
      </c>
      <c r="C33" s="400"/>
      <c r="D33" s="399" t="s">
        <v>2490</v>
      </c>
      <c r="E33" s="399" t="s">
        <v>2491</v>
      </c>
      <c r="F33" s="399"/>
    </row>
    <row r="34" spans="1:6" ht="25.5" x14ac:dyDescent="0.25">
      <c r="A34" s="399" t="s">
        <v>2492</v>
      </c>
      <c r="B34" s="400" t="s">
        <v>2409</v>
      </c>
      <c r="C34" s="400"/>
      <c r="D34" s="399" t="s">
        <v>2493</v>
      </c>
      <c r="E34" s="399" t="s">
        <v>2491</v>
      </c>
      <c r="F34" s="399"/>
    </row>
    <row r="35" spans="1:6" ht="38.25" x14ac:dyDescent="0.25">
      <c r="A35" s="399" t="s">
        <v>2494</v>
      </c>
      <c r="B35" s="400"/>
      <c r="C35" s="400" t="s">
        <v>2409</v>
      </c>
      <c r="D35" s="401" t="s">
        <v>2495</v>
      </c>
      <c r="E35" s="399" t="s">
        <v>2414</v>
      </c>
      <c r="F35" s="399" t="s">
        <v>2417</v>
      </c>
    </row>
    <row r="36" spans="1:6" ht="38.25" x14ac:dyDescent="0.25">
      <c r="A36" s="399" t="s">
        <v>2496</v>
      </c>
      <c r="B36" s="400" t="s">
        <v>2409</v>
      </c>
      <c r="C36" s="400"/>
      <c r="D36" s="401" t="s">
        <v>2497</v>
      </c>
      <c r="E36" s="399" t="s">
        <v>2414</v>
      </c>
      <c r="F36" s="399" t="s">
        <v>2417</v>
      </c>
    </row>
    <row r="37" spans="1:6" ht="25.5" x14ac:dyDescent="0.25">
      <c r="A37" s="611" t="s">
        <v>2498</v>
      </c>
      <c r="B37" s="613" t="s">
        <v>2409</v>
      </c>
      <c r="C37" s="613" t="s">
        <v>2409</v>
      </c>
      <c r="D37" s="401" t="s">
        <v>2499</v>
      </c>
      <c r="E37" s="399"/>
      <c r="F37" s="399" t="s">
        <v>2417</v>
      </c>
    </row>
    <row r="38" spans="1:6" ht="25.5" x14ac:dyDescent="0.25">
      <c r="A38" s="612"/>
      <c r="B38" s="614"/>
      <c r="C38" s="614"/>
      <c r="D38" s="401" t="s">
        <v>2500</v>
      </c>
      <c r="E38" s="399" t="s">
        <v>2420</v>
      </c>
      <c r="F38" s="399"/>
    </row>
    <row r="39" spans="1:6" ht="25.5" x14ac:dyDescent="0.25">
      <c r="A39" s="399" t="s">
        <v>2501</v>
      </c>
      <c r="B39" s="400"/>
      <c r="C39" s="400" t="s">
        <v>2409</v>
      </c>
      <c r="D39" s="399" t="s">
        <v>2502</v>
      </c>
      <c r="E39" s="399"/>
      <c r="F39" s="399" t="s">
        <v>2417</v>
      </c>
    </row>
    <row r="40" spans="1:6" ht="25.5" x14ac:dyDescent="0.25">
      <c r="A40" s="399" t="s">
        <v>2503</v>
      </c>
      <c r="B40" s="400"/>
      <c r="C40" s="400" t="s">
        <v>2409</v>
      </c>
      <c r="D40" s="401" t="s">
        <v>2504</v>
      </c>
      <c r="E40" s="399" t="s">
        <v>2429</v>
      </c>
      <c r="F40" s="399" t="s">
        <v>2427</v>
      </c>
    </row>
    <row r="41" spans="1:6" ht="38.25" x14ac:dyDescent="0.25">
      <c r="A41" s="399" t="s">
        <v>2505</v>
      </c>
      <c r="B41" s="400" t="s">
        <v>2409</v>
      </c>
      <c r="C41" s="400"/>
      <c r="D41" s="399" t="s">
        <v>2506</v>
      </c>
      <c r="E41" s="399" t="s">
        <v>2411</v>
      </c>
      <c r="F41" s="399"/>
    </row>
    <row r="42" spans="1:6" ht="63.75" x14ac:dyDescent="0.25">
      <c r="A42" s="399" t="s">
        <v>2507</v>
      </c>
      <c r="B42" s="400" t="s">
        <v>2409</v>
      </c>
      <c r="C42" s="400" t="s">
        <v>2409</v>
      </c>
      <c r="D42" s="399" t="s">
        <v>2508</v>
      </c>
      <c r="E42" s="399" t="s">
        <v>2509</v>
      </c>
      <c r="F42" s="399" t="s">
        <v>2510</v>
      </c>
    </row>
    <row r="43" spans="1:6" ht="89.25" x14ac:dyDescent="0.25">
      <c r="A43" s="399" t="s">
        <v>2511</v>
      </c>
      <c r="B43" s="400" t="s">
        <v>2409</v>
      </c>
      <c r="C43" s="400" t="s">
        <v>2409</v>
      </c>
      <c r="D43" s="399" t="s">
        <v>2512</v>
      </c>
      <c r="E43" s="399" t="s">
        <v>2423</v>
      </c>
      <c r="F43" s="399" t="s">
        <v>2424</v>
      </c>
    </row>
    <row r="44" spans="1:6" ht="38.25" x14ac:dyDescent="0.25">
      <c r="A44" s="399" t="s">
        <v>2513</v>
      </c>
      <c r="B44" s="400" t="s">
        <v>2409</v>
      </c>
      <c r="C44" s="400" t="s">
        <v>2409</v>
      </c>
      <c r="D44" s="399" t="s">
        <v>2514</v>
      </c>
      <c r="E44" s="399" t="s">
        <v>2423</v>
      </c>
      <c r="F44" s="399" t="s">
        <v>2424</v>
      </c>
    </row>
    <row r="45" spans="1:6" ht="25.5" x14ac:dyDescent="0.25">
      <c r="A45" s="399" t="s">
        <v>2515</v>
      </c>
      <c r="B45" s="400"/>
      <c r="C45" s="400" t="s">
        <v>2409</v>
      </c>
      <c r="D45" s="399" t="s">
        <v>2516</v>
      </c>
      <c r="E45" s="399"/>
      <c r="F45" s="399" t="s">
        <v>2417</v>
      </c>
    </row>
    <row r="46" spans="1:6" x14ac:dyDescent="0.25">
      <c r="A46" s="611" t="s">
        <v>2517</v>
      </c>
      <c r="B46" s="613" t="s">
        <v>2409</v>
      </c>
      <c r="C46" s="613" t="s">
        <v>2409</v>
      </c>
      <c r="D46" s="399" t="s">
        <v>2518</v>
      </c>
      <c r="E46" s="399"/>
      <c r="F46" s="399" t="s">
        <v>2417</v>
      </c>
    </row>
    <row r="47" spans="1:6" ht="38.25" x14ac:dyDescent="0.25">
      <c r="A47" s="612"/>
      <c r="B47" s="614"/>
      <c r="C47" s="614"/>
      <c r="D47" s="399" t="s">
        <v>2519</v>
      </c>
      <c r="E47" s="399" t="s">
        <v>2414</v>
      </c>
      <c r="F47" s="399"/>
    </row>
    <row r="48" spans="1:6" ht="102" x14ac:dyDescent="0.25">
      <c r="A48" s="399" t="s">
        <v>2520</v>
      </c>
      <c r="B48" s="400" t="s">
        <v>2409</v>
      </c>
      <c r="C48" s="400"/>
      <c r="D48" s="399" t="s">
        <v>2521</v>
      </c>
      <c r="E48" s="399" t="s">
        <v>2420</v>
      </c>
      <c r="F48" s="399"/>
    </row>
    <row r="49" spans="1:6" ht="38.25" x14ac:dyDescent="0.25">
      <c r="A49" s="399" t="s">
        <v>2522</v>
      </c>
      <c r="B49" s="400"/>
      <c r="C49" s="400" t="s">
        <v>2409</v>
      </c>
      <c r="D49" s="399" t="s">
        <v>2523</v>
      </c>
      <c r="E49" s="399"/>
      <c r="F49" s="399" t="s">
        <v>2524</v>
      </c>
    </row>
    <row r="50" spans="1:6" ht="38.25" x14ac:dyDescent="0.25">
      <c r="A50" s="399" t="s">
        <v>2525</v>
      </c>
      <c r="B50" s="400" t="s">
        <v>2409</v>
      </c>
      <c r="C50" s="400"/>
      <c r="D50" s="399" t="s">
        <v>2526</v>
      </c>
      <c r="E50" s="399" t="s">
        <v>2527</v>
      </c>
      <c r="F50" s="399"/>
    </row>
    <row r="51" spans="1:6" ht="173.45" customHeight="1" x14ac:dyDescent="0.25">
      <c r="A51" s="399" t="s">
        <v>2528</v>
      </c>
      <c r="B51" s="400" t="s">
        <v>2409</v>
      </c>
      <c r="C51" s="400"/>
      <c r="D51" s="399" t="s">
        <v>2529</v>
      </c>
      <c r="E51" s="399" t="s">
        <v>2530</v>
      </c>
      <c r="F51" s="399"/>
    </row>
    <row r="52" spans="1:6" ht="25.5" x14ac:dyDescent="0.25">
      <c r="A52" s="399" t="s">
        <v>2531</v>
      </c>
      <c r="B52" s="400" t="s">
        <v>2409</v>
      </c>
      <c r="C52" s="400" t="s">
        <v>2409</v>
      </c>
      <c r="D52" s="399" t="s">
        <v>2532</v>
      </c>
      <c r="E52" s="399" t="s">
        <v>2530</v>
      </c>
      <c r="F52" s="399" t="s">
        <v>2533</v>
      </c>
    </row>
    <row r="53" spans="1:6" ht="51" x14ac:dyDescent="0.25">
      <c r="A53" s="399" t="s">
        <v>2534</v>
      </c>
      <c r="B53" s="400" t="s">
        <v>2409</v>
      </c>
      <c r="C53" s="400" t="s">
        <v>2409</v>
      </c>
      <c r="D53" s="399" t="s">
        <v>2535</v>
      </c>
      <c r="E53" s="399" t="s">
        <v>2530</v>
      </c>
      <c r="F53" s="399" t="s">
        <v>2533</v>
      </c>
    </row>
    <row r="54" spans="1:6" ht="51" x14ac:dyDescent="0.25">
      <c r="A54" s="399" t="s">
        <v>2536</v>
      </c>
      <c r="B54" s="400" t="s">
        <v>2409</v>
      </c>
      <c r="C54" s="400" t="s">
        <v>2409</v>
      </c>
      <c r="D54" s="399" t="s">
        <v>2537</v>
      </c>
      <c r="E54" s="399" t="s">
        <v>2538</v>
      </c>
      <c r="F54" s="399" t="s">
        <v>2539</v>
      </c>
    </row>
    <row r="55" spans="1:6" ht="63.75" x14ac:dyDescent="0.25">
      <c r="A55" s="399" t="s">
        <v>2540</v>
      </c>
      <c r="B55" s="400" t="s">
        <v>2409</v>
      </c>
      <c r="C55" s="400"/>
      <c r="D55" s="399" t="s">
        <v>2541</v>
      </c>
      <c r="E55" s="399" t="s">
        <v>2420</v>
      </c>
      <c r="F55" s="399"/>
    </row>
    <row r="56" spans="1:6" ht="25.5" x14ac:dyDescent="0.25">
      <c r="A56" s="399" t="s">
        <v>2542</v>
      </c>
      <c r="B56" s="400"/>
      <c r="C56" s="400" t="s">
        <v>2409</v>
      </c>
      <c r="D56" s="399" t="s">
        <v>2543</v>
      </c>
      <c r="E56" s="399"/>
      <c r="F56" s="399" t="s">
        <v>2417</v>
      </c>
    </row>
    <row r="57" spans="1:6" ht="76.5" x14ac:dyDescent="0.25">
      <c r="A57" s="611" t="s">
        <v>2544</v>
      </c>
      <c r="B57" s="613" t="s">
        <v>2409</v>
      </c>
      <c r="C57" s="613" t="s">
        <v>2409</v>
      </c>
      <c r="D57" s="399" t="s">
        <v>2545</v>
      </c>
      <c r="E57" s="399"/>
      <c r="F57" s="399" t="s">
        <v>2417</v>
      </c>
    </row>
    <row r="58" spans="1:6" ht="102" x14ac:dyDescent="0.25">
      <c r="A58" s="612"/>
      <c r="B58" s="614"/>
      <c r="C58" s="614"/>
      <c r="D58" s="399" t="s">
        <v>2546</v>
      </c>
      <c r="E58" s="399" t="s">
        <v>2420</v>
      </c>
      <c r="F58" s="399"/>
    </row>
    <row r="59" spans="1:6" ht="25.5" x14ac:dyDescent="0.25">
      <c r="A59" s="399" t="s">
        <v>2547</v>
      </c>
      <c r="B59" s="400"/>
      <c r="C59" s="400" t="s">
        <v>2409</v>
      </c>
      <c r="D59" s="399" t="s">
        <v>2548</v>
      </c>
      <c r="E59" s="399"/>
      <c r="F59" s="399" t="s">
        <v>2417</v>
      </c>
    </row>
    <row r="60" spans="1:6" ht="25.5" x14ac:dyDescent="0.25">
      <c r="A60" s="399" t="s">
        <v>2549</v>
      </c>
      <c r="B60" s="400" t="s">
        <v>2409</v>
      </c>
      <c r="C60" s="400"/>
      <c r="D60" s="399" t="s">
        <v>2550</v>
      </c>
      <c r="E60" s="399" t="s">
        <v>2420</v>
      </c>
      <c r="F60" s="399"/>
    </row>
    <row r="61" spans="1:6" ht="38.25" x14ac:dyDescent="0.25">
      <c r="A61" s="399" t="s">
        <v>2551</v>
      </c>
      <c r="B61" s="400" t="s">
        <v>2409</v>
      </c>
      <c r="C61" s="400"/>
      <c r="D61" s="399" t="s">
        <v>2552</v>
      </c>
      <c r="E61" s="399" t="s">
        <v>2553</v>
      </c>
      <c r="F61" s="399"/>
    </row>
    <row r="62" spans="1:6" ht="102" x14ac:dyDescent="0.25">
      <c r="A62" s="399" t="s">
        <v>2554</v>
      </c>
      <c r="B62" s="400" t="s">
        <v>2409</v>
      </c>
      <c r="C62" s="400" t="s">
        <v>2409</v>
      </c>
      <c r="D62" s="401" t="s">
        <v>2555</v>
      </c>
      <c r="E62" s="399" t="s">
        <v>2450</v>
      </c>
      <c r="F62" s="399" t="s">
        <v>2451</v>
      </c>
    </row>
    <row r="63" spans="1:6" ht="63.75" x14ac:dyDescent="0.25">
      <c r="A63" s="399" t="s">
        <v>2556</v>
      </c>
      <c r="B63" s="400" t="s">
        <v>2409</v>
      </c>
      <c r="C63" s="400" t="s">
        <v>2409</v>
      </c>
      <c r="D63" s="399" t="s">
        <v>2557</v>
      </c>
      <c r="E63" s="399" t="s">
        <v>2450</v>
      </c>
      <c r="F63" s="399" t="s">
        <v>2451</v>
      </c>
    </row>
    <row r="64" spans="1:6" ht="38.25" x14ac:dyDescent="0.25">
      <c r="A64" s="399" t="s">
        <v>2558</v>
      </c>
      <c r="B64" s="400" t="s">
        <v>2409</v>
      </c>
      <c r="C64" s="400" t="s">
        <v>2409</v>
      </c>
      <c r="D64" s="399" t="s">
        <v>2559</v>
      </c>
      <c r="E64" s="399" t="s">
        <v>2450</v>
      </c>
      <c r="F64" s="399" t="s">
        <v>2451</v>
      </c>
    </row>
    <row r="65" spans="1:6" ht="38.25" x14ac:dyDescent="0.25">
      <c r="A65" s="399" t="s">
        <v>2560</v>
      </c>
      <c r="B65" s="400"/>
      <c r="C65" s="400" t="s">
        <v>2409</v>
      </c>
      <c r="D65" s="399" t="s">
        <v>2561</v>
      </c>
      <c r="E65" s="399"/>
      <c r="F65" s="399" t="s">
        <v>2417</v>
      </c>
    </row>
    <row r="66" spans="1:6" ht="51" x14ac:dyDescent="0.25">
      <c r="A66" s="399" t="s">
        <v>2562</v>
      </c>
      <c r="B66" s="400" t="s">
        <v>2409</v>
      </c>
      <c r="C66" s="400" t="s">
        <v>2409</v>
      </c>
      <c r="D66" s="399" t="s">
        <v>2563</v>
      </c>
      <c r="E66" s="399" t="s">
        <v>2509</v>
      </c>
      <c r="F66" s="399" t="s">
        <v>2564</v>
      </c>
    </row>
    <row r="67" spans="1:6" ht="89.25" x14ac:dyDescent="0.25">
      <c r="A67" s="399" t="s">
        <v>2565</v>
      </c>
      <c r="B67" s="400" t="s">
        <v>2409</v>
      </c>
      <c r="C67" s="400" t="s">
        <v>2409</v>
      </c>
      <c r="D67" s="399" t="s">
        <v>2566</v>
      </c>
      <c r="E67" s="399" t="s">
        <v>2429</v>
      </c>
      <c r="F67" s="399" t="s">
        <v>2427</v>
      </c>
    </row>
    <row r="68" spans="1:6" ht="38.25" x14ac:dyDescent="0.25">
      <c r="A68" s="399" t="s">
        <v>2567</v>
      </c>
      <c r="B68" s="400" t="s">
        <v>2409</v>
      </c>
      <c r="C68" s="400" t="s">
        <v>2409</v>
      </c>
      <c r="D68" s="399" t="s">
        <v>2568</v>
      </c>
      <c r="E68" s="399" t="s">
        <v>2509</v>
      </c>
      <c r="F68" s="399" t="s">
        <v>2461</v>
      </c>
    </row>
    <row r="69" spans="1:6" ht="76.5" x14ac:dyDescent="0.25">
      <c r="A69" s="399" t="s">
        <v>2569</v>
      </c>
      <c r="B69" s="400" t="s">
        <v>2409</v>
      </c>
      <c r="C69" s="400"/>
      <c r="D69" s="399" t="s">
        <v>2570</v>
      </c>
      <c r="E69" s="399" t="s">
        <v>2429</v>
      </c>
      <c r="F69" s="399" t="s">
        <v>2427</v>
      </c>
    </row>
    <row r="70" spans="1:6" ht="63.75" x14ac:dyDescent="0.25">
      <c r="A70" s="399" t="s">
        <v>2571</v>
      </c>
      <c r="B70" s="400" t="s">
        <v>2409</v>
      </c>
      <c r="C70" s="400"/>
      <c r="D70" s="399" t="s">
        <v>2572</v>
      </c>
      <c r="E70" s="399" t="s">
        <v>2420</v>
      </c>
      <c r="F70" s="399"/>
    </row>
    <row r="71" spans="1:6" ht="38.25" x14ac:dyDescent="0.25">
      <c r="A71" s="399" t="s">
        <v>2573</v>
      </c>
      <c r="B71" s="400" t="s">
        <v>2409</v>
      </c>
      <c r="C71" s="400" t="s">
        <v>2409</v>
      </c>
      <c r="D71" s="399" t="s">
        <v>2574</v>
      </c>
      <c r="E71" s="399" t="s">
        <v>2509</v>
      </c>
      <c r="F71" s="399" t="s">
        <v>2461</v>
      </c>
    </row>
    <row r="72" spans="1:6" ht="63.75" x14ac:dyDescent="0.25">
      <c r="A72" s="399" t="s">
        <v>2575</v>
      </c>
      <c r="B72" s="400" t="s">
        <v>2409</v>
      </c>
      <c r="C72" s="400" t="s">
        <v>2409</v>
      </c>
      <c r="D72" s="399" t="s">
        <v>2576</v>
      </c>
      <c r="E72" s="399" t="s">
        <v>2509</v>
      </c>
      <c r="F72" s="399" t="s">
        <v>2461</v>
      </c>
    </row>
    <row r="73" spans="1:6" ht="51" x14ac:dyDescent="0.25">
      <c r="A73" s="399" t="s">
        <v>2577</v>
      </c>
      <c r="B73" s="400" t="s">
        <v>2409</v>
      </c>
      <c r="C73" s="400" t="s">
        <v>2409</v>
      </c>
      <c r="D73" s="399" t="s">
        <v>2578</v>
      </c>
      <c r="E73" s="399" t="s">
        <v>2579</v>
      </c>
      <c r="F73" s="399" t="s">
        <v>2580</v>
      </c>
    </row>
    <row r="74" spans="1:6" ht="63.75" x14ac:dyDescent="0.25">
      <c r="A74" s="399" t="s">
        <v>2581</v>
      </c>
      <c r="B74" s="400" t="s">
        <v>2409</v>
      </c>
      <c r="C74" s="400"/>
      <c r="D74" s="399" t="s">
        <v>2582</v>
      </c>
      <c r="E74" s="399" t="s">
        <v>2420</v>
      </c>
      <c r="F74" s="399"/>
    </row>
    <row r="75" spans="1:6" ht="338.45" customHeight="1" x14ac:dyDescent="0.25">
      <c r="A75" s="399" t="s">
        <v>2583</v>
      </c>
      <c r="B75" s="400"/>
      <c r="C75" s="400" t="s">
        <v>2409</v>
      </c>
      <c r="D75" s="399" t="s">
        <v>2584</v>
      </c>
      <c r="E75" s="399"/>
      <c r="F75" s="399" t="s">
        <v>2585</v>
      </c>
    </row>
    <row r="76" spans="1:6" ht="354" customHeight="1" x14ac:dyDescent="0.25">
      <c r="A76" s="399" t="s">
        <v>2586</v>
      </c>
      <c r="B76" s="400"/>
      <c r="C76" s="400" t="s">
        <v>2409</v>
      </c>
      <c r="D76" s="399" t="s">
        <v>2587</v>
      </c>
      <c r="E76" s="399"/>
      <c r="F76" s="399" t="s">
        <v>2588</v>
      </c>
    </row>
    <row r="77" spans="1:6" ht="127.5" x14ac:dyDescent="0.25">
      <c r="A77" s="399" t="s">
        <v>2589</v>
      </c>
      <c r="B77" s="400" t="s">
        <v>2409</v>
      </c>
      <c r="C77" s="400"/>
      <c r="D77" s="399" t="s">
        <v>2590</v>
      </c>
      <c r="E77" s="399" t="s">
        <v>2591</v>
      </c>
      <c r="F77" s="399"/>
    </row>
    <row r="78" spans="1:6" ht="25.5" x14ac:dyDescent="0.25">
      <c r="A78" s="399" t="s">
        <v>2592</v>
      </c>
      <c r="B78" s="400" t="s">
        <v>2409</v>
      </c>
      <c r="C78" s="400"/>
      <c r="D78" s="399" t="s">
        <v>2593</v>
      </c>
      <c r="E78" s="399" t="s">
        <v>2414</v>
      </c>
      <c r="F78" s="399"/>
    </row>
    <row r="79" spans="1:6" ht="51" x14ac:dyDescent="0.25">
      <c r="A79" s="399" t="s">
        <v>2594</v>
      </c>
      <c r="B79" s="400" t="s">
        <v>2409</v>
      </c>
      <c r="C79" s="400"/>
      <c r="D79" s="399" t="s">
        <v>2595</v>
      </c>
      <c r="E79" s="399" t="s">
        <v>2420</v>
      </c>
      <c r="F79" s="399"/>
    </row>
    <row r="80" spans="1:6" ht="63.75" x14ac:dyDescent="0.25">
      <c r="A80" s="399" t="s">
        <v>2596</v>
      </c>
      <c r="B80" s="400" t="s">
        <v>2409</v>
      </c>
      <c r="C80" s="400" t="s">
        <v>2409</v>
      </c>
      <c r="D80" s="399" t="s">
        <v>2597</v>
      </c>
      <c r="E80" s="399" t="s">
        <v>2509</v>
      </c>
      <c r="F80" s="399" t="s">
        <v>2461</v>
      </c>
    </row>
    <row r="81" spans="1:6" ht="38.25" x14ac:dyDescent="0.25">
      <c r="A81" s="399" t="s">
        <v>2598</v>
      </c>
      <c r="B81" s="400" t="s">
        <v>2409</v>
      </c>
      <c r="C81" s="400"/>
      <c r="D81" s="399" t="s">
        <v>2599</v>
      </c>
      <c r="E81" s="399" t="s">
        <v>2600</v>
      </c>
      <c r="F81" s="399"/>
    </row>
    <row r="82" spans="1:6" ht="102.75" x14ac:dyDescent="0.25">
      <c r="A82" s="399" t="s">
        <v>2601</v>
      </c>
      <c r="B82" s="400" t="s">
        <v>2409</v>
      </c>
      <c r="C82" s="400"/>
      <c r="D82" s="399" t="s">
        <v>2602</v>
      </c>
      <c r="E82" s="399" t="s">
        <v>2527</v>
      </c>
      <c r="F82" s="399"/>
    </row>
    <row r="83" spans="1:6" ht="340.5" customHeight="1" x14ac:dyDescent="0.25">
      <c r="A83" s="399" t="s">
        <v>2603</v>
      </c>
      <c r="B83" s="400" t="s">
        <v>2409</v>
      </c>
      <c r="C83" s="400"/>
      <c r="D83" s="399" t="s">
        <v>2604</v>
      </c>
      <c r="E83" s="399" t="s">
        <v>2605</v>
      </c>
      <c r="F83" s="399"/>
    </row>
    <row r="84" spans="1:6" ht="409.5" x14ac:dyDescent="0.25">
      <c r="A84" s="399" t="s">
        <v>2606</v>
      </c>
      <c r="B84" s="400" t="s">
        <v>2409</v>
      </c>
      <c r="C84" s="400"/>
      <c r="D84" s="399" t="s">
        <v>2607</v>
      </c>
      <c r="E84" s="399" t="s">
        <v>2608</v>
      </c>
      <c r="F84" s="399"/>
    </row>
    <row r="85" spans="1:6" ht="38.25" x14ac:dyDescent="0.25">
      <c r="A85" s="399" t="s">
        <v>2609</v>
      </c>
      <c r="B85" s="400" t="s">
        <v>2409</v>
      </c>
      <c r="C85" s="400" t="s">
        <v>2409</v>
      </c>
      <c r="D85" s="399" t="s">
        <v>2610</v>
      </c>
      <c r="E85" s="399" t="s">
        <v>2480</v>
      </c>
      <c r="F85" s="399" t="s">
        <v>2611</v>
      </c>
    </row>
    <row r="86" spans="1:6" ht="38.25" x14ac:dyDescent="0.25">
      <c r="A86" s="399" t="s">
        <v>2612</v>
      </c>
      <c r="B86" s="400" t="s">
        <v>2409</v>
      </c>
      <c r="C86" s="400"/>
      <c r="D86" s="399" t="s">
        <v>2613</v>
      </c>
      <c r="E86" s="399" t="s">
        <v>2420</v>
      </c>
      <c r="F86" s="399"/>
    </row>
    <row r="87" spans="1:6" ht="38.25" x14ac:dyDescent="0.25">
      <c r="A87" s="399" t="s">
        <v>2614</v>
      </c>
      <c r="B87" s="400"/>
      <c r="C87" s="400" t="s">
        <v>2409</v>
      </c>
      <c r="D87" s="399" t="s">
        <v>2615</v>
      </c>
      <c r="E87" s="399"/>
      <c r="F87" s="399" t="s">
        <v>2417</v>
      </c>
    </row>
    <row r="88" spans="1:6" ht="89.25" x14ac:dyDescent="0.25">
      <c r="A88" s="399" t="s">
        <v>2616</v>
      </c>
      <c r="B88" s="400" t="s">
        <v>2409</v>
      </c>
      <c r="C88" s="400" t="s">
        <v>2409</v>
      </c>
      <c r="D88" s="399" t="s">
        <v>2617</v>
      </c>
      <c r="E88" s="399" t="s">
        <v>2420</v>
      </c>
      <c r="F88" s="399" t="s">
        <v>2417</v>
      </c>
    </row>
    <row r="89" spans="1:6" ht="89.25" x14ac:dyDescent="0.25">
      <c r="A89" s="399" t="s">
        <v>2618</v>
      </c>
      <c r="B89" s="400" t="s">
        <v>2409</v>
      </c>
      <c r="C89" s="400" t="s">
        <v>2409</v>
      </c>
      <c r="D89" s="399" t="s">
        <v>2619</v>
      </c>
      <c r="E89" s="399" t="s">
        <v>2420</v>
      </c>
      <c r="F89" s="399" t="s">
        <v>2417</v>
      </c>
    </row>
    <row r="90" spans="1:6" ht="25.5" x14ac:dyDescent="0.25">
      <c r="A90" s="399" t="s">
        <v>2620</v>
      </c>
      <c r="B90" s="400" t="s">
        <v>2409</v>
      </c>
      <c r="C90" s="400" t="s">
        <v>2409</v>
      </c>
      <c r="D90" s="401" t="s">
        <v>2621</v>
      </c>
      <c r="E90" s="399" t="s">
        <v>2538</v>
      </c>
      <c r="F90" s="399" t="s">
        <v>2539</v>
      </c>
    </row>
    <row r="91" spans="1:6" ht="63.75" x14ac:dyDescent="0.25">
      <c r="A91" s="399" t="s">
        <v>2622</v>
      </c>
      <c r="B91" s="400" t="s">
        <v>2409</v>
      </c>
      <c r="C91" s="400"/>
      <c r="D91" s="401" t="s">
        <v>2623</v>
      </c>
      <c r="E91" s="399" t="s">
        <v>2420</v>
      </c>
      <c r="F91" s="399"/>
    </row>
    <row r="92" spans="1:6" ht="51" x14ac:dyDescent="0.25">
      <c r="A92" s="399" t="s">
        <v>2624</v>
      </c>
      <c r="B92" s="400"/>
      <c r="C92" s="400" t="s">
        <v>2409</v>
      </c>
      <c r="D92" s="401" t="s">
        <v>2625</v>
      </c>
      <c r="E92" s="399" t="s">
        <v>2420</v>
      </c>
      <c r="F92" s="399" t="s">
        <v>2417</v>
      </c>
    </row>
    <row r="93" spans="1:6" ht="229.5" x14ac:dyDescent="0.25">
      <c r="A93" s="399" t="s">
        <v>2626</v>
      </c>
      <c r="B93" s="400" t="s">
        <v>2409</v>
      </c>
      <c r="C93" s="400" t="s">
        <v>2409</v>
      </c>
      <c r="D93" s="399" t="s">
        <v>2627</v>
      </c>
      <c r="E93" s="399" t="s">
        <v>2420</v>
      </c>
      <c r="F93" s="399" t="s">
        <v>2417</v>
      </c>
    </row>
    <row r="94" spans="1:6" ht="51" x14ac:dyDescent="0.25">
      <c r="A94" s="399" t="s">
        <v>2628</v>
      </c>
      <c r="B94" s="400" t="s">
        <v>2409</v>
      </c>
      <c r="C94" s="400"/>
      <c r="D94" s="401" t="s">
        <v>2629</v>
      </c>
      <c r="E94" s="399" t="s">
        <v>2420</v>
      </c>
      <c r="F94" s="399" t="s">
        <v>2417</v>
      </c>
    </row>
    <row r="95" spans="1:6" ht="38.25" x14ac:dyDescent="0.25">
      <c r="A95" s="399" t="s">
        <v>2630</v>
      </c>
      <c r="B95" s="400" t="s">
        <v>2409</v>
      </c>
      <c r="C95" s="400" t="s">
        <v>2409</v>
      </c>
      <c r="D95" s="399" t="s">
        <v>2631</v>
      </c>
      <c r="E95" s="399" t="s">
        <v>2450</v>
      </c>
      <c r="F95" s="399" t="s">
        <v>2632</v>
      </c>
    </row>
    <row r="96" spans="1:6" ht="38.25" x14ac:dyDescent="0.25">
      <c r="A96" s="399" t="s">
        <v>2633</v>
      </c>
      <c r="B96" s="400" t="s">
        <v>2409</v>
      </c>
      <c r="C96" s="400" t="s">
        <v>2409</v>
      </c>
      <c r="D96" s="399" t="s">
        <v>2634</v>
      </c>
      <c r="E96" s="399" t="s">
        <v>2420</v>
      </c>
      <c r="F96" s="399" t="s">
        <v>2417</v>
      </c>
    </row>
    <row r="97" spans="1:6" ht="89.25" x14ac:dyDescent="0.25">
      <c r="A97" s="399" t="s">
        <v>2635</v>
      </c>
      <c r="B97" s="400" t="s">
        <v>2409</v>
      </c>
      <c r="C97" s="400"/>
      <c r="D97" s="399" t="s">
        <v>2636</v>
      </c>
      <c r="E97" s="399" t="s">
        <v>2414</v>
      </c>
      <c r="F97" s="399"/>
    </row>
    <row r="98" spans="1:6" ht="28.5" customHeight="1" x14ac:dyDescent="0.25">
      <c r="A98" s="399" t="s">
        <v>2637</v>
      </c>
      <c r="B98" s="400" t="s">
        <v>2409</v>
      </c>
      <c r="C98" s="400"/>
      <c r="D98" s="399" t="s">
        <v>2638</v>
      </c>
      <c r="E98" s="399" t="s">
        <v>385</v>
      </c>
      <c r="F98" s="399"/>
    </row>
    <row r="99" spans="1:6" ht="38.25" x14ac:dyDescent="0.25">
      <c r="A99" s="399" t="s">
        <v>2639</v>
      </c>
      <c r="B99" s="400" t="s">
        <v>2409</v>
      </c>
      <c r="C99" s="400"/>
      <c r="D99" s="399" t="s">
        <v>2640</v>
      </c>
      <c r="E99" s="399" t="s">
        <v>2420</v>
      </c>
      <c r="F99" s="399"/>
    </row>
    <row r="100" spans="1:6" ht="38.25" x14ac:dyDescent="0.25">
      <c r="A100" s="399" t="s">
        <v>2641</v>
      </c>
      <c r="B100" s="400" t="s">
        <v>2409</v>
      </c>
      <c r="C100" s="400" t="s">
        <v>2409</v>
      </c>
      <c r="D100" s="399" t="s">
        <v>2642</v>
      </c>
      <c r="E100" s="399" t="s">
        <v>2538</v>
      </c>
      <c r="F100" s="399" t="s">
        <v>2643</v>
      </c>
    </row>
    <row r="101" spans="1:6" ht="63.75" x14ac:dyDescent="0.25">
      <c r="A101" s="399" t="s">
        <v>2644</v>
      </c>
      <c r="B101" s="400"/>
      <c r="C101" s="400" t="s">
        <v>2409</v>
      </c>
      <c r="D101" s="401" t="s">
        <v>2645</v>
      </c>
      <c r="E101" s="399"/>
      <c r="F101" s="399" t="s">
        <v>2417</v>
      </c>
    </row>
    <row r="102" spans="1:6" ht="51" x14ac:dyDescent="0.25">
      <c r="A102" s="399" t="s">
        <v>2644</v>
      </c>
      <c r="B102" s="400" t="s">
        <v>2409</v>
      </c>
      <c r="C102" s="400"/>
      <c r="D102" s="401" t="s">
        <v>2646</v>
      </c>
      <c r="E102" s="399" t="s">
        <v>2420</v>
      </c>
      <c r="F102" s="399"/>
    </row>
    <row r="103" spans="1:6" ht="25.5" x14ac:dyDescent="0.25">
      <c r="A103" s="399" t="s">
        <v>2647</v>
      </c>
      <c r="B103" s="400" t="s">
        <v>2409</v>
      </c>
      <c r="C103" s="400"/>
      <c r="D103" s="399" t="s">
        <v>2648</v>
      </c>
      <c r="E103" s="399" t="s">
        <v>2527</v>
      </c>
      <c r="F103" s="399"/>
    </row>
    <row r="104" spans="1:6" ht="38.25" x14ac:dyDescent="0.25">
      <c r="A104" s="399" t="s">
        <v>2649</v>
      </c>
      <c r="B104" s="400" t="s">
        <v>2409</v>
      </c>
      <c r="C104" s="400"/>
      <c r="D104" s="399" t="s">
        <v>2650</v>
      </c>
      <c r="E104" s="399" t="s">
        <v>2651</v>
      </c>
      <c r="F104" s="399"/>
    </row>
    <row r="105" spans="1:6" ht="409.5" x14ac:dyDescent="0.25">
      <c r="A105" s="399" t="s">
        <v>2652</v>
      </c>
      <c r="B105" s="400" t="s">
        <v>2409</v>
      </c>
      <c r="C105" s="400"/>
      <c r="D105" s="399" t="s">
        <v>2653</v>
      </c>
      <c r="E105" s="399" t="s">
        <v>2654</v>
      </c>
      <c r="F105" s="399"/>
    </row>
    <row r="106" spans="1:6" ht="38.25" x14ac:dyDescent="0.25">
      <c r="A106" s="399" t="s">
        <v>2655</v>
      </c>
      <c r="B106" s="400"/>
      <c r="C106" s="400" t="s">
        <v>2409</v>
      </c>
      <c r="D106" s="399" t="s">
        <v>2656</v>
      </c>
      <c r="E106" s="399"/>
      <c r="F106" s="399" t="s">
        <v>2417</v>
      </c>
    </row>
    <row r="107" spans="1:6" ht="25.5" x14ac:dyDescent="0.25">
      <c r="A107" s="399" t="s">
        <v>2657</v>
      </c>
      <c r="B107" s="400" t="s">
        <v>2409</v>
      </c>
      <c r="C107" s="400"/>
      <c r="D107" s="399" t="s">
        <v>2658</v>
      </c>
      <c r="E107" s="399" t="s">
        <v>2659</v>
      </c>
      <c r="F107" s="399"/>
    </row>
    <row r="108" spans="1:6" ht="38.25" x14ac:dyDescent="0.25">
      <c r="A108" s="611" t="s">
        <v>2660</v>
      </c>
      <c r="B108" s="613" t="s">
        <v>2409</v>
      </c>
      <c r="C108" s="613" t="s">
        <v>2409</v>
      </c>
      <c r="D108" s="399" t="s">
        <v>2661</v>
      </c>
      <c r="E108" s="399"/>
      <c r="F108" s="399" t="s">
        <v>2417</v>
      </c>
    </row>
    <row r="109" spans="1:6" ht="25.5" x14ac:dyDescent="0.25">
      <c r="A109" s="612"/>
      <c r="B109" s="614"/>
      <c r="C109" s="614"/>
      <c r="D109" s="399" t="s">
        <v>2662</v>
      </c>
      <c r="E109" s="399" t="s">
        <v>2663</v>
      </c>
      <c r="F109" s="399"/>
    </row>
    <row r="110" spans="1:6" ht="25.5" x14ac:dyDescent="0.25">
      <c r="A110" s="399" t="s">
        <v>2664</v>
      </c>
      <c r="B110" s="400" t="s">
        <v>2409</v>
      </c>
      <c r="C110" s="400"/>
      <c r="D110" s="399" t="s">
        <v>2665</v>
      </c>
      <c r="E110" s="399" t="s">
        <v>2423</v>
      </c>
      <c r="F110" s="399"/>
    </row>
    <row r="111" spans="1:6" x14ac:dyDescent="0.25">
      <c r="A111" s="399" t="s">
        <v>2666</v>
      </c>
      <c r="B111" s="400"/>
      <c r="C111" s="400" t="s">
        <v>2409</v>
      </c>
      <c r="D111" s="399" t="s">
        <v>2667</v>
      </c>
      <c r="E111" s="399"/>
      <c r="F111" s="399" t="s">
        <v>2417</v>
      </c>
    </row>
    <row r="112" spans="1:6" ht="51" x14ac:dyDescent="0.25">
      <c r="A112" s="401" t="s">
        <v>2668</v>
      </c>
      <c r="B112" s="402" t="s">
        <v>2409</v>
      </c>
      <c r="C112" s="403"/>
      <c r="D112" s="401" t="s">
        <v>2669</v>
      </c>
      <c r="E112" s="401" t="s">
        <v>2670</v>
      </c>
      <c r="F112" s="404"/>
    </row>
    <row r="113" spans="1:6" ht="38.25" x14ac:dyDescent="0.25">
      <c r="A113" s="399" t="s">
        <v>2671</v>
      </c>
      <c r="B113" s="400"/>
      <c r="C113" s="400" t="s">
        <v>2409</v>
      </c>
      <c r="D113" s="399" t="s">
        <v>2672</v>
      </c>
      <c r="E113" s="399"/>
      <c r="F113" s="399" t="s">
        <v>2424</v>
      </c>
    </row>
    <row r="114" spans="1:6" ht="51" x14ac:dyDescent="0.25">
      <c r="A114" s="399" t="s">
        <v>2673</v>
      </c>
      <c r="B114" s="400" t="s">
        <v>2409</v>
      </c>
      <c r="C114" s="400"/>
      <c r="D114" s="399" t="s">
        <v>2674</v>
      </c>
      <c r="E114" s="399" t="s">
        <v>2420</v>
      </c>
      <c r="F114" s="399"/>
    </row>
    <row r="115" spans="1:6" ht="76.5" x14ac:dyDescent="0.25">
      <c r="A115" s="399" t="s">
        <v>2675</v>
      </c>
      <c r="B115" s="400" t="s">
        <v>2409</v>
      </c>
      <c r="C115" s="400"/>
      <c r="D115" s="401" t="s">
        <v>2676</v>
      </c>
      <c r="E115" s="399" t="s">
        <v>2429</v>
      </c>
      <c r="F115" s="399" t="s">
        <v>2427</v>
      </c>
    </row>
    <row r="116" spans="1:6" ht="51" x14ac:dyDescent="0.25">
      <c r="A116" s="401" t="s">
        <v>2677</v>
      </c>
      <c r="B116" s="402" t="s">
        <v>2409</v>
      </c>
      <c r="C116" s="403"/>
      <c r="D116" s="401" t="s">
        <v>2678</v>
      </c>
      <c r="E116" s="401" t="s">
        <v>2670</v>
      </c>
      <c r="F116" s="404"/>
    </row>
    <row r="117" spans="1:6" ht="391.5" customHeight="1" x14ac:dyDescent="0.25">
      <c r="A117" s="399" t="s">
        <v>2679</v>
      </c>
      <c r="B117" s="400"/>
      <c r="C117" s="400" t="s">
        <v>2409</v>
      </c>
      <c r="D117" s="399" t="s">
        <v>2680</v>
      </c>
      <c r="E117" s="399"/>
      <c r="F117" s="399" t="s">
        <v>2681</v>
      </c>
    </row>
    <row r="118" spans="1:6" ht="51" x14ac:dyDescent="0.25">
      <c r="A118" s="399" t="s">
        <v>2682</v>
      </c>
      <c r="B118" s="400" t="s">
        <v>2409</v>
      </c>
      <c r="C118" s="400"/>
      <c r="D118" s="399" t="s">
        <v>2683</v>
      </c>
      <c r="E118" s="399" t="s">
        <v>2684</v>
      </c>
      <c r="F118" s="399"/>
    </row>
    <row r="119" spans="1:6" ht="98.45" customHeight="1" x14ac:dyDescent="0.25">
      <c r="A119" s="611" t="s">
        <v>2685</v>
      </c>
      <c r="B119" s="400"/>
      <c r="C119" s="400" t="s">
        <v>2409</v>
      </c>
      <c r="D119" s="401" t="s">
        <v>2686</v>
      </c>
      <c r="E119" s="399"/>
      <c r="F119" s="399" t="s">
        <v>2427</v>
      </c>
    </row>
    <row r="120" spans="1:6" ht="92.45" customHeight="1" x14ac:dyDescent="0.25">
      <c r="A120" s="612"/>
      <c r="B120" s="400" t="s">
        <v>2409</v>
      </c>
      <c r="C120" s="400"/>
      <c r="D120" s="401" t="s">
        <v>2687</v>
      </c>
      <c r="E120" s="399" t="s">
        <v>2429</v>
      </c>
      <c r="F120" s="399"/>
    </row>
    <row r="121" spans="1:6" s="91" customFormat="1" ht="38.25" x14ac:dyDescent="0.25">
      <c r="A121" s="399" t="s">
        <v>2688</v>
      </c>
      <c r="B121" s="400" t="s">
        <v>2409</v>
      </c>
      <c r="C121" s="400"/>
      <c r="D121" s="399" t="s">
        <v>2689</v>
      </c>
      <c r="E121" s="399" t="s">
        <v>2414</v>
      </c>
      <c r="F121" s="399"/>
    </row>
    <row r="122" spans="1:6" ht="38.25" x14ac:dyDescent="0.25">
      <c r="A122" s="399" t="s">
        <v>2690</v>
      </c>
      <c r="B122" s="400" t="s">
        <v>2409</v>
      </c>
      <c r="C122" s="400"/>
      <c r="D122" s="399" t="s">
        <v>2691</v>
      </c>
      <c r="E122" s="399" t="s">
        <v>2692</v>
      </c>
      <c r="F122" s="399"/>
    </row>
    <row r="123" spans="1:6" ht="76.5" x14ac:dyDescent="0.25">
      <c r="A123" s="399" t="s">
        <v>2693</v>
      </c>
      <c r="B123" s="400" t="s">
        <v>2409</v>
      </c>
      <c r="C123" s="400"/>
      <c r="D123" s="399" t="s">
        <v>2694</v>
      </c>
      <c r="E123" s="399" t="s">
        <v>2527</v>
      </c>
      <c r="F123" s="399"/>
    </row>
  </sheetData>
  <sheetProtection formatColumns="0" formatRows="0"/>
  <mergeCells count="22">
    <mergeCell ref="A108:A109"/>
    <mergeCell ref="B108:B109"/>
    <mergeCell ref="C108:C109"/>
    <mergeCell ref="A119:A120"/>
    <mergeCell ref="A46:A47"/>
    <mergeCell ref="B46:B47"/>
    <mergeCell ref="C46:C47"/>
    <mergeCell ref="A57:A58"/>
    <mergeCell ref="B57:B58"/>
    <mergeCell ref="C57:C58"/>
    <mergeCell ref="A30:A31"/>
    <mergeCell ref="B30:B31"/>
    <mergeCell ref="C30:C31"/>
    <mergeCell ref="A37:A38"/>
    <mergeCell ref="B37:B38"/>
    <mergeCell ref="C37:C38"/>
    <mergeCell ref="A7:A8"/>
    <mergeCell ref="B7:B8"/>
    <mergeCell ref="C7:C8"/>
    <mergeCell ref="A10:A11"/>
    <mergeCell ref="B10:B11"/>
    <mergeCell ref="C10:C11"/>
  </mergeCells>
  <pageMargins left="0.7" right="0.7" top="0.75" bottom="0.75" header="0.3" footer="0.3"/>
  <pageSetup scale="76" fitToHeight="32"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2F20C39E034054BB52F0FC1215E9597" ma:contentTypeVersion="5" ma:contentTypeDescription="Create a new document." ma:contentTypeScope="" ma:versionID="993173219c9e3a0a383224452d720cad">
  <xsd:schema xmlns:xsd="http://www.w3.org/2001/XMLSchema" xmlns:xs="http://www.w3.org/2001/XMLSchema" xmlns:p="http://schemas.microsoft.com/office/2006/metadata/properties" xmlns:ns2="0117de44-1fb5-4afb-a551-bf0d79615231" targetNamespace="http://schemas.microsoft.com/office/2006/metadata/properties" ma:root="true" ma:fieldsID="2edf04e5990697ba310a0f47271de1a9" ns2:_="">
    <xsd:import namespace="0117de44-1fb5-4afb-a551-bf0d79615231"/>
    <xsd:element name="properties">
      <xsd:complexType>
        <xsd:sequence>
          <xsd:element name="documentManagement">
            <xsd:complexType>
              <xsd:all>
                <xsd:element ref="ns2:Categor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7de44-1fb5-4afb-a551-bf0d79615231" elementFormDefault="qualified">
    <xsd:import namespace="http://schemas.microsoft.com/office/2006/documentManagement/types"/>
    <xsd:import namespace="http://schemas.microsoft.com/office/infopath/2007/PartnerControls"/>
    <xsd:element name="Category" ma:index="4" nillable="true" ma:displayName="Category" ma:format="Dropdown" ma:internalName="Category" ma:readOnly="false">
      <xsd:simpleType>
        <xsd:restriction base="dms:Choice">
          <xsd:enumeration value="Question and Answer"/>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ategory xmlns="0117de44-1fb5-4afb-a551-bf0d79615231" xsi:nil="true"/>
  </documentManagement>
</p:properties>
</file>

<file path=customXml/itemProps1.xml><?xml version="1.0" encoding="utf-8"?>
<ds:datastoreItem xmlns:ds="http://schemas.openxmlformats.org/officeDocument/2006/customXml" ds:itemID="{B02F966F-9F5C-4403-9354-0A5738B913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7de44-1fb5-4afb-a551-bf0d796152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55CA099-88AA-4C80-9AE5-6A039DE507D9}">
  <ds:schemaRefs>
    <ds:schemaRef ds:uri="http://schemas.microsoft.com/sharepoint/v3/contenttype/forms"/>
  </ds:schemaRefs>
</ds:datastoreItem>
</file>

<file path=customXml/itemProps3.xml><?xml version="1.0" encoding="utf-8"?>
<ds:datastoreItem xmlns:ds="http://schemas.openxmlformats.org/officeDocument/2006/customXml" ds:itemID="{EDF36A6F-E4F5-4C6C-9C1D-F0D413AA461D}">
  <ds:schemaRefs>
    <ds:schemaRef ds:uri="http://schemas.microsoft.com/office/2006/metadata/properties"/>
    <ds:schemaRef ds:uri="http://schemas.microsoft.com/office/infopath/2007/PartnerControls"/>
    <ds:schemaRef ds:uri="0117de44-1fb5-4afb-a551-bf0d79615231"/>
  </ds:schemaRefs>
</ds:datastoreItem>
</file>

<file path=docMetadata/LabelInfo.xml><?xml version="1.0" encoding="utf-8"?>
<clbl:labelList xmlns:clbl="http://schemas.microsoft.com/office/2020/mipLabelMetadata">
  <clbl:label id="{fa98e028-f401-4b3e-a75a-76893fc4ef4f}" enabled="0" method="" siteId="{fa98e028-f401-4b3e-a75a-76893fc4ef4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57</vt:i4>
      </vt:variant>
    </vt:vector>
  </HeadingPairs>
  <TitlesOfParts>
    <vt:vector size="73" baseType="lpstr">
      <vt:lpstr>Table of Contents</vt:lpstr>
      <vt:lpstr>Instructions</vt:lpstr>
      <vt:lpstr>Cover Sheet</vt:lpstr>
      <vt:lpstr>A. Completeness</vt:lpstr>
      <vt:lpstr>B. Enrollment &amp; Disenrollment</vt:lpstr>
      <vt:lpstr>C. Beneficiary Notification</vt:lpstr>
      <vt:lpstr>D. Payment</vt:lpstr>
      <vt:lpstr>E. Providers &amp; Network</vt:lpstr>
      <vt:lpstr>F. Coverage</vt:lpstr>
      <vt:lpstr>G. Quality and UM</vt:lpstr>
      <vt:lpstr>H. Grievances and Appeals</vt:lpstr>
      <vt:lpstr>I. Program Integrity</vt:lpstr>
      <vt:lpstr>J. General Terms and Conditions</vt:lpstr>
      <vt:lpstr>K. Health Information Systems</vt:lpstr>
      <vt:lpstr>Summary</vt:lpstr>
      <vt:lpstr>Glossary</vt:lpstr>
      <vt:lpstr>Alist</vt:lpstr>
      <vt:lpstr>Blist</vt:lpstr>
      <vt:lpstr>CHIP</vt:lpstr>
      <vt:lpstr>Clist</vt:lpstr>
      <vt:lpstr>'A. Completeness'!Ilist</vt:lpstr>
      <vt:lpstr>'C. Beneficiary Notification'!Ilist</vt:lpstr>
      <vt:lpstr>'D. Payment'!Ilist</vt:lpstr>
      <vt:lpstr>'E. Providers &amp; Network'!Ilist</vt:lpstr>
      <vt:lpstr>'F. Coverage'!Ilist</vt:lpstr>
      <vt:lpstr>'G. Quality and UM'!Ilist</vt:lpstr>
      <vt:lpstr>'H. Grievances and Appeals'!Ilist</vt:lpstr>
      <vt:lpstr>'I. Program Integrity'!Ilist</vt:lpstr>
      <vt:lpstr>'J. General Terms and Conditions'!Ilist</vt:lpstr>
      <vt:lpstr>'K. Health Information Systems'!Ilist</vt:lpstr>
      <vt:lpstr>Ilist</vt:lpstr>
      <vt:lpstr>Medicaid</vt:lpstr>
      <vt:lpstr>MMC</vt:lpstr>
      <vt:lpstr>MUNN</vt:lpstr>
      <vt:lpstr>Instructions!OLE_LINK1</vt:lpstr>
      <vt:lpstr>'A. Completeness'!Print_Area</vt:lpstr>
      <vt:lpstr>'B. Enrollment &amp; Disenrollment'!Print_Area</vt:lpstr>
      <vt:lpstr>'C. Beneficiary Notification'!Print_Area</vt:lpstr>
      <vt:lpstr>'D. Payment'!Print_Area</vt:lpstr>
      <vt:lpstr>'E. Providers &amp; Network'!Print_Area</vt:lpstr>
      <vt:lpstr>'F. Coverage'!Print_Area</vt:lpstr>
      <vt:lpstr>'G. Quality and UM'!Print_Area</vt:lpstr>
      <vt:lpstr>Glossary!Print_Area</vt:lpstr>
      <vt:lpstr>'H. Grievances and Appeals'!Print_Area</vt:lpstr>
      <vt:lpstr>'I. Program Integrity'!Print_Area</vt:lpstr>
      <vt:lpstr>Instructions!Print_Area</vt:lpstr>
      <vt:lpstr>'J. General Terms and Conditions'!Print_Area</vt:lpstr>
      <vt:lpstr>'K. Health Information Systems'!Print_Area</vt:lpstr>
      <vt:lpstr>'A. Completeness'!Print_Titles</vt:lpstr>
      <vt:lpstr>'B. Enrollment &amp; Disenrollment'!Print_Titles</vt:lpstr>
      <vt:lpstr>'C. Beneficiary Notification'!Print_Titles</vt:lpstr>
      <vt:lpstr>'D. Payment'!Print_Titles</vt:lpstr>
      <vt:lpstr>'E. Providers &amp; Network'!Print_Titles</vt:lpstr>
      <vt:lpstr>'F. Coverage'!Print_Titles</vt:lpstr>
      <vt:lpstr>'G. Quality and UM'!Print_Titles</vt:lpstr>
      <vt:lpstr>Glossary!Print_Titles</vt:lpstr>
      <vt:lpstr>'H. Grievances and Appeals'!Print_Titles</vt:lpstr>
      <vt:lpstr>'I. Program Integrity'!Print_Titles</vt:lpstr>
      <vt:lpstr>Instructions!Print_Titles</vt:lpstr>
      <vt:lpstr>'J. General Terms and Conditions'!Print_Titles</vt:lpstr>
      <vt:lpstr>'K. Health Information Systems'!Print_Titles</vt:lpstr>
      <vt:lpstr>'A. Completeness'!Rlist</vt:lpstr>
      <vt:lpstr>'C. Beneficiary Notification'!Rlist</vt:lpstr>
      <vt:lpstr>'D. Payment'!Rlist</vt:lpstr>
      <vt:lpstr>'E. Providers &amp; Network'!Rlist</vt:lpstr>
      <vt:lpstr>'F. Coverage'!Rlist</vt:lpstr>
      <vt:lpstr>'G. Quality and UM'!Rlist</vt:lpstr>
      <vt:lpstr>'H. Grievances and Appeals'!Rlist</vt:lpstr>
      <vt:lpstr>'I. Program Integrity'!Rlist</vt:lpstr>
      <vt:lpstr>'J. General Terms and Conditions'!Rlist</vt:lpstr>
      <vt:lpstr>'K. Health Information Systems'!Rlist</vt:lpstr>
      <vt:lpstr>Rlist</vt:lpstr>
      <vt:lpstr>YNNN</vt:lpstr>
    </vt:vector>
  </TitlesOfParts>
  <Manager/>
  <Company>Mathematica,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Jenna Libersky</dc:creator>
  <cp:keywords/>
  <dc:description/>
  <cp:lastModifiedBy>Manjunath Chimbili</cp:lastModifiedBy>
  <cp:revision/>
  <dcterms:created xsi:type="dcterms:W3CDTF">2017-01-03T16:40:43Z</dcterms:created>
  <dcterms:modified xsi:type="dcterms:W3CDTF">2026-03-13T21:14:45Z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0x010100F2F20C39E034054BB52F0FC1215E9597</vt:lpwstr>
  </property>
  <property fmtid="{D5CDD505-2E9C-101B-9397-08002B2CF9AE}" pid="3" name="MediaServiceImageTags">
    <vt:lpwstr/>
  </property>
  <property fmtid="{D5CDD505-2E9C-101B-9397-08002B2CF9AE}" pid="4" name="PROP_Clist">
    <vt:lpwstr/>
  </property>
</Properties>
</file>